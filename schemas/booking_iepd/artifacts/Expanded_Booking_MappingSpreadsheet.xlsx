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2.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3.xml" ContentType="application/vnd.openxmlformats-officedocument.spreadsheetml.comments+xml"/>
  <Override PartName="/xl/tables/table11.xml" ContentType="application/vnd.openxmlformats-officedocument.spreadsheetml.table+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mcp911gov-my.sharepoint.com/personal/aidandelgado_missioncriticalpartners_com/Documents/ONE.WORKSPACE/21. NOLA/EXCHANGES/BOOKING/SQL scripts/release sql script/"/>
    </mc:Choice>
  </mc:AlternateContent>
  <xr:revisionPtr revIDLastSave="518" documentId="8_{5294D879-8D7B-46E4-BEE0-3583D741B594}" xr6:coauthVersionLast="47" xr6:coauthVersionMax="47" xr10:uidLastSave="{1D273D34-729D-4D58-AFAD-8EE43547A727}"/>
  <bookViews>
    <workbookView xWindow="-96" yWindow="-96" windowWidth="23232" windowHeight="12552" tabRatio="708" xr2:uid="{48A92741-0304-4EC3-834A-48BAAC1F3F4E}"/>
  </bookViews>
  <sheets>
    <sheet name="Table of Contents" sheetId="16" r:id="rId1"/>
    <sheet name="Expanded_ROWS" sheetId="6" r:id="rId2"/>
    <sheet name="Expanded_ROWS_raw" sheetId="1" state="hidden" r:id="rId3"/>
    <sheet name="Expanded_ROWS_IMARRD" sheetId="8" r:id="rId4"/>
    <sheet name="BookingXPATH" sheetId="9" r:id="rId5"/>
    <sheet name="BookingPYTHON" sheetId="10" r:id="rId6"/>
    <sheet name="IMARRD_Col" sheetId="15" r:id="rId7"/>
    <sheet name="Expanded_ROWS_IMFLDR" sheetId="11" r:id="rId8"/>
    <sheet name="ReleaseXPATH" sheetId="12" r:id="rId9"/>
    <sheet name="ReleasePYTHON" sheetId="13" r:id="rId10"/>
    <sheet name="IMFLDR_Col" sheetId="14"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5" l="1"/>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AF2" i="8"/>
  <c r="E2" i="15" s="1"/>
  <c r="AF3" i="8"/>
  <c r="AF4" i="8"/>
  <c r="AF5" i="8"/>
  <c r="AF6" i="8"/>
  <c r="AF7" i="8"/>
  <c r="AF8" i="8"/>
  <c r="AF9" i="8"/>
  <c r="AF10" i="8"/>
  <c r="AF11" i="8"/>
  <c r="AF12" i="8"/>
  <c r="AF13" i="8"/>
  <c r="AF14" i="8"/>
  <c r="AF15" i="8"/>
  <c r="AF16" i="8"/>
  <c r="AF17" i="8"/>
  <c r="AF18" i="8"/>
  <c r="AF19" i="8"/>
  <c r="AF20" i="8"/>
  <c r="AF21" i="8"/>
  <c r="AF22" i="8"/>
  <c r="AF23" i="8"/>
  <c r="AF24" i="8"/>
  <c r="AF25" i="8"/>
  <c r="AF26" i="8"/>
  <c r="AF27" i="8"/>
  <c r="AF28" i="8"/>
  <c r="AF29" i="8"/>
  <c r="AF30" i="8"/>
  <c r="AF31" i="8"/>
  <c r="AF32" i="8"/>
  <c r="AF33" i="8"/>
  <c r="AF34" i="8"/>
  <c r="AF35" i="8"/>
  <c r="AF36" i="8"/>
  <c r="AF37" i="8"/>
  <c r="AF38" i="8"/>
  <c r="AF39" i="8"/>
  <c r="AF40" i="8"/>
  <c r="AF41" i="8"/>
  <c r="AF42" i="8"/>
  <c r="AF43" i="8"/>
  <c r="AF44" i="8"/>
  <c r="AF45" i="8"/>
  <c r="AF46" i="8"/>
  <c r="AF47" i="8"/>
  <c r="AF48" i="8"/>
  <c r="AF49" i="8"/>
  <c r="AF50" i="8"/>
  <c r="AF51" i="8"/>
  <c r="AF52" i="8"/>
  <c r="AF53" i="8"/>
  <c r="AF54" i="8"/>
  <c r="AF55" i="8"/>
  <c r="AF56" i="8"/>
  <c r="AF57" i="8"/>
  <c r="AF58" i="8"/>
  <c r="AF59" i="8"/>
  <c r="AF60" i="8"/>
  <c r="AF61" i="8"/>
  <c r="AF62" i="8"/>
  <c r="AF63" i="8"/>
  <c r="AF64" i="8"/>
  <c r="AF65" i="8"/>
  <c r="AF66" i="8"/>
  <c r="AF67" i="8"/>
  <c r="AF68" i="8"/>
  <c r="AF69" i="8"/>
  <c r="AF70" i="8"/>
  <c r="AF71" i="8"/>
  <c r="AF72" i="8"/>
  <c r="AF73" i="8"/>
  <c r="AF74" i="8"/>
  <c r="AF75" i="8"/>
  <c r="AF76" i="8"/>
  <c r="AF77" i="8"/>
  <c r="AF78" i="8"/>
  <c r="AF79" i="8"/>
  <c r="AF80" i="8"/>
  <c r="AF81" i="8"/>
  <c r="AF82" i="8"/>
  <c r="AF83" i="8"/>
  <c r="AF84" i="8"/>
  <c r="AF85" i="8"/>
  <c r="AF86" i="8"/>
  <c r="AF87" i="8"/>
  <c r="AF88" i="8"/>
  <c r="AF89" i="8"/>
  <c r="AF90" i="8"/>
  <c r="AF91" i="8"/>
  <c r="AF92" i="8"/>
  <c r="AF93" i="8"/>
  <c r="AF94" i="8"/>
  <c r="AF95" i="8"/>
  <c r="AF96" i="8"/>
  <c r="AF97" i="8"/>
  <c r="AF98" i="8"/>
  <c r="AF99" i="8"/>
  <c r="AF100" i="8"/>
  <c r="AF101" i="8"/>
  <c r="AF102" i="8"/>
  <c r="AF103" i="8"/>
  <c r="AF104" i="8"/>
  <c r="AF105" i="8"/>
  <c r="AF106" i="8"/>
  <c r="AF107" i="8"/>
  <c r="AF108" i="8"/>
  <c r="AF109" i="8"/>
  <c r="AF110" i="8"/>
  <c r="A3" i="13" l="1"/>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F2" i="11"/>
  <c r="AF3" i="11"/>
  <c r="AF4" i="11"/>
  <c r="AF5" i="11"/>
  <c r="AF6" i="11"/>
  <c r="AF7" i="11"/>
  <c r="AF8" i="11"/>
  <c r="AF9" i="11"/>
  <c r="AF10" i="11"/>
  <c r="AF11" i="11"/>
  <c r="AF12" i="11"/>
  <c r="AF13" i="11"/>
  <c r="AF14" i="11"/>
  <c r="AF15" i="11"/>
  <c r="AF16" i="11"/>
  <c r="AF17" i="11"/>
  <c r="AF18" i="11"/>
  <c r="AF19" i="11"/>
  <c r="AF20" i="11"/>
  <c r="AF21" i="11"/>
  <c r="AF22" i="11"/>
  <c r="AF23" i="11"/>
  <c r="AF24" i="11"/>
  <c r="AF25" i="11"/>
  <c r="AF26" i="11"/>
  <c r="AF27" i="11"/>
  <c r="AF28" i="11"/>
  <c r="AF29" i="11"/>
  <c r="AF30" i="11"/>
  <c r="AF31" i="11"/>
  <c r="AF32" i="11"/>
  <c r="AF33" i="11"/>
  <c r="AF34" i="11"/>
  <c r="AF35" i="11"/>
  <c r="AF36" i="11"/>
  <c r="AF37" i="11"/>
  <c r="AF38" i="11"/>
  <c r="AF39" i="11"/>
  <c r="AF40" i="11"/>
  <c r="AF41" i="11"/>
  <c r="AF42" i="11"/>
  <c r="AF43" i="11"/>
  <c r="AF44" i="11"/>
  <c r="AF45" i="11"/>
  <c r="AF46" i="11"/>
  <c r="AF47" i="11"/>
  <c r="AF48" i="11"/>
  <c r="AF49" i="11"/>
  <c r="AF50" i="11"/>
  <c r="AF51" i="11"/>
  <c r="AF52" i="11"/>
  <c r="AF53" i="11"/>
  <c r="AF54" i="11"/>
  <c r="AF55" i="11"/>
  <c r="AF56" i="11"/>
  <c r="AE2" i="11" l="1"/>
  <c r="AE3" i="11"/>
  <c r="AE4" i="11"/>
  <c r="AE5" i="11"/>
  <c r="AE6" i="11"/>
  <c r="AE7" i="11"/>
  <c r="AE8" i="11"/>
  <c r="AE9" i="11"/>
  <c r="AE10" i="11"/>
  <c r="AE11" i="11"/>
  <c r="AE12" i="11"/>
  <c r="AE13" i="11"/>
  <c r="AE14" i="11"/>
  <c r="AE15" i="11"/>
  <c r="AE16" i="11"/>
  <c r="AE17" i="11"/>
  <c r="AE18" i="11"/>
  <c r="AE19" i="11"/>
  <c r="AE20" i="11"/>
  <c r="AE21" i="11"/>
  <c r="AE22" i="11"/>
  <c r="AE23" i="11"/>
  <c r="AE24" i="11"/>
  <c r="AE25" i="11"/>
  <c r="AE26" i="11"/>
  <c r="AE27" i="11"/>
  <c r="AE28" i="11"/>
  <c r="AE29" i="11"/>
  <c r="AE30" i="11"/>
  <c r="AE31" i="11"/>
  <c r="AE32" i="11"/>
  <c r="AE33" i="11"/>
  <c r="AE34" i="11"/>
  <c r="AE35" i="11"/>
  <c r="AE36" i="11"/>
  <c r="AE37" i="11"/>
  <c r="AE38" i="11"/>
  <c r="AE39" i="11"/>
  <c r="AE40" i="11"/>
  <c r="AE41" i="11"/>
  <c r="AE42" i="11"/>
  <c r="AE43" i="11"/>
  <c r="AE44" i="11"/>
  <c r="AE45" i="11"/>
  <c r="AE46" i="11"/>
  <c r="AE47" i="11"/>
  <c r="AE48" i="11"/>
  <c r="AE49" i="11"/>
  <c r="AE50" i="11"/>
  <c r="AE51" i="11"/>
  <c r="AE52" i="11"/>
  <c r="AE53" i="11"/>
  <c r="AE54" i="11"/>
  <c r="AE55" i="11"/>
  <c r="AE56" i="11"/>
  <c r="A2" i="13"/>
  <c r="A394" i="12"/>
  <c r="C394" i="12"/>
  <c r="D394" i="12"/>
  <c r="D3" i="12" l="1"/>
  <c r="D5" i="12"/>
  <c r="D7" i="12"/>
  <c r="D8" i="12"/>
  <c r="D9" i="12"/>
  <c r="D10" i="12"/>
  <c r="D12" i="12"/>
  <c r="D14" i="12"/>
  <c r="D15" i="12"/>
  <c r="D17" i="12"/>
  <c r="D18" i="12"/>
  <c r="D20" i="12"/>
  <c r="D22" i="12"/>
  <c r="D23" i="12"/>
  <c r="D24" i="12"/>
  <c r="D26" i="12"/>
  <c r="D27" i="12"/>
  <c r="D28" i="12"/>
  <c r="D30" i="12"/>
  <c r="D31" i="12"/>
  <c r="D32" i="12"/>
  <c r="D33" i="12"/>
  <c r="D34" i="12"/>
  <c r="D35" i="12"/>
  <c r="D36" i="12"/>
  <c r="D37" i="12"/>
  <c r="D38" i="12"/>
  <c r="D41" i="12"/>
  <c r="D43" i="12"/>
  <c r="D44" i="12"/>
  <c r="D45" i="12"/>
  <c r="D46" i="12"/>
  <c r="D47" i="12"/>
  <c r="D48" i="12"/>
  <c r="D53" i="12"/>
  <c r="D54" i="12"/>
  <c r="D55" i="12"/>
  <c r="D56" i="12"/>
  <c r="D57" i="12"/>
  <c r="D58" i="12"/>
  <c r="D59" i="12"/>
  <c r="D60" i="12"/>
  <c r="D61" i="12"/>
  <c r="D62" i="12"/>
  <c r="D63" i="12"/>
  <c r="D64" i="12"/>
  <c r="D65" i="12"/>
  <c r="D66" i="12"/>
  <c r="D67" i="12"/>
  <c r="D68" i="12"/>
  <c r="D72" i="12"/>
  <c r="D74" i="12"/>
  <c r="D75" i="12"/>
  <c r="D76" i="12"/>
  <c r="D80" i="12"/>
  <c r="D81" i="12"/>
  <c r="D83" i="12"/>
  <c r="D84" i="12"/>
  <c r="D85" i="12"/>
  <c r="D86" i="12"/>
  <c r="D88" i="12"/>
  <c r="D89" i="12"/>
  <c r="D91" i="12"/>
  <c r="D94" i="12"/>
  <c r="D97" i="12"/>
  <c r="D99" i="12"/>
  <c r="D101" i="12"/>
  <c r="D102" i="12"/>
  <c r="D104"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5" i="12"/>
  <c r="D156" i="12"/>
  <c r="D157" i="12"/>
  <c r="D158" i="12"/>
  <c r="D160" i="12"/>
  <c r="D161" i="12"/>
  <c r="D162" i="12"/>
  <c r="D163" i="12"/>
  <c r="D165" i="12"/>
  <c r="D167"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192" i="12"/>
  <c r="D193" i="12"/>
  <c r="D194" i="12"/>
  <c r="D195" i="12"/>
  <c r="D196" i="12"/>
  <c r="D197" i="12"/>
  <c r="D198" i="12"/>
  <c r="D199" i="12"/>
  <c r="D200" i="12"/>
  <c r="D201" i="12"/>
  <c r="D203" i="12"/>
  <c r="D204" i="12"/>
  <c r="D205"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5" i="12"/>
  <c r="D327" i="12"/>
  <c r="D328" i="12"/>
  <c r="D329" i="12"/>
  <c r="D330" i="12"/>
  <c r="D331" i="12"/>
  <c r="D332" i="12"/>
  <c r="D333" i="12"/>
  <c r="D334" i="12"/>
  <c r="D335" i="12"/>
  <c r="D336" i="12"/>
  <c r="D338" i="12"/>
  <c r="D339" i="12"/>
  <c r="D340" i="12"/>
  <c r="D341" i="12"/>
  <c r="D342" i="12"/>
  <c r="D343" i="12"/>
  <c r="D345" i="12"/>
  <c r="D346" i="12"/>
  <c r="D347" i="12"/>
  <c r="D348" i="12"/>
  <c r="D350" i="12"/>
  <c r="D352" i="12"/>
  <c r="D353" i="12"/>
  <c r="D354" i="12"/>
  <c r="D355" i="12"/>
  <c r="D356" i="12"/>
  <c r="D357" i="12"/>
  <c r="D358" i="12"/>
  <c r="D359" i="12"/>
  <c r="D360" i="12"/>
  <c r="D361" i="12"/>
  <c r="D363" i="12"/>
  <c r="D364" i="12"/>
  <c r="D365" i="12"/>
  <c r="D366" i="12"/>
  <c r="D367" i="12"/>
  <c r="D368"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C3" i="12"/>
  <c r="C5" i="12"/>
  <c r="C7" i="12"/>
  <c r="C8" i="12"/>
  <c r="C9" i="12"/>
  <c r="C10" i="12"/>
  <c r="C12" i="12"/>
  <c r="C14" i="12"/>
  <c r="C15" i="12"/>
  <c r="C17" i="12"/>
  <c r="C18" i="12"/>
  <c r="C20" i="12"/>
  <c r="C22" i="12"/>
  <c r="C23" i="12"/>
  <c r="C24" i="12"/>
  <c r="C26" i="12"/>
  <c r="C27" i="12"/>
  <c r="C28" i="12"/>
  <c r="C30" i="12"/>
  <c r="C31" i="12"/>
  <c r="C32" i="12"/>
  <c r="C33" i="12"/>
  <c r="C34" i="12"/>
  <c r="C35" i="12"/>
  <c r="C36" i="12"/>
  <c r="C37" i="12"/>
  <c r="C38" i="12"/>
  <c r="C41" i="12"/>
  <c r="C43" i="12"/>
  <c r="C44" i="12"/>
  <c r="C45" i="12"/>
  <c r="C46" i="12"/>
  <c r="C47" i="12"/>
  <c r="C48" i="12"/>
  <c r="C53" i="12"/>
  <c r="C54" i="12"/>
  <c r="C55" i="12"/>
  <c r="C56" i="12"/>
  <c r="C57" i="12"/>
  <c r="C58" i="12"/>
  <c r="C59" i="12"/>
  <c r="C60" i="12"/>
  <c r="C61" i="12"/>
  <c r="C62" i="12"/>
  <c r="C63" i="12"/>
  <c r="C64" i="12"/>
  <c r="C65" i="12"/>
  <c r="C66" i="12"/>
  <c r="C67" i="12"/>
  <c r="C68" i="12"/>
  <c r="C72" i="12"/>
  <c r="C74" i="12"/>
  <c r="C75" i="12"/>
  <c r="C76" i="12"/>
  <c r="C80" i="12"/>
  <c r="C81" i="12"/>
  <c r="C83" i="12"/>
  <c r="C84" i="12"/>
  <c r="C85" i="12"/>
  <c r="C86" i="12"/>
  <c r="C88" i="12"/>
  <c r="C89" i="12"/>
  <c r="C91" i="12"/>
  <c r="C94" i="12"/>
  <c r="C97" i="12"/>
  <c r="C99" i="12"/>
  <c r="C101" i="12"/>
  <c r="C102" i="12"/>
  <c r="C104"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5" i="12"/>
  <c r="C156" i="12"/>
  <c r="C157" i="12"/>
  <c r="C158" i="12"/>
  <c r="C160" i="12"/>
  <c r="C161" i="12"/>
  <c r="C162" i="12"/>
  <c r="C163" i="12"/>
  <c r="C165" i="12"/>
  <c r="C167"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3" i="12"/>
  <c r="C204" i="12"/>
  <c r="C205"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5" i="12"/>
  <c r="C327" i="12"/>
  <c r="C328" i="12"/>
  <c r="C329" i="12"/>
  <c r="C330" i="12"/>
  <c r="C331" i="12"/>
  <c r="C332" i="12"/>
  <c r="C333" i="12"/>
  <c r="C334" i="12"/>
  <c r="C335" i="12"/>
  <c r="C336" i="12"/>
  <c r="C338" i="12"/>
  <c r="C339" i="12"/>
  <c r="C340" i="12"/>
  <c r="C341" i="12"/>
  <c r="C342" i="12"/>
  <c r="C343" i="12"/>
  <c r="C345" i="12"/>
  <c r="C346" i="12"/>
  <c r="C347" i="12"/>
  <c r="C348" i="12"/>
  <c r="C350" i="12"/>
  <c r="C352" i="12"/>
  <c r="C353" i="12"/>
  <c r="C354" i="12"/>
  <c r="C355" i="12"/>
  <c r="C356" i="12"/>
  <c r="C357" i="12"/>
  <c r="C358" i="12"/>
  <c r="C359" i="12"/>
  <c r="C360" i="12"/>
  <c r="C361" i="12"/>
  <c r="C363" i="12"/>
  <c r="C364" i="12"/>
  <c r="C365" i="12"/>
  <c r="C366" i="12"/>
  <c r="C367" i="12"/>
  <c r="C368"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 i="11"/>
  <c r="D87" i="12" s="1"/>
  <c r="A4" i="11"/>
  <c r="D96" i="12" s="1"/>
  <c r="A5" i="11"/>
  <c r="D100" i="12" s="1"/>
  <c r="A6" i="11"/>
  <c r="D93" i="12" s="1"/>
  <c r="A7" i="11"/>
  <c r="D90" i="12" s="1"/>
  <c r="A8" i="11"/>
  <c r="D92" i="12" s="1"/>
  <c r="A9" i="11"/>
  <c r="D95" i="12" s="1"/>
  <c r="A10" i="11"/>
  <c r="D103" i="12" s="1"/>
  <c r="A11" i="11"/>
  <c r="D6" i="12" s="1"/>
  <c r="A12" i="11"/>
  <c r="D13" i="12" s="1"/>
  <c r="A13" i="11"/>
  <c r="D4" i="12" s="1"/>
  <c r="A14" i="11"/>
  <c r="A15" i="11"/>
  <c r="A16" i="11"/>
  <c r="D206" i="12" s="1"/>
  <c r="A17" i="11"/>
  <c r="D11" i="12" s="1"/>
  <c r="A18" i="11"/>
  <c r="D105" i="12" s="1"/>
  <c r="A19" i="11"/>
  <c r="D159" i="12" s="1"/>
  <c r="A20" i="11"/>
  <c r="D164" i="12" s="1"/>
  <c r="A21" i="11"/>
  <c r="D166" i="12" s="1"/>
  <c r="A22" i="11"/>
  <c r="D152" i="12" s="1"/>
  <c r="A23" i="11"/>
  <c r="D153" i="12" s="1"/>
  <c r="A24" i="11"/>
  <c r="D337" i="12" s="1"/>
  <c r="A25" i="11"/>
  <c r="D362" i="12" s="1"/>
  <c r="A26" i="11"/>
  <c r="D369" i="12" s="1"/>
  <c r="A27" i="11"/>
  <c r="D344" i="12" s="1"/>
  <c r="A28" i="11"/>
  <c r="D39" i="12" s="1"/>
  <c r="A29" i="11"/>
  <c r="D40" i="12" s="1"/>
  <c r="A30" i="11"/>
  <c r="D42" i="12" s="1"/>
  <c r="A31" i="11"/>
  <c r="D71" i="12" s="1"/>
  <c r="A32" i="11"/>
  <c r="D82" i="12" s="1"/>
  <c r="A33" i="11"/>
  <c r="D69" i="12" s="1"/>
  <c r="A34" i="11"/>
  <c r="D70" i="12" s="1"/>
  <c r="A35" i="11"/>
  <c r="D78" i="12" s="1"/>
  <c r="A36" i="11"/>
  <c r="D79" i="12" s="1"/>
  <c r="A37" i="11"/>
  <c r="D202" i="12" s="1"/>
  <c r="A38" i="11"/>
  <c r="D25" i="12" s="1"/>
  <c r="A39" i="11"/>
  <c r="D168" i="12" s="1"/>
  <c r="A40" i="11"/>
  <c r="D154" i="12" s="1"/>
  <c r="A41" i="11"/>
  <c r="D77" i="12" s="1"/>
  <c r="A42" i="11"/>
  <c r="D73" i="12" s="1"/>
  <c r="A43" i="11"/>
  <c r="D29" i="12" s="1"/>
  <c r="A44" i="11"/>
  <c r="D49" i="12" s="1"/>
  <c r="A45" i="11"/>
  <c r="D324" i="12" s="1"/>
  <c r="A46" i="11"/>
  <c r="D349" i="12" s="1"/>
  <c r="A47" i="11"/>
  <c r="D51" i="12" s="1"/>
  <c r="A48" i="11"/>
  <c r="D326" i="12" s="1"/>
  <c r="A49" i="11"/>
  <c r="D351" i="12" s="1"/>
  <c r="A50" i="11"/>
  <c r="D50" i="12" s="1"/>
  <c r="A51" i="11"/>
  <c r="D52" i="12" s="1"/>
  <c r="A52" i="11"/>
  <c r="D16" i="12" s="1"/>
  <c r="A53" i="11"/>
  <c r="D19" i="12" s="1"/>
  <c r="A54" i="11"/>
  <c r="A55" i="11"/>
  <c r="A56" i="11"/>
  <c r="D21" i="12" s="1"/>
  <c r="A2" i="9" l="1"/>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2" i="12"/>
  <c r="A2" i="10"/>
  <c r="A3" i="10"/>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D2" i="12"/>
  <c r="C2" i="12"/>
  <c r="AE2" i="8"/>
  <c r="D2" i="9"/>
  <c r="D3" i="9"/>
  <c r="D5" i="9"/>
  <c r="D6" i="9"/>
  <c r="D7" i="9"/>
  <c r="D8" i="9"/>
  <c r="D9" i="9"/>
  <c r="D10" i="9"/>
  <c r="D12" i="9"/>
  <c r="D14" i="9"/>
  <c r="D15" i="9"/>
  <c r="D16" i="9"/>
  <c r="D17" i="9"/>
  <c r="D18" i="9"/>
  <c r="D19" i="9"/>
  <c r="D20" i="9"/>
  <c r="D21" i="9"/>
  <c r="D22" i="9"/>
  <c r="D23" i="9"/>
  <c r="D24" i="9"/>
  <c r="D26" i="9"/>
  <c r="D27" i="9"/>
  <c r="D28" i="9"/>
  <c r="D30" i="9"/>
  <c r="D31" i="9"/>
  <c r="D32" i="9"/>
  <c r="D33" i="9"/>
  <c r="D34" i="9"/>
  <c r="D35" i="9"/>
  <c r="D36" i="9"/>
  <c r="D37" i="9"/>
  <c r="D38" i="9"/>
  <c r="D41" i="9"/>
  <c r="D43" i="9"/>
  <c r="D44" i="9"/>
  <c r="D45" i="9"/>
  <c r="D46" i="9"/>
  <c r="D47" i="9"/>
  <c r="D48" i="9"/>
  <c r="D53" i="9"/>
  <c r="D54" i="9"/>
  <c r="D57" i="9"/>
  <c r="D58" i="9"/>
  <c r="D59" i="9"/>
  <c r="D60" i="9"/>
  <c r="D61" i="9"/>
  <c r="D62" i="9"/>
  <c r="D63" i="9"/>
  <c r="D64" i="9"/>
  <c r="D65" i="9"/>
  <c r="D66" i="9"/>
  <c r="D67" i="9"/>
  <c r="D68" i="9"/>
  <c r="D70" i="9"/>
  <c r="D71" i="9"/>
  <c r="D72" i="9"/>
  <c r="D74" i="9"/>
  <c r="D75" i="9"/>
  <c r="D76" i="9"/>
  <c r="D78" i="9"/>
  <c r="D80" i="9"/>
  <c r="D81" i="9"/>
  <c r="D83" i="9"/>
  <c r="D84" i="9"/>
  <c r="D85" i="9"/>
  <c r="D88" i="9"/>
  <c r="D91" i="9"/>
  <c r="D92" i="9"/>
  <c r="D94" i="9"/>
  <c r="D97" i="9"/>
  <c r="D99"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7" i="9"/>
  <c r="D158" i="9"/>
  <c r="D159" i="9"/>
  <c r="D160" i="9"/>
  <c r="D162" i="9"/>
  <c r="D163" i="9"/>
  <c r="D164" i="9"/>
  <c r="D165" i="9"/>
  <c r="D167" i="9"/>
  <c r="D169"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7" i="9"/>
  <c r="D208" i="9"/>
  <c r="D209" i="9"/>
  <c r="D210" i="9"/>
  <c r="D211" i="9"/>
  <c r="D212" i="9"/>
  <c r="D213" i="9"/>
  <c r="D214" i="9"/>
  <c r="D215" i="9"/>
  <c r="D216" i="9"/>
  <c r="D217" i="9"/>
  <c r="D219" i="9"/>
  <c r="D220" i="9"/>
  <c r="D221" i="9"/>
  <c r="D222" i="9"/>
  <c r="D223" i="9"/>
  <c r="D224" i="9"/>
  <c r="D226" i="9"/>
  <c r="D228" i="9"/>
  <c r="D229" i="9"/>
  <c r="D230" i="9"/>
  <c r="D231" i="9"/>
  <c r="D233" i="9"/>
  <c r="D239" i="9"/>
  <c r="D240" i="9"/>
  <c r="D241" i="9"/>
  <c r="D243" i="9"/>
  <c r="D245" i="9"/>
  <c r="D246" i="9"/>
  <c r="D248" i="9"/>
  <c r="D250" i="9"/>
  <c r="D251" i="9"/>
  <c r="D253" i="9"/>
  <c r="D259" i="9"/>
  <c r="D261" i="9"/>
  <c r="D262" i="9"/>
  <c r="D264" i="9"/>
  <c r="D266" i="9"/>
  <c r="D267" i="9"/>
  <c r="D269" i="9"/>
  <c r="D275" i="9"/>
  <c r="D277" i="9"/>
  <c r="D278" i="9"/>
  <c r="D280" i="9"/>
  <c r="D282" i="9"/>
  <c r="D283" i="9"/>
  <c r="D285" i="9"/>
  <c r="D291" i="9"/>
  <c r="D293" i="9"/>
  <c r="D294" i="9"/>
  <c r="D296" i="9"/>
  <c r="D298" i="9"/>
  <c r="D299" i="9"/>
  <c r="D301" i="9"/>
  <c r="D307" i="9"/>
  <c r="D309" i="9"/>
  <c r="D310" i="9"/>
  <c r="D312" i="9"/>
  <c r="D314" i="9"/>
  <c r="D315" i="9"/>
  <c r="D317" i="9"/>
  <c r="D323" i="9"/>
  <c r="D324" i="9"/>
  <c r="D325" i="9"/>
  <c r="D326" i="9"/>
  <c r="D328" i="9"/>
  <c r="D330" i="9"/>
  <c r="D332" i="9"/>
  <c r="D333" i="9"/>
  <c r="D334" i="9"/>
  <c r="D335" i="9"/>
  <c r="D336" i="9"/>
  <c r="D337" i="9"/>
  <c r="D338" i="9"/>
  <c r="D339" i="9"/>
  <c r="D341" i="9"/>
  <c r="D342" i="9"/>
  <c r="D343" i="9"/>
  <c r="D344" i="9"/>
  <c r="D345" i="9"/>
  <c r="D346" i="9"/>
  <c r="D348" i="9"/>
  <c r="D349" i="9"/>
  <c r="D350" i="9"/>
  <c r="D351" i="9"/>
  <c r="D353" i="9"/>
  <c r="D355" i="9"/>
  <c r="D357" i="9"/>
  <c r="D358" i="9"/>
  <c r="D359" i="9"/>
  <c r="D360" i="9"/>
  <c r="D361" i="9"/>
  <c r="D362" i="9"/>
  <c r="D363" i="9"/>
  <c r="D364" i="9"/>
  <c r="D366" i="9"/>
  <c r="D367" i="9"/>
  <c r="D368" i="9"/>
  <c r="D369" i="9"/>
  <c r="D370" i="9"/>
  <c r="D371" i="9"/>
  <c r="D373" i="9"/>
  <c r="D374" i="9"/>
  <c r="D375" i="9"/>
  <c r="D377" i="9"/>
  <c r="D378" i="9"/>
  <c r="D379" i="9"/>
  <c r="D380" i="9"/>
  <c r="D381" i="9"/>
  <c r="D382" i="9"/>
  <c r="D383" i="9"/>
  <c r="D385" i="9"/>
  <c r="D386" i="9"/>
  <c r="D387" i="9"/>
  <c r="D388" i="9"/>
  <c r="D389" i="9"/>
  <c r="D390" i="9"/>
  <c r="D392" i="9"/>
  <c r="D393" i="9"/>
  <c r="D394" i="9"/>
  <c r="D395" i="9"/>
  <c r="C2" i="9"/>
  <c r="C3" i="9"/>
  <c r="C5" i="9"/>
  <c r="C6" i="9"/>
  <c r="C7" i="9"/>
  <c r="C8" i="9"/>
  <c r="C9" i="9"/>
  <c r="C10" i="9"/>
  <c r="C12" i="9"/>
  <c r="C14" i="9"/>
  <c r="C15" i="9"/>
  <c r="C16" i="9"/>
  <c r="C17" i="9"/>
  <c r="C18" i="9"/>
  <c r="C19" i="9"/>
  <c r="C20" i="9"/>
  <c r="C21" i="9"/>
  <c r="C22" i="9"/>
  <c r="C23" i="9"/>
  <c r="C24" i="9"/>
  <c r="C26" i="9"/>
  <c r="C27" i="9"/>
  <c r="C28" i="9"/>
  <c r="C30" i="9"/>
  <c r="C31" i="9"/>
  <c r="C32" i="9"/>
  <c r="C33" i="9"/>
  <c r="C34" i="9"/>
  <c r="C35" i="9"/>
  <c r="C36" i="9"/>
  <c r="C37" i="9"/>
  <c r="C38" i="9"/>
  <c r="C41" i="9"/>
  <c r="C43" i="9"/>
  <c r="C44" i="9"/>
  <c r="C45" i="9"/>
  <c r="C46" i="9"/>
  <c r="C47" i="9"/>
  <c r="C48" i="9"/>
  <c r="C53" i="9"/>
  <c r="C54" i="9"/>
  <c r="C57" i="9"/>
  <c r="C58" i="9"/>
  <c r="C59" i="9"/>
  <c r="C60" i="9"/>
  <c r="C61" i="9"/>
  <c r="C62" i="9"/>
  <c r="C63" i="9"/>
  <c r="C64" i="9"/>
  <c r="C65" i="9"/>
  <c r="C66" i="9"/>
  <c r="C67" i="9"/>
  <c r="C68" i="9"/>
  <c r="C70" i="9"/>
  <c r="C71" i="9"/>
  <c r="C72" i="9"/>
  <c r="C74" i="9"/>
  <c r="C75" i="9"/>
  <c r="C76" i="9"/>
  <c r="C78" i="9"/>
  <c r="C80" i="9"/>
  <c r="C81" i="9"/>
  <c r="C83" i="9"/>
  <c r="C84" i="9"/>
  <c r="C85" i="9"/>
  <c r="C88" i="9"/>
  <c r="C91" i="9"/>
  <c r="C92" i="9"/>
  <c r="C94" i="9"/>
  <c r="C97" i="9"/>
  <c r="C99"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7" i="9"/>
  <c r="C158" i="9"/>
  <c r="C159" i="9"/>
  <c r="C160" i="9"/>
  <c r="C162" i="9"/>
  <c r="C163" i="9"/>
  <c r="C164" i="9"/>
  <c r="C165" i="9"/>
  <c r="C167" i="9"/>
  <c r="C169"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7" i="9"/>
  <c r="C208" i="9"/>
  <c r="C209" i="9"/>
  <c r="C210" i="9"/>
  <c r="C211" i="9"/>
  <c r="C212" i="9"/>
  <c r="C213" i="9"/>
  <c r="C214" i="9"/>
  <c r="C215" i="9"/>
  <c r="C216" i="9"/>
  <c r="C217" i="9"/>
  <c r="C219" i="9"/>
  <c r="C220" i="9"/>
  <c r="C221" i="9"/>
  <c r="C222" i="9"/>
  <c r="C223" i="9"/>
  <c r="C224" i="9"/>
  <c r="C226" i="9"/>
  <c r="C228" i="9"/>
  <c r="C229" i="9"/>
  <c r="C230" i="9"/>
  <c r="C231" i="9"/>
  <c r="C233" i="9"/>
  <c r="C239" i="9"/>
  <c r="C240" i="9"/>
  <c r="C241" i="9"/>
  <c r="C243" i="9"/>
  <c r="C245" i="9"/>
  <c r="C246" i="9"/>
  <c r="C248" i="9"/>
  <c r="C250" i="9"/>
  <c r="C251" i="9"/>
  <c r="C253" i="9"/>
  <c r="C259" i="9"/>
  <c r="C261" i="9"/>
  <c r="C262" i="9"/>
  <c r="C264" i="9"/>
  <c r="C266" i="9"/>
  <c r="C267" i="9"/>
  <c r="C269" i="9"/>
  <c r="C275" i="9"/>
  <c r="C277" i="9"/>
  <c r="C278" i="9"/>
  <c r="C280" i="9"/>
  <c r="C282" i="9"/>
  <c r="C283" i="9"/>
  <c r="C285" i="9"/>
  <c r="C291" i="9"/>
  <c r="C293" i="9"/>
  <c r="C294" i="9"/>
  <c r="C296" i="9"/>
  <c r="C298" i="9"/>
  <c r="C299" i="9"/>
  <c r="C301" i="9"/>
  <c r="C307" i="9"/>
  <c r="C309" i="9"/>
  <c r="C310" i="9"/>
  <c r="C312" i="9"/>
  <c r="C314" i="9"/>
  <c r="C315" i="9"/>
  <c r="C317" i="9"/>
  <c r="C323" i="9"/>
  <c r="C324" i="9"/>
  <c r="C325" i="9"/>
  <c r="C326" i="9"/>
  <c r="C328" i="9"/>
  <c r="C330" i="9"/>
  <c r="C332" i="9"/>
  <c r="C333" i="9"/>
  <c r="C334" i="9"/>
  <c r="C335" i="9"/>
  <c r="C336" i="9"/>
  <c r="C337" i="9"/>
  <c r="C338" i="9"/>
  <c r="C339" i="9"/>
  <c r="C341" i="9"/>
  <c r="C342" i="9"/>
  <c r="C343" i="9"/>
  <c r="C344" i="9"/>
  <c r="C345" i="9"/>
  <c r="C346" i="9"/>
  <c r="C348" i="9"/>
  <c r="C349" i="9"/>
  <c r="C350" i="9"/>
  <c r="C351" i="9"/>
  <c r="C353" i="9"/>
  <c r="C355" i="9"/>
  <c r="C357" i="9"/>
  <c r="C358" i="9"/>
  <c r="C359" i="9"/>
  <c r="C360" i="9"/>
  <c r="C361" i="9"/>
  <c r="C362" i="9"/>
  <c r="C363" i="9"/>
  <c r="C364" i="9"/>
  <c r="C366" i="9"/>
  <c r="C367" i="9"/>
  <c r="C368" i="9"/>
  <c r="C369" i="9"/>
  <c r="C370" i="9"/>
  <c r="C371" i="9"/>
  <c r="C373" i="9"/>
  <c r="C374" i="9"/>
  <c r="C375" i="9"/>
  <c r="C377" i="9"/>
  <c r="C378" i="9"/>
  <c r="C379" i="9"/>
  <c r="C380" i="9"/>
  <c r="C381" i="9"/>
  <c r="C382" i="9"/>
  <c r="C383" i="9"/>
  <c r="C385" i="9"/>
  <c r="C386" i="9"/>
  <c r="C387" i="9"/>
  <c r="C388" i="9"/>
  <c r="C389" i="9"/>
  <c r="C390" i="9"/>
  <c r="C392" i="9"/>
  <c r="C393" i="9"/>
  <c r="C394" i="9"/>
  <c r="C395" i="9"/>
  <c r="AE3" i="8"/>
  <c r="AE4" i="8"/>
  <c r="AE5" i="8"/>
  <c r="AE6" i="8"/>
  <c r="AE7" i="8"/>
  <c r="AE8" i="8"/>
  <c r="AE9" i="8"/>
  <c r="AE10" i="8"/>
  <c r="AE11" i="8"/>
  <c r="AE12" i="8"/>
  <c r="AE13" i="8"/>
  <c r="AE14" i="8"/>
  <c r="AE15" i="8"/>
  <c r="AE16" i="8"/>
  <c r="AE17" i="8"/>
  <c r="AE18" i="8"/>
  <c r="AE19" i="8"/>
  <c r="AE20" i="8"/>
  <c r="AE21" i="8"/>
  <c r="AE22" i="8"/>
  <c r="AE23" i="8"/>
  <c r="AE24" i="8"/>
  <c r="AE25" i="8"/>
  <c r="AE26" i="8"/>
  <c r="AE27" i="8"/>
  <c r="AE28" i="8"/>
  <c r="AE29" i="8"/>
  <c r="AE30" i="8"/>
  <c r="AE31" i="8"/>
  <c r="AE32" i="8"/>
  <c r="AE33" i="8"/>
  <c r="AE34" i="8"/>
  <c r="AE35" i="8"/>
  <c r="AE36" i="8"/>
  <c r="AE37" i="8"/>
  <c r="AE38" i="8"/>
  <c r="AE39" i="8"/>
  <c r="AE40" i="8"/>
  <c r="AE41" i="8"/>
  <c r="AE42" i="8"/>
  <c r="AE43" i="8"/>
  <c r="AE44" i="8"/>
  <c r="AE45" i="8"/>
  <c r="AE46" i="8"/>
  <c r="AE47" i="8"/>
  <c r="AE48" i="8"/>
  <c r="AE49" i="8"/>
  <c r="AE50" i="8"/>
  <c r="AE51" i="8"/>
  <c r="AE52" i="8"/>
  <c r="AE53" i="8"/>
  <c r="AE54" i="8"/>
  <c r="AE55" i="8"/>
  <c r="AE56" i="8"/>
  <c r="AE57" i="8"/>
  <c r="AE58" i="8"/>
  <c r="AE59" i="8"/>
  <c r="AE60" i="8"/>
  <c r="AE61" i="8"/>
  <c r="AE62" i="8"/>
  <c r="AE63" i="8"/>
  <c r="AE64" i="8"/>
  <c r="AE65" i="8"/>
  <c r="AE66" i="8"/>
  <c r="AE67" i="8"/>
  <c r="AE68" i="8"/>
  <c r="AE69" i="8"/>
  <c r="AE70" i="8"/>
  <c r="AE71" i="8"/>
  <c r="AE72" i="8"/>
  <c r="AE73" i="8"/>
  <c r="AE74" i="8"/>
  <c r="AE75" i="8"/>
  <c r="AE76" i="8"/>
  <c r="AE77" i="8"/>
  <c r="AE78" i="8"/>
  <c r="AE79" i="8"/>
  <c r="AE80" i="8"/>
  <c r="AE81" i="8"/>
  <c r="AE82" i="8"/>
  <c r="AE83" i="8"/>
  <c r="AE84" i="8"/>
  <c r="AE85" i="8"/>
  <c r="AE86" i="8"/>
  <c r="AE87" i="8"/>
  <c r="AE88" i="8"/>
  <c r="AE89" i="8"/>
  <c r="AE90" i="8"/>
  <c r="AE91" i="8"/>
  <c r="AE92" i="8"/>
  <c r="AE93" i="8"/>
  <c r="AE94" i="8"/>
  <c r="AE95" i="8"/>
  <c r="AE96" i="8"/>
  <c r="AE97" i="8"/>
  <c r="AE98" i="8"/>
  <c r="AE99" i="8"/>
  <c r="AE100" i="8"/>
  <c r="AE101" i="8"/>
  <c r="AE102" i="8"/>
  <c r="AE103" i="8"/>
  <c r="AE104" i="8"/>
  <c r="AE105" i="8"/>
  <c r="AE106" i="8"/>
  <c r="AE107" i="8"/>
  <c r="AE108" i="8"/>
  <c r="AE109" i="8"/>
  <c r="AE110" i="8"/>
  <c r="AC2" i="11"/>
  <c r="AD2" i="11" s="1"/>
  <c r="AC3" i="11"/>
  <c r="AD3" i="11" s="1"/>
  <c r="C87" i="12" s="1"/>
  <c r="D30" i="13" s="1"/>
  <c r="E30" i="13" s="1"/>
  <c r="AC4" i="11"/>
  <c r="AD4" i="11" s="1"/>
  <c r="C96" i="12" s="1"/>
  <c r="D35" i="13" s="1"/>
  <c r="AC5" i="11"/>
  <c r="AD5" i="11" s="1"/>
  <c r="C100" i="12" s="1"/>
  <c r="D37" i="13" s="1"/>
  <c r="AC6" i="11"/>
  <c r="AD6" i="11" s="1"/>
  <c r="C93" i="12" s="1"/>
  <c r="D33" i="13" s="1"/>
  <c r="AC7" i="11"/>
  <c r="AD7" i="11" s="1"/>
  <c r="C90" i="12" s="1"/>
  <c r="D31" i="13" s="1"/>
  <c r="AC8" i="11"/>
  <c r="AD8" i="11" s="1"/>
  <c r="AC9" i="11"/>
  <c r="AD9" i="11" s="1"/>
  <c r="C95" i="12" s="1"/>
  <c r="D34" i="13" s="1"/>
  <c r="AC10" i="11"/>
  <c r="AD10" i="11" s="1"/>
  <c r="C103" i="12" s="1"/>
  <c r="D38" i="13" s="1"/>
  <c r="AC11" i="11"/>
  <c r="AD11" i="11" s="1"/>
  <c r="C6" i="12" s="1"/>
  <c r="D5" i="13" s="1"/>
  <c r="AC12" i="11"/>
  <c r="AD12" i="11" s="1"/>
  <c r="C13" i="12" s="1"/>
  <c r="D7" i="13" s="1"/>
  <c r="AC13" i="11"/>
  <c r="AD13" i="11" s="1"/>
  <c r="C4" i="12" s="1"/>
  <c r="D2" i="13" s="1"/>
  <c r="AC14" i="11"/>
  <c r="AD14" i="11" s="1"/>
  <c r="AC15" i="11"/>
  <c r="AD15" i="11" s="1"/>
  <c r="AC16" i="11"/>
  <c r="AD16" i="11" s="1"/>
  <c r="C206" i="12" s="1"/>
  <c r="D48" i="13" s="1"/>
  <c r="AC17" i="11"/>
  <c r="AD17" i="11" s="1"/>
  <c r="C11" i="12" s="1"/>
  <c r="D6" i="13" s="1"/>
  <c r="AC18" i="11"/>
  <c r="AD18" i="11" s="1"/>
  <c r="C105" i="12" s="1"/>
  <c r="D39" i="13" s="1"/>
  <c r="AC19" i="11"/>
  <c r="AD19" i="11" s="1"/>
  <c r="C159" i="12" s="1"/>
  <c r="D43" i="13" s="1"/>
  <c r="AC20" i="11"/>
  <c r="AD20" i="11" s="1"/>
  <c r="C164" i="12" s="1"/>
  <c r="D44" i="13" s="1"/>
  <c r="AC21" i="11"/>
  <c r="AD21" i="11" s="1"/>
  <c r="C166" i="12" s="1"/>
  <c r="D45" i="13" s="1"/>
  <c r="AC22" i="11"/>
  <c r="AD22" i="11" s="1"/>
  <c r="C152" i="12" s="1"/>
  <c r="D40" i="13" s="1"/>
  <c r="AC23" i="11"/>
  <c r="AD23" i="11" s="1"/>
  <c r="C153" i="12" s="1"/>
  <c r="D41" i="13" s="1"/>
  <c r="AC24" i="11"/>
  <c r="AD24" i="11" s="1"/>
  <c r="C337" i="12" s="1"/>
  <c r="D51" i="13" s="1"/>
  <c r="AC25" i="11"/>
  <c r="AD25" i="11" s="1"/>
  <c r="C362" i="12" s="1"/>
  <c r="D55" i="13" s="1"/>
  <c r="AC26" i="11"/>
  <c r="AD26" i="11" s="1"/>
  <c r="C369" i="12" s="1"/>
  <c r="D56" i="13" s="1"/>
  <c r="AC27" i="11"/>
  <c r="AD27" i="11" s="1"/>
  <c r="C344" i="12" s="1"/>
  <c r="D52" i="13" s="1"/>
  <c r="AC28" i="11"/>
  <c r="AD28" i="11" s="1"/>
  <c r="AC29" i="11"/>
  <c r="AD29" i="11" s="1"/>
  <c r="C40" i="12" s="1"/>
  <c r="D16" i="13" s="1"/>
  <c r="AC30" i="11"/>
  <c r="AC31" i="11"/>
  <c r="AD31" i="11" s="1"/>
  <c r="C71" i="12" s="1"/>
  <c r="D24" i="13" s="1"/>
  <c r="AC32" i="11"/>
  <c r="AD32" i="11" s="1"/>
  <c r="C82" i="12" s="1"/>
  <c r="D29" i="13" s="1"/>
  <c r="AC33" i="11"/>
  <c r="AD33" i="11" s="1"/>
  <c r="C69" i="12" s="1"/>
  <c r="D22" i="13" s="1"/>
  <c r="AC34" i="11"/>
  <c r="AD34" i="11" s="1"/>
  <c r="C70" i="12" s="1"/>
  <c r="D23" i="13" s="1"/>
  <c r="AC35" i="11"/>
  <c r="AD35" i="11" s="1"/>
  <c r="C78" i="12" s="1"/>
  <c r="D27" i="13" s="1"/>
  <c r="AC36" i="11"/>
  <c r="AD36" i="11" s="1"/>
  <c r="C79" i="12" s="1"/>
  <c r="D28" i="13" s="1"/>
  <c r="AC37" i="11"/>
  <c r="AD37" i="11" s="1"/>
  <c r="C202" i="12" s="1"/>
  <c r="D47" i="13" s="1"/>
  <c r="AC38" i="11"/>
  <c r="AD38" i="11" s="1"/>
  <c r="C25" i="12" s="1"/>
  <c r="D13" i="13" s="1"/>
  <c r="AC39" i="11"/>
  <c r="AD39" i="11" s="1"/>
  <c r="C168" i="12" s="1"/>
  <c r="D46" i="13" s="1"/>
  <c r="AC40" i="11"/>
  <c r="AD40" i="11" s="1"/>
  <c r="C154" i="12" s="1"/>
  <c r="D42" i="13" s="1"/>
  <c r="AC41" i="11"/>
  <c r="AD41" i="11" s="1"/>
  <c r="C77" i="12" s="1"/>
  <c r="D26" i="13" s="1"/>
  <c r="AC42" i="11"/>
  <c r="AD42" i="11" s="1"/>
  <c r="C73" i="12" s="1"/>
  <c r="D25" i="13" s="1"/>
  <c r="AC43" i="11"/>
  <c r="AD43" i="11" s="1"/>
  <c r="C29" i="12" s="1"/>
  <c r="D14" i="13" s="1"/>
  <c r="AC44" i="11"/>
  <c r="AD44" i="11" s="1"/>
  <c r="C49" i="12" s="1"/>
  <c r="D18" i="13" s="1"/>
  <c r="AC45" i="11"/>
  <c r="AD45" i="11" s="1"/>
  <c r="C324" i="12" s="1"/>
  <c r="D49" i="13" s="1"/>
  <c r="AC46" i="11"/>
  <c r="AD46" i="11" s="1"/>
  <c r="C349" i="12" s="1"/>
  <c r="D53" i="13" s="1"/>
  <c r="AC47" i="11"/>
  <c r="AD47" i="11" s="1"/>
  <c r="C51" i="12" s="1"/>
  <c r="D20" i="13" s="1"/>
  <c r="AC48" i="11"/>
  <c r="AD48" i="11" s="1"/>
  <c r="C326" i="12" s="1"/>
  <c r="D50" i="13" s="1"/>
  <c r="AC49" i="11"/>
  <c r="AD49" i="11" s="1"/>
  <c r="C351" i="12" s="1"/>
  <c r="D54" i="13" s="1"/>
  <c r="AC50" i="11"/>
  <c r="AD50" i="11" s="1"/>
  <c r="C50" i="12" s="1"/>
  <c r="D19" i="13" s="1"/>
  <c r="AC51" i="11"/>
  <c r="AD51" i="11" s="1"/>
  <c r="C52" i="12" s="1"/>
  <c r="D21" i="13" s="1"/>
  <c r="AC52" i="11"/>
  <c r="AD52" i="11" s="1"/>
  <c r="C16" i="12" s="1"/>
  <c r="D8" i="13" s="1"/>
  <c r="AC53" i="11"/>
  <c r="AD53" i="11" s="1"/>
  <c r="C19" i="12" s="1"/>
  <c r="AC54" i="11"/>
  <c r="AD54" i="11" s="1"/>
  <c r="AC55" i="11"/>
  <c r="AD55" i="11" s="1"/>
  <c r="AC56" i="11"/>
  <c r="AD56" i="11" s="1"/>
  <c r="C21" i="12" s="1"/>
  <c r="D12" i="13" s="1"/>
  <c r="A2" i="11"/>
  <c r="D98" i="12" s="1"/>
  <c r="D2" i="11"/>
  <c r="D3" i="11" s="1"/>
  <c r="D4" i="11" s="1"/>
  <c r="D5" i="11" s="1"/>
  <c r="D6" i="11" s="1"/>
  <c r="D7" i="11" s="1"/>
  <c r="D8" i="11" s="1"/>
  <c r="D9" i="11" s="1"/>
  <c r="D10" i="11" s="1"/>
  <c r="D11" i="11" s="1"/>
  <c r="D12" i="11" s="1"/>
  <c r="D13" i="11" s="1"/>
  <c r="D14" i="11" s="1"/>
  <c r="D15" i="11" s="1"/>
  <c r="D16" i="11" s="1"/>
  <c r="D17" i="11" s="1"/>
  <c r="D18" i="11" s="1"/>
  <c r="D19" i="11" s="1"/>
  <c r="D20" i="11" s="1"/>
  <c r="D21" i="11" s="1"/>
  <c r="D22" i="11" s="1"/>
  <c r="D23" i="11" s="1"/>
  <c r="D24" i="11" s="1"/>
  <c r="D25" i="11" s="1"/>
  <c r="D26" i="11" s="1"/>
  <c r="D27" i="11" s="1"/>
  <c r="D28" i="11" s="1"/>
  <c r="D29" i="11" s="1"/>
  <c r="D30" i="11" s="1"/>
  <c r="D31" i="11" s="1"/>
  <c r="D32" i="11" s="1"/>
  <c r="D33" i="11" s="1"/>
  <c r="D34" i="11" s="1"/>
  <c r="D35" i="11" s="1"/>
  <c r="D36" i="11" s="1"/>
  <c r="D37" i="11" s="1"/>
  <c r="D38" i="11" s="1"/>
  <c r="D39" i="11" s="1"/>
  <c r="D40" i="11" s="1"/>
  <c r="D41" i="11" s="1"/>
  <c r="D42" i="11" s="1"/>
  <c r="D43" i="11" s="1"/>
  <c r="D44" i="11" s="1"/>
  <c r="D45" i="11" s="1"/>
  <c r="D46" i="11" s="1"/>
  <c r="D47" i="11" s="1"/>
  <c r="D48" i="11" s="1"/>
  <c r="D49" i="11" s="1"/>
  <c r="D50" i="11" s="1"/>
  <c r="D51" i="11" s="1"/>
  <c r="D52" i="11" s="1"/>
  <c r="D53" i="11" s="1"/>
  <c r="D54" i="11" s="1"/>
  <c r="D55" i="11" s="1"/>
  <c r="D56" i="11" s="1"/>
  <c r="C2" i="11"/>
  <c r="C3" i="11" s="1"/>
  <c r="C4" i="11" s="1"/>
  <c r="C5" i="11" s="1"/>
  <c r="C6" i="11" s="1"/>
  <c r="C7" i="11" s="1"/>
  <c r="C8" i="11" s="1"/>
  <c r="C9" i="11" s="1"/>
  <c r="C10" i="11" s="1"/>
  <c r="C11" i="11" s="1"/>
  <c r="C12" i="11" s="1"/>
  <c r="C13" i="11" s="1"/>
  <c r="C14" i="11" s="1"/>
  <c r="C15" i="11" s="1"/>
  <c r="C16" i="11" s="1"/>
  <c r="C17" i="11" s="1"/>
  <c r="C18" i="11" s="1"/>
  <c r="C19" i="11" s="1"/>
  <c r="C20" i="11" s="1"/>
  <c r="C21" i="11" s="1"/>
  <c r="C22" i="11" s="1"/>
  <c r="C23" i="11" s="1"/>
  <c r="C24" i="11" s="1"/>
  <c r="C25" i="11" s="1"/>
  <c r="C26" i="11" s="1"/>
  <c r="C27" i="11" s="1"/>
  <c r="C28" i="11" s="1"/>
  <c r="C29" i="11" s="1"/>
  <c r="C30" i="11" s="1"/>
  <c r="C31" i="11" s="1"/>
  <c r="C32" i="11" s="1"/>
  <c r="C33" i="11" s="1"/>
  <c r="C34" i="11" s="1"/>
  <c r="C35" i="11" s="1"/>
  <c r="C36" i="11" s="1"/>
  <c r="C37" i="11" s="1"/>
  <c r="C38" i="11" s="1"/>
  <c r="C39" i="11" s="1"/>
  <c r="C40" i="11" s="1"/>
  <c r="C41" i="11" s="1"/>
  <c r="C42" i="11" s="1"/>
  <c r="C43" i="11" s="1"/>
  <c r="C44" i="11" s="1"/>
  <c r="C45" i="11" s="1"/>
  <c r="C46" i="11" s="1"/>
  <c r="C47" i="11" s="1"/>
  <c r="C48" i="11" s="1"/>
  <c r="C49" i="11" s="1"/>
  <c r="C50" i="11" s="1"/>
  <c r="C51" i="11" s="1"/>
  <c r="C52" i="11" s="1"/>
  <c r="C53" i="11" s="1"/>
  <c r="C54" i="11" s="1"/>
  <c r="C55" i="11" s="1"/>
  <c r="C56" i="11" s="1"/>
  <c r="B2" i="11"/>
  <c r="B3" i="11" s="1"/>
  <c r="B4" i="11" s="1"/>
  <c r="B5" i="11" s="1"/>
  <c r="B6" i="11" s="1"/>
  <c r="B7" i="11" s="1"/>
  <c r="B8" i="11" s="1"/>
  <c r="B9" i="11" s="1"/>
  <c r="B10" i="11" s="1"/>
  <c r="B11" i="11" s="1"/>
  <c r="B12" i="11" s="1"/>
  <c r="B13" i="11" s="1"/>
  <c r="B14" i="11" s="1"/>
  <c r="B15" i="11" s="1"/>
  <c r="B16" i="11" s="1"/>
  <c r="B17" i="11" s="1"/>
  <c r="B18" i="11" s="1"/>
  <c r="B19" i="11" s="1"/>
  <c r="B20" i="11" s="1"/>
  <c r="B21" i="11" s="1"/>
  <c r="B22" i="11" s="1"/>
  <c r="B23" i="11" s="1"/>
  <c r="B24" i="11" s="1"/>
  <c r="B25" i="11" s="1"/>
  <c r="B26" i="11" s="1"/>
  <c r="B27" i="11" s="1"/>
  <c r="B28" i="11" s="1"/>
  <c r="B29" i="11" s="1"/>
  <c r="B30" i="11" s="1"/>
  <c r="B31" i="11" s="1"/>
  <c r="B32" i="11" s="1"/>
  <c r="B33" i="11" s="1"/>
  <c r="B34" i="11" s="1"/>
  <c r="B35" i="11" s="1"/>
  <c r="B36" i="11" s="1"/>
  <c r="B37" i="11" s="1"/>
  <c r="B38" i="11" s="1"/>
  <c r="B39" i="11" s="1"/>
  <c r="B40" i="11" s="1"/>
  <c r="B41" i="11" s="1"/>
  <c r="B42" i="11" s="1"/>
  <c r="B43" i="11" s="1"/>
  <c r="B44" i="11" s="1"/>
  <c r="B45" i="11" s="1"/>
  <c r="B46" i="11" s="1"/>
  <c r="B47" i="11" s="1"/>
  <c r="B48" i="11" s="1"/>
  <c r="B49" i="11" s="1"/>
  <c r="B50" i="11" s="1"/>
  <c r="B51" i="11" s="1"/>
  <c r="B52" i="11" s="1"/>
  <c r="B53" i="11" s="1"/>
  <c r="B54" i="11" s="1"/>
  <c r="B55" i="11" s="1"/>
  <c r="B56" i="11" s="1"/>
  <c r="E44" i="13" l="1"/>
  <c r="E35" i="13"/>
  <c r="E56" i="13"/>
  <c r="E38" i="13"/>
  <c r="E43" i="13"/>
  <c r="E39" i="13"/>
  <c r="E3" i="13"/>
  <c r="C98" i="12"/>
  <c r="D36" i="13" s="1"/>
  <c r="E36" i="13" s="1"/>
  <c r="E6" i="13"/>
  <c r="E48" i="13"/>
  <c r="AD30" i="11"/>
  <c r="E2" i="13"/>
  <c r="E7" i="13"/>
  <c r="E52" i="13"/>
  <c r="E5" i="13"/>
  <c r="E55" i="13"/>
  <c r="E34" i="13"/>
  <c r="E51" i="13"/>
  <c r="E4" i="13"/>
  <c r="C92" i="12"/>
  <c r="D32" i="13" s="1"/>
  <c r="E32" i="13" s="1"/>
  <c r="E41" i="13"/>
  <c r="E31" i="13"/>
  <c r="E40" i="13"/>
  <c r="E33" i="13"/>
  <c r="E45" i="13"/>
  <c r="E37" i="13"/>
  <c r="E20" i="13"/>
  <c r="E46" i="13"/>
  <c r="E13" i="13"/>
  <c r="E14" i="13"/>
  <c r="E54" i="13"/>
  <c r="E22" i="13"/>
  <c r="E42" i="13"/>
  <c r="E28" i="13"/>
  <c r="E24" i="13"/>
  <c r="E25" i="13"/>
  <c r="E26" i="13"/>
  <c r="E53" i="13"/>
  <c r="E47" i="13"/>
  <c r="E8" i="13"/>
  <c r="E19" i="13"/>
  <c r="E49" i="13"/>
  <c r="E21" i="13"/>
  <c r="E16" i="13"/>
  <c r="C39" i="12"/>
  <c r="D15" i="13" s="1"/>
  <c r="E15" i="13" s="1"/>
  <c r="E29" i="13"/>
  <c r="E50" i="13"/>
  <c r="E23" i="13"/>
  <c r="E27" i="13"/>
  <c r="E9" i="13"/>
  <c r="AC110" i="8"/>
  <c r="AD110" i="8" s="1"/>
  <c r="C313" i="9" s="1"/>
  <c r="A110" i="8"/>
  <c r="D313" i="9" s="1"/>
  <c r="AC109" i="8"/>
  <c r="AD109" i="8" s="1"/>
  <c r="C297" i="9" s="1"/>
  <c r="A109" i="8"/>
  <c r="D297" i="9" s="1"/>
  <c r="AC108" i="8"/>
  <c r="AD108" i="8" s="1"/>
  <c r="C281" i="9" s="1"/>
  <c r="A108" i="8"/>
  <c r="D281" i="9" s="1"/>
  <c r="AC107" i="8"/>
  <c r="AD107" i="8" s="1"/>
  <c r="C265" i="9" s="1"/>
  <c r="A107" i="8"/>
  <c r="D265" i="9" s="1"/>
  <c r="AC106" i="8"/>
  <c r="AD106" i="8" s="1"/>
  <c r="C249" i="9" s="1"/>
  <c r="A106" i="8"/>
  <c r="D249" i="9" s="1"/>
  <c r="AC105" i="8"/>
  <c r="AD105" i="8" s="1"/>
  <c r="C227" i="9" s="1"/>
  <c r="A105" i="8"/>
  <c r="D227" i="9" s="1"/>
  <c r="AC104" i="8"/>
  <c r="AD104" i="8" s="1"/>
  <c r="C316" i="9" s="1"/>
  <c r="A104" i="8"/>
  <c r="D316" i="9" s="1"/>
  <c r="AC103" i="8"/>
  <c r="AD103" i="8" s="1"/>
  <c r="C300" i="9" s="1"/>
  <c r="A103" i="8"/>
  <c r="D300" i="9" s="1"/>
  <c r="AC102" i="8"/>
  <c r="AD102" i="8" s="1"/>
  <c r="C284" i="9" s="1"/>
  <c r="A102" i="8"/>
  <c r="D284" i="9" s="1"/>
  <c r="AC101" i="8"/>
  <c r="AD101" i="8" s="1"/>
  <c r="C268" i="9" s="1"/>
  <c r="A101" i="8"/>
  <c r="D268" i="9" s="1"/>
  <c r="AC100" i="8"/>
  <c r="AD100" i="8" s="1"/>
  <c r="C252" i="9" s="1"/>
  <c r="A100" i="8"/>
  <c r="D252" i="9" s="1"/>
  <c r="AC99" i="8"/>
  <c r="AD99" i="8" s="1"/>
  <c r="C232" i="9" s="1"/>
  <c r="A99" i="8"/>
  <c r="D232" i="9" s="1"/>
  <c r="AC98" i="8"/>
  <c r="AD98" i="8" s="1"/>
  <c r="C311" i="9" s="1"/>
  <c r="A98" i="8"/>
  <c r="D311" i="9" s="1"/>
  <c r="AC97" i="8"/>
  <c r="AD97" i="8" s="1"/>
  <c r="C295" i="9" s="1"/>
  <c r="A97" i="8"/>
  <c r="D295" i="9" s="1"/>
  <c r="AD96" i="8"/>
  <c r="C279" i="9" s="1"/>
  <c r="AC96" i="8"/>
  <c r="A96" i="8"/>
  <c r="D279" i="9" s="1"/>
  <c r="AD95" i="8"/>
  <c r="C263" i="9" s="1"/>
  <c r="AC95" i="8"/>
  <c r="A95" i="8"/>
  <c r="D263" i="9" s="1"/>
  <c r="AC94" i="8"/>
  <c r="AD94" i="8" s="1"/>
  <c r="C247" i="9" s="1"/>
  <c r="A94" i="8"/>
  <c r="D247" i="9" s="1"/>
  <c r="AD93" i="8"/>
  <c r="C225" i="9" s="1"/>
  <c r="AC93" i="8"/>
  <c r="A93" i="8"/>
  <c r="D225" i="9" s="1"/>
  <c r="AC92" i="8"/>
  <c r="AD92" i="8" s="1"/>
  <c r="C56" i="9" s="1"/>
  <c r="A92" i="8"/>
  <c r="D56" i="9" s="1"/>
  <c r="AC91" i="8"/>
  <c r="AD91" i="8" s="1"/>
  <c r="C55" i="9" s="1"/>
  <c r="A91" i="8"/>
  <c r="D55" i="9" s="1"/>
  <c r="AC90" i="8"/>
  <c r="AD90" i="8" s="1"/>
  <c r="C52" i="9" s="1"/>
  <c r="A90" i="8"/>
  <c r="D52" i="9" s="1"/>
  <c r="AC89" i="8"/>
  <c r="AD89" i="8" s="1"/>
  <c r="C50" i="9" s="1"/>
  <c r="A89" i="8"/>
  <c r="D50" i="9" s="1"/>
  <c r="AC88" i="8"/>
  <c r="AD88" i="8" s="1"/>
  <c r="C354" i="9" s="1"/>
  <c r="A88" i="8"/>
  <c r="D354" i="9" s="1"/>
  <c r="AC87" i="8"/>
  <c r="AD87" i="8" s="1"/>
  <c r="C329" i="9" s="1"/>
  <c r="A87" i="8"/>
  <c r="D329" i="9" s="1"/>
  <c r="AC86" i="8"/>
  <c r="AD86" i="8" s="1"/>
  <c r="C51" i="9" s="1"/>
  <c r="A86" i="8"/>
  <c r="D51" i="9" s="1"/>
  <c r="AC85" i="8"/>
  <c r="AD85" i="8" s="1"/>
  <c r="C356" i="9" s="1"/>
  <c r="A85" i="8"/>
  <c r="D356" i="9" s="1"/>
  <c r="AC84" i="8"/>
  <c r="AD84" i="8" s="1"/>
  <c r="C331" i="9" s="1"/>
  <c r="A84" i="8"/>
  <c r="D331" i="9" s="1"/>
  <c r="AC83" i="8"/>
  <c r="AD83" i="8" s="1"/>
  <c r="C352" i="9" s="1"/>
  <c r="A83" i="8"/>
  <c r="D352" i="9" s="1"/>
  <c r="AC82" i="8"/>
  <c r="AD82" i="8" s="1"/>
  <c r="C327" i="9" s="1"/>
  <c r="A82" i="8"/>
  <c r="D327" i="9" s="1"/>
  <c r="AC81" i="8"/>
  <c r="AD81" i="8" s="1"/>
  <c r="C49" i="9" s="1"/>
  <c r="A81" i="8"/>
  <c r="D49" i="9" s="1"/>
  <c r="AC80" i="8"/>
  <c r="AD80" i="8" s="1"/>
  <c r="C29" i="9" s="1"/>
  <c r="A80" i="8"/>
  <c r="D29" i="9" s="1"/>
  <c r="AC79" i="8"/>
  <c r="AD79" i="8" s="1"/>
  <c r="C73" i="9" s="1"/>
  <c r="A79" i="8"/>
  <c r="D73" i="9" s="1"/>
  <c r="AC78" i="8"/>
  <c r="AD78" i="8" s="1"/>
  <c r="C77" i="9" s="1"/>
  <c r="A78" i="8"/>
  <c r="D77" i="9" s="1"/>
  <c r="AC77" i="8"/>
  <c r="AD77" i="8" s="1"/>
  <c r="C156" i="9" s="1"/>
  <c r="A77" i="8"/>
  <c r="D156" i="9" s="1"/>
  <c r="AC76" i="8"/>
  <c r="AD76" i="8" s="1"/>
  <c r="C170" i="9" s="1"/>
  <c r="A76" i="8"/>
  <c r="D170" i="9" s="1"/>
  <c r="AC75" i="8"/>
  <c r="AD75" i="8" s="1"/>
  <c r="C25" i="9" s="1"/>
  <c r="A75" i="8"/>
  <c r="D25" i="9" s="1"/>
  <c r="AC74" i="8"/>
  <c r="AD74" i="8" s="1"/>
  <c r="C79" i="9" s="1"/>
  <c r="A74" i="8"/>
  <c r="D79" i="9" s="1"/>
  <c r="AC73" i="8"/>
  <c r="AD73" i="8" s="1"/>
  <c r="C69" i="9" s="1"/>
  <c r="A73" i="8"/>
  <c r="D69" i="9" s="1"/>
  <c r="AC72" i="8"/>
  <c r="AD72" i="8" s="1"/>
  <c r="C82" i="9" s="1"/>
  <c r="A72" i="8"/>
  <c r="D82" i="9" s="1"/>
  <c r="AC71" i="8"/>
  <c r="AD71" i="8" s="1"/>
  <c r="C42" i="9" s="1"/>
  <c r="A71" i="8"/>
  <c r="D42" i="9" s="1"/>
  <c r="AC70" i="8"/>
  <c r="AD70" i="8" s="1"/>
  <c r="C40" i="9" s="1"/>
  <c r="A70" i="8"/>
  <c r="D40" i="9" s="1"/>
  <c r="AC69" i="8"/>
  <c r="AD69" i="8" s="1"/>
  <c r="C206" i="9" s="1"/>
  <c r="A69" i="8"/>
  <c r="D206" i="9" s="1"/>
  <c r="AC68" i="8"/>
  <c r="AD68" i="8" s="1"/>
  <c r="C39" i="9" s="1"/>
  <c r="A68" i="8"/>
  <c r="D39" i="9" s="1"/>
  <c r="AC67" i="8"/>
  <c r="AD67" i="8" s="1"/>
  <c r="C347" i="9" s="1"/>
  <c r="A67" i="8"/>
  <c r="D347" i="9" s="1"/>
  <c r="AC66" i="8"/>
  <c r="AD66" i="8" s="1"/>
  <c r="C372" i="9" s="1"/>
  <c r="A66" i="8"/>
  <c r="D372" i="9" s="1"/>
  <c r="AC65" i="8"/>
  <c r="AD65" i="8" s="1"/>
  <c r="C365" i="9" s="1"/>
  <c r="A65" i="8"/>
  <c r="D365" i="9" s="1"/>
  <c r="AC64" i="8"/>
  <c r="AD64" i="8" s="1"/>
  <c r="C340" i="9" s="1"/>
  <c r="A64" i="8"/>
  <c r="D340" i="9" s="1"/>
  <c r="AC63" i="8"/>
  <c r="AD63" i="8" s="1"/>
  <c r="C376" i="9" s="1"/>
  <c r="A63" i="8"/>
  <c r="D376" i="9" s="1"/>
  <c r="AC62" i="8"/>
  <c r="AD62" i="8" s="1"/>
  <c r="C155" i="9" s="1"/>
  <c r="A62" i="8"/>
  <c r="D155" i="9" s="1"/>
  <c r="AC61" i="8"/>
  <c r="AD61" i="8" s="1"/>
  <c r="C154" i="9" s="1"/>
  <c r="A61" i="8"/>
  <c r="D154" i="9" s="1"/>
  <c r="AC60" i="8"/>
  <c r="AD60" i="8" s="1"/>
  <c r="C168" i="9" s="1"/>
  <c r="A60" i="8"/>
  <c r="D168" i="9" s="1"/>
  <c r="AC59" i="8"/>
  <c r="AD59" i="8" s="1"/>
  <c r="C166" i="9" s="1"/>
  <c r="A59" i="8"/>
  <c r="D166" i="9" s="1"/>
  <c r="AC58" i="8"/>
  <c r="AD58" i="8" s="1"/>
  <c r="C161" i="9" s="1"/>
  <c r="A58" i="8"/>
  <c r="D161" i="9" s="1"/>
  <c r="AC57" i="8"/>
  <c r="AD57" i="8" s="1"/>
  <c r="A57" i="8"/>
  <c r="AC56" i="8"/>
  <c r="AD56" i="8" s="1"/>
  <c r="A56" i="8"/>
  <c r="AC55" i="8"/>
  <c r="AD55" i="8" s="1"/>
  <c r="C396" i="9" s="1"/>
  <c r="A55" i="8"/>
  <c r="D396" i="9" s="1"/>
  <c r="AC54" i="8"/>
  <c r="AD54" i="8" s="1"/>
  <c r="C391" i="9" s="1"/>
  <c r="A54" i="8"/>
  <c r="D391" i="9" s="1"/>
  <c r="AC53" i="8"/>
  <c r="AD53" i="8" s="1"/>
  <c r="C384" i="9" s="1"/>
  <c r="A53" i="8"/>
  <c r="D384" i="9" s="1"/>
  <c r="AC52" i="8"/>
  <c r="AD52" i="8" s="1"/>
  <c r="C322" i="9" s="1"/>
  <c r="A52" i="8"/>
  <c r="D322" i="9" s="1"/>
  <c r="AC51" i="8"/>
  <c r="AD51" i="8" s="1"/>
  <c r="C306" i="9" s="1"/>
  <c r="A51" i="8"/>
  <c r="D306" i="9" s="1"/>
  <c r="AC50" i="8"/>
  <c r="AD50" i="8" s="1"/>
  <c r="C290" i="9" s="1"/>
  <c r="A50" i="8"/>
  <c r="D290" i="9" s="1"/>
  <c r="AC49" i="8"/>
  <c r="AD49" i="8" s="1"/>
  <c r="C274" i="9" s="1"/>
  <c r="A49" i="8"/>
  <c r="D274" i="9" s="1"/>
  <c r="AC48" i="8"/>
  <c r="AD48" i="8" s="1"/>
  <c r="C258" i="9" s="1"/>
  <c r="A48" i="8"/>
  <c r="D258" i="9" s="1"/>
  <c r="AC47" i="8"/>
  <c r="AD47" i="8" s="1"/>
  <c r="C238" i="9" s="1"/>
  <c r="A47" i="8"/>
  <c r="D238" i="9" s="1"/>
  <c r="AC46" i="8"/>
  <c r="AD46" i="8" s="1"/>
  <c r="C318" i="9" s="1"/>
  <c r="A46" i="8"/>
  <c r="D318" i="9" s="1"/>
  <c r="AC45" i="8"/>
  <c r="AD45" i="8" s="1"/>
  <c r="C302" i="9" s="1"/>
  <c r="A45" i="8"/>
  <c r="D302" i="9" s="1"/>
  <c r="AD44" i="8"/>
  <c r="C286" i="9" s="1"/>
  <c r="AC44" i="8"/>
  <c r="A44" i="8"/>
  <c r="D286" i="9" s="1"/>
  <c r="AC43" i="8"/>
  <c r="AD43" i="8" s="1"/>
  <c r="C270" i="9" s="1"/>
  <c r="A43" i="8"/>
  <c r="D270" i="9" s="1"/>
  <c r="AC42" i="8"/>
  <c r="AD42" i="8" s="1"/>
  <c r="C254" i="9" s="1"/>
  <c r="A42" i="8"/>
  <c r="D254" i="9" s="1"/>
  <c r="AC41" i="8"/>
  <c r="AD41" i="8" s="1"/>
  <c r="C234" i="9" s="1"/>
  <c r="A41" i="8"/>
  <c r="D234" i="9" s="1"/>
  <c r="AC40" i="8"/>
  <c r="AD40" i="8" s="1"/>
  <c r="C319" i="9" s="1"/>
  <c r="A40" i="8"/>
  <c r="D319" i="9" s="1"/>
  <c r="AC39" i="8"/>
  <c r="AD39" i="8" s="1"/>
  <c r="C303" i="9" s="1"/>
  <c r="A39" i="8"/>
  <c r="D303" i="9" s="1"/>
  <c r="AC38" i="8"/>
  <c r="AD38" i="8" s="1"/>
  <c r="C287" i="9" s="1"/>
  <c r="A38" i="8"/>
  <c r="D287" i="9" s="1"/>
  <c r="AC37" i="8"/>
  <c r="AD37" i="8" s="1"/>
  <c r="C271" i="9" s="1"/>
  <c r="A37" i="8"/>
  <c r="D271" i="9" s="1"/>
  <c r="AC36" i="8"/>
  <c r="AD36" i="8" s="1"/>
  <c r="C255" i="9" s="1"/>
  <c r="A36" i="8"/>
  <c r="D255" i="9" s="1"/>
  <c r="AC35" i="8"/>
  <c r="AD35" i="8" s="1"/>
  <c r="C235" i="9" s="1"/>
  <c r="A35" i="8"/>
  <c r="D235" i="9" s="1"/>
  <c r="AC34" i="8"/>
  <c r="AD34" i="8" s="1"/>
  <c r="C308" i="9" s="1"/>
  <c r="A34" i="8"/>
  <c r="D308" i="9" s="1"/>
  <c r="AC33" i="8"/>
  <c r="AD33" i="8" s="1"/>
  <c r="C292" i="9" s="1"/>
  <c r="A33" i="8"/>
  <c r="D292" i="9" s="1"/>
  <c r="AC32" i="8"/>
  <c r="AD32" i="8" s="1"/>
  <c r="C276" i="9" s="1"/>
  <c r="A32" i="8"/>
  <c r="D276" i="9" s="1"/>
  <c r="AD31" i="8"/>
  <c r="C260" i="9" s="1"/>
  <c r="AC31" i="8"/>
  <c r="A31" i="8"/>
  <c r="D260" i="9" s="1"/>
  <c r="AC30" i="8"/>
  <c r="AD30" i="8" s="1"/>
  <c r="C244" i="9" s="1"/>
  <c r="A30" i="8"/>
  <c r="D244" i="9" s="1"/>
  <c r="AC29" i="8"/>
  <c r="AD29" i="8" s="1"/>
  <c r="C218" i="9" s="1"/>
  <c r="A29" i="8"/>
  <c r="D218" i="9" s="1"/>
  <c r="AC28" i="8"/>
  <c r="AD28" i="8" s="1"/>
  <c r="C11" i="9" s="1"/>
  <c r="A28" i="8"/>
  <c r="D11" i="9" s="1"/>
  <c r="AC27" i="8"/>
  <c r="AD27" i="8" s="1"/>
  <c r="A27" i="8"/>
  <c r="AC26" i="8"/>
  <c r="AD26" i="8" s="1"/>
  <c r="A26" i="8"/>
  <c r="AC25" i="8"/>
  <c r="AD25" i="8" s="1"/>
  <c r="C4" i="9" s="1"/>
  <c r="A25" i="8"/>
  <c r="D4" i="9" s="1"/>
  <c r="AC24" i="8"/>
  <c r="AD24" i="8" s="1"/>
  <c r="C242" i="9" s="1"/>
  <c r="A24" i="8"/>
  <c r="D242" i="9" s="1"/>
  <c r="AC23" i="8"/>
  <c r="AD23" i="8" s="1"/>
  <c r="C13" i="9" s="1"/>
  <c r="A23" i="8"/>
  <c r="D13" i="9" s="1"/>
  <c r="AC22" i="8"/>
  <c r="AD22" i="8" s="1"/>
  <c r="C321" i="9" s="1"/>
  <c r="A22" i="8"/>
  <c r="D321" i="9" s="1"/>
  <c r="AC21" i="8"/>
  <c r="AD21" i="8" s="1"/>
  <c r="C305" i="9" s="1"/>
  <c r="A21" i="8"/>
  <c r="D305" i="9" s="1"/>
  <c r="AC20" i="8"/>
  <c r="AD20" i="8" s="1"/>
  <c r="C289" i="9" s="1"/>
  <c r="A20" i="8"/>
  <c r="D289" i="9" s="1"/>
  <c r="AC19" i="8"/>
  <c r="AD19" i="8" s="1"/>
  <c r="C273" i="9" s="1"/>
  <c r="A19" i="8"/>
  <c r="D273" i="9" s="1"/>
  <c r="AC18" i="8"/>
  <c r="AD18" i="8" s="1"/>
  <c r="C257" i="9" s="1"/>
  <c r="A18" i="8"/>
  <c r="D257" i="9" s="1"/>
  <c r="AC17" i="8"/>
  <c r="AD17" i="8" s="1"/>
  <c r="C237" i="9" s="1"/>
  <c r="A17" i="8"/>
  <c r="D237" i="9" s="1"/>
  <c r="AC16" i="8"/>
  <c r="AD16" i="8" s="1"/>
  <c r="C320" i="9" s="1"/>
  <c r="A16" i="8"/>
  <c r="D320" i="9" s="1"/>
  <c r="AC15" i="8"/>
  <c r="AD15" i="8" s="1"/>
  <c r="C304" i="9" s="1"/>
  <c r="A15" i="8"/>
  <c r="D304" i="9" s="1"/>
  <c r="AC14" i="8"/>
  <c r="AD14" i="8" s="1"/>
  <c r="C288" i="9" s="1"/>
  <c r="A14" i="8"/>
  <c r="D288" i="9" s="1"/>
  <c r="AC13" i="8"/>
  <c r="AD13" i="8" s="1"/>
  <c r="C272" i="9" s="1"/>
  <c r="A13" i="8"/>
  <c r="D272" i="9" s="1"/>
  <c r="AC12" i="8"/>
  <c r="AD12" i="8" s="1"/>
  <c r="C256" i="9" s="1"/>
  <c r="A12" i="8"/>
  <c r="D256" i="9" s="1"/>
  <c r="AC11" i="8"/>
  <c r="AD11" i="8" s="1"/>
  <c r="C236" i="9" s="1"/>
  <c r="A11" i="8"/>
  <c r="D236" i="9" s="1"/>
  <c r="AC10" i="8"/>
  <c r="AD10" i="8" s="1"/>
  <c r="C95" i="9" s="1"/>
  <c r="A10" i="8"/>
  <c r="D95" i="9" s="1"/>
  <c r="AC9" i="8"/>
  <c r="AD9" i="8" s="1"/>
  <c r="C90" i="9" s="1"/>
  <c r="A9" i="8"/>
  <c r="D90" i="9" s="1"/>
  <c r="AC8" i="8"/>
  <c r="AD8" i="8" s="1"/>
  <c r="C93" i="9" s="1"/>
  <c r="A8" i="8"/>
  <c r="D93" i="9" s="1"/>
  <c r="AC7" i="8"/>
  <c r="AD7" i="8" s="1"/>
  <c r="C89" i="9" s="1"/>
  <c r="A7" i="8"/>
  <c r="D89" i="9" s="1"/>
  <c r="AC6" i="8"/>
  <c r="AD6" i="8" s="1"/>
  <c r="C96" i="9" s="1"/>
  <c r="A6" i="8"/>
  <c r="D96" i="9" s="1"/>
  <c r="AC5" i="8"/>
  <c r="AD5" i="8" s="1"/>
  <c r="C87" i="9" s="1"/>
  <c r="A5" i="8"/>
  <c r="D87" i="9" s="1"/>
  <c r="AC4" i="8"/>
  <c r="AD4" i="8" s="1"/>
  <c r="C100" i="9" s="1"/>
  <c r="A4" i="8"/>
  <c r="D100" i="9" s="1"/>
  <c r="AC3" i="8"/>
  <c r="AD3" i="8" s="1"/>
  <c r="C98" i="9" s="1"/>
  <c r="A3" i="8"/>
  <c r="D98" i="9" s="1"/>
  <c r="AC2" i="8"/>
  <c r="AD2" i="8" s="1"/>
  <c r="D2" i="8"/>
  <c r="D3" i="8" s="1"/>
  <c r="D4" i="8" s="1"/>
  <c r="D5" i="8" s="1"/>
  <c r="D6" i="8" s="1"/>
  <c r="D7" i="8" s="1"/>
  <c r="D8" i="8" s="1"/>
  <c r="D9" i="8" s="1"/>
  <c r="D10" i="8" s="1"/>
  <c r="D11" i="8" s="1"/>
  <c r="D12" i="8" s="1"/>
  <c r="D13" i="8" s="1"/>
  <c r="D14" i="8" s="1"/>
  <c r="D15" i="8" s="1"/>
  <c r="D16" i="8" s="1"/>
  <c r="D17" i="8" s="1"/>
  <c r="D18" i="8" s="1"/>
  <c r="D19" i="8" s="1"/>
  <c r="D20" i="8" s="1"/>
  <c r="D21" i="8" s="1"/>
  <c r="D22" i="8" s="1"/>
  <c r="D23" i="8" s="1"/>
  <c r="D24" i="8" s="1"/>
  <c r="D25" i="8" s="1"/>
  <c r="D26" i="8" s="1"/>
  <c r="D27" i="8" s="1"/>
  <c r="D28" i="8" s="1"/>
  <c r="D29" i="8" s="1"/>
  <c r="D30" i="8" s="1"/>
  <c r="D31" i="8" s="1"/>
  <c r="D32" i="8" s="1"/>
  <c r="D33" i="8" s="1"/>
  <c r="D34" i="8" s="1"/>
  <c r="D35" i="8" s="1"/>
  <c r="D36" i="8" s="1"/>
  <c r="D37" i="8" s="1"/>
  <c r="D38" i="8" s="1"/>
  <c r="D39" i="8" s="1"/>
  <c r="D40" i="8" s="1"/>
  <c r="D41" i="8" s="1"/>
  <c r="D42" i="8" s="1"/>
  <c r="D43" i="8" s="1"/>
  <c r="D44" i="8" s="1"/>
  <c r="D45" i="8" s="1"/>
  <c r="D46" i="8" s="1"/>
  <c r="D47" i="8" s="1"/>
  <c r="D48" i="8" s="1"/>
  <c r="D49" i="8" s="1"/>
  <c r="D50" i="8" s="1"/>
  <c r="D51" i="8" s="1"/>
  <c r="D52" i="8" s="1"/>
  <c r="D53" i="8" s="1"/>
  <c r="D54" i="8" s="1"/>
  <c r="D55" i="8" s="1"/>
  <c r="D56" i="8" s="1"/>
  <c r="D57" i="8" s="1"/>
  <c r="D58" i="8" s="1"/>
  <c r="D59" i="8" s="1"/>
  <c r="D60" i="8" s="1"/>
  <c r="D61" i="8" s="1"/>
  <c r="D62" i="8" s="1"/>
  <c r="D63" i="8" s="1"/>
  <c r="D64" i="8" s="1"/>
  <c r="D65" i="8" s="1"/>
  <c r="D66" i="8" s="1"/>
  <c r="D67" i="8" s="1"/>
  <c r="D68" i="8" s="1"/>
  <c r="D69" i="8" s="1"/>
  <c r="D70" i="8" s="1"/>
  <c r="D71" i="8" s="1"/>
  <c r="D72" i="8" s="1"/>
  <c r="D73" i="8" s="1"/>
  <c r="D74" i="8" s="1"/>
  <c r="D75" i="8" s="1"/>
  <c r="D76" i="8" s="1"/>
  <c r="D77" i="8" s="1"/>
  <c r="D78" i="8" s="1"/>
  <c r="D79" i="8" s="1"/>
  <c r="D80" i="8" s="1"/>
  <c r="D81" i="8" s="1"/>
  <c r="D82" i="8" s="1"/>
  <c r="D83" i="8" s="1"/>
  <c r="D84" i="8" s="1"/>
  <c r="D85" i="8" s="1"/>
  <c r="D86" i="8" s="1"/>
  <c r="D87" i="8" s="1"/>
  <c r="D88" i="8" s="1"/>
  <c r="D89" i="8" s="1"/>
  <c r="D90" i="8" s="1"/>
  <c r="D91" i="8" s="1"/>
  <c r="D92" i="8" s="1"/>
  <c r="D93" i="8" s="1"/>
  <c r="D94" i="8" s="1"/>
  <c r="D95" i="8" s="1"/>
  <c r="D96" i="8" s="1"/>
  <c r="D97" i="8" s="1"/>
  <c r="D98" i="8" s="1"/>
  <c r="D99" i="8" s="1"/>
  <c r="D100" i="8" s="1"/>
  <c r="D101" i="8" s="1"/>
  <c r="D102" i="8" s="1"/>
  <c r="D103" i="8" s="1"/>
  <c r="D104" i="8" s="1"/>
  <c r="D105" i="8" s="1"/>
  <c r="D106" i="8" s="1"/>
  <c r="D107" i="8" s="1"/>
  <c r="D108" i="8" s="1"/>
  <c r="D109" i="8" s="1"/>
  <c r="D110" i="8" s="1"/>
  <c r="C2" i="8"/>
  <c r="C3" i="8" s="1"/>
  <c r="C4" i="8" s="1"/>
  <c r="C5" i="8" s="1"/>
  <c r="C6" i="8" s="1"/>
  <c r="C7" i="8" s="1"/>
  <c r="C8" i="8" s="1"/>
  <c r="C9" i="8" s="1"/>
  <c r="C10" i="8" s="1"/>
  <c r="C11" i="8" s="1"/>
  <c r="C12" i="8" s="1"/>
  <c r="C13" i="8" s="1"/>
  <c r="C14" i="8" s="1"/>
  <c r="C15" i="8" s="1"/>
  <c r="C16" i="8" s="1"/>
  <c r="C17" i="8" s="1"/>
  <c r="C18" i="8" s="1"/>
  <c r="C19" i="8" s="1"/>
  <c r="C20" i="8" s="1"/>
  <c r="C21" i="8" s="1"/>
  <c r="C22" i="8" s="1"/>
  <c r="C23" i="8" s="1"/>
  <c r="C24" i="8" s="1"/>
  <c r="C25" i="8" s="1"/>
  <c r="C26" i="8" s="1"/>
  <c r="C27" i="8" s="1"/>
  <c r="C28" i="8" s="1"/>
  <c r="C29" i="8" s="1"/>
  <c r="C30" i="8" s="1"/>
  <c r="C31" i="8" s="1"/>
  <c r="C32" i="8" s="1"/>
  <c r="C33" i="8" s="1"/>
  <c r="C34" i="8" s="1"/>
  <c r="C35" i="8" s="1"/>
  <c r="C36" i="8" s="1"/>
  <c r="C37" i="8" s="1"/>
  <c r="C38" i="8" s="1"/>
  <c r="C39" i="8" s="1"/>
  <c r="C40" i="8" s="1"/>
  <c r="C41" i="8" s="1"/>
  <c r="C42" i="8" s="1"/>
  <c r="C43" i="8" s="1"/>
  <c r="C44" i="8" s="1"/>
  <c r="C45" i="8" s="1"/>
  <c r="C46" i="8" s="1"/>
  <c r="C47" i="8" s="1"/>
  <c r="C48" i="8" s="1"/>
  <c r="C49" i="8" s="1"/>
  <c r="C50" i="8" s="1"/>
  <c r="C51" i="8" s="1"/>
  <c r="C52" i="8" s="1"/>
  <c r="C53" i="8" s="1"/>
  <c r="C54" i="8" s="1"/>
  <c r="C55" i="8" s="1"/>
  <c r="C56" i="8" s="1"/>
  <c r="C57" i="8" s="1"/>
  <c r="C58" i="8" s="1"/>
  <c r="C59" i="8" s="1"/>
  <c r="C60" i="8" s="1"/>
  <c r="C61" i="8" s="1"/>
  <c r="C62" i="8" s="1"/>
  <c r="C63" i="8" s="1"/>
  <c r="C64" i="8" s="1"/>
  <c r="C65" i="8" s="1"/>
  <c r="C66" i="8" s="1"/>
  <c r="C67" i="8" s="1"/>
  <c r="C68" i="8" s="1"/>
  <c r="C69" i="8" s="1"/>
  <c r="C70" i="8" s="1"/>
  <c r="C71" i="8" s="1"/>
  <c r="C72" i="8" s="1"/>
  <c r="C73" i="8" s="1"/>
  <c r="C74" i="8" s="1"/>
  <c r="C75" i="8" s="1"/>
  <c r="C76" i="8" s="1"/>
  <c r="C77" i="8" s="1"/>
  <c r="C78" i="8" s="1"/>
  <c r="C79" i="8" s="1"/>
  <c r="C80" i="8" s="1"/>
  <c r="C81" i="8" s="1"/>
  <c r="C82" i="8" s="1"/>
  <c r="C83" i="8" s="1"/>
  <c r="C84" i="8" s="1"/>
  <c r="C85" i="8" s="1"/>
  <c r="C86" i="8" s="1"/>
  <c r="C87" i="8" s="1"/>
  <c r="C88" i="8" s="1"/>
  <c r="C89" i="8" s="1"/>
  <c r="C90" i="8" s="1"/>
  <c r="C91" i="8" s="1"/>
  <c r="C92" i="8" s="1"/>
  <c r="C93" i="8" s="1"/>
  <c r="C94" i="8" s="1"/>
  <c r="C95" i="8" s="1"/>
  <c r="C96" i="8" s="1"/>
  <c r="C97" i="8" s="1"/>
  <c r="C98" i="8" s="1"/>
  <c r="C99" i="8" s="1"/>
  <c r="C100" i="8" s="1"/>
  <c r="C101" i="8" s="1"/>
  <c r="C102" i="8" s="1"/>
  <c r="C103" i="8" s="1"/>
  <c r="C104" i="8" s="1"/>
  <c r="C105" i="8" s="1"/>
  <c r="C106" i="8" s="1"/>
  <c r="C107" i="8" s="1"/>
  <c r="C108" i="8" s="1"/>
  <c r="C109" i="8" s="1"/>
  <c r="C110" i="8" s="1"/>
  <c r="B2" i="8"/>
  <c r="B3" i="8" s="1"/>
  <c r="B4" i="8" s="1"/>
  <c r="B5" i="8" s="1"/>
  <c r="B6" i="8" s="1"/>
  <c r="B7" i="8" s="1"/>
  <c r="B8" i="8" s="1"/>
  <c r="B9" i="8" s="1"/>
  <c r="B10" i="8" s="1"/>
  <c r="B11" i="8" s="1"/>
  <c r="B12" i="8" s="1"/>
  <c r="B13" i="8" s="1"/>
  <c r="B14" i="8" s="1"/>
  <c r="B15" i="8" s="1"/>
  <c r="B16" i="8" s="1"/>
  <c r="B17" i="8" s="1"/>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7" i="8" s="1"/>
  <c r="B58" i="8" s="1"/>
  <c r="B59" i="8" s="1"/>
  <c r="B60" i="8" s="1"/>
  <c r="B61" i="8" s="1"/>
  <c r="B62" i="8" s="1"/>
  <c r="B63" i="8" s="1"/>
  <c r="B64" i="8" s="1"/>
  <c r="B65" i="8" s="1"/>
  <c r="B66" i="8" s="1"/>
  <c r="B67" i="8" s="1"/>
  <c r="B68" i="8" s="1"/>
  <c r="B69" i="8" s="1"/>
  <c r="B70" i="8" s="1"/>
  <c r="B71" i="8" s="1"/>
  <c r="B72" i="8" s="1"/>
  <c r="B73" i="8" s="1"/>
  <c r="B74" i="8" s="1"/>
  <c r="B75" i="8" s="1"/>
  <c r="B76" i="8" s="1"/>
  <c r="B77" i="8" s="1"/>
  <c r="B78" i="8" s="1"/>
  <c r="B79" i="8" s="1"/>
  <c r="B80" i="8" s="1"/>
  <c r="B81" i="8" s="1"/>
  <c r="B82" i="8" s="1"/>
  <c r="B83" i="8" s="1"/>
  <c r="B84" i="8" s="1"/>
  <c r="B85" i="8" s="1"/>
  <c r="B86" i="8" s="1"/>
  <c r="B87" i="8" s="1"/>
  <c r="B88" i="8" s="1"/>
  <c r="B89" i="8" s="1"/>
  <c r="B90" i="8" s="1"/>
  <c r="B91" i="8" s="1"/>
  <c r="B92" i="8" s="1"/>
  <c r="B93" i="8" s="1"/>
  <c r="B94" i="8" s="1"/>
  <c r="B95" i="8" s="1"/>
  <c r="B96" i="8" s="1"/>
  <c r="B97" i="8" s="1"/>
  <c r="B98" i="8" s="1"/>
  <c r="B99" i="8" s="1"/>
  <c r="B100" i="8" s="1"/>
  <c r="B101" i="8" s="1"/>
  <c r="B102" i="8" s="1"/>
  <c r="B103" i="8" s="1"/>
  <c r="B104" i="8" s="1"/>
  <c r="B105" i="8" s="1"/>
  <c r="B106" i="8" s="1"/>
  <c r="B107" i="8" s="1"/>
  <c r="B108" i="8" s="1"/>
  <c r="B109" i="8" s="1"/>
  <c r="B110" i="8" s="1"/>
  <c r="A2" i="8"/>
  <c r="D86" i="9" s="1"/>
  <c r="AD369" i="1"/>
  <c r="A369" i="1"/>
  <c r="AD368" i="1"/>
  <c r="A368" i="1"/>
  <c r="AD367" i="1"/>
  <c r="A367" i="1"/>
  <c r="AD366" i="1"/>
  <c r="A366" i="1"/>
  <c r="AD365" i="1"/>
  <c r="A365" i="1"/>
  <c r="AD364" i="1"/>
  <c r="A364" i="1"/>
  <c r="AD363" i="1"/>
  <c r="A363" i="1"/>
  <c r="AD362" i="1"/>
  <c r="A362" i="1"/>
  <c r="AD361" i="1"/>
  <c r="A361" i="1"/>
  <c r="AD360" i="1"/>
  <c r="A360" i="1"/>
  <c r="AD359" i="1"/>
  <c r="A359" i="1"/>
  <c r="AD358" i="1"/>
  <c r="A358" i="1"/>
  <c r="AD357" i="1"/>
  <c r="A357" i="1"/>
  <c r="AD356" i="1"/>
  <c r="A356" i="1"/>
  <c r="AD355" i="1"/>
  <c r="A355" i="1"/>
  <c r="AD354" i="1"/>
  <c r="A354" i="1"/>
  <c r="AD353" i="1"/>
  <c r="A353" i="1"/>
  <c r="AD352" i="1"/>
  <c r="A352" i="1"/>
  <c r="AD351" i="1"/>
  <c r="A351" i="1"/>
  <c r="AD350" i="1"/>
  <c r="A350" i="1"/>
  <c r="AD349" i="1"/>
  <c r="A349" i="1"/>
  <c r="AD348" i="1"/>
  <c r="A348" i="1"/>
  <c r="AD347" i="1"/>
  <c r="A347" i="1"/>
  <c r="AD346" i="1"/>
  <c r="A346" i="1"/>
  <c r="AD345" i="1"/>
  <c r="A345" i="1"/>
  <c r="AD344" i="1"/>
  <c r="A344" i="1"/>
  <c r="AD343" i="1"/>
  <c r="A343" i="1"/>
  <c r="AD342" i="1"/>
  <c r="A342" i="1"/>
  <c r="AD341" i="1"/>
  <c r="A341" i="1"/>
  <c r="AD340" i="1"/>
  <c r="A340" i="1"/>
  <c r="AD339" i="1"/>
  <c r="A339" i="1"/>
  <c r="AD338" i="1"/>
  <c r="A338" i="1"/>
  <c r="AD337" i="1"/>
  <c r="A337" i="1"/>
  <c r="AD336" i="1"/>
  <c r="A336" i="1"/>
  <c r="AD335" i="1"/>
  <c r="A335" i="1"/>
  <c r="AD334" i="1"/>
  <c r="A334" i="1"/>
  <c r="AD333" i="1"/>
  <c r="A333" i="1"/>
  <c r="AD332" i="1"/>
  <c r="A332" i="1"/>
  <c r="AD331" i="1"/>
  <c r="A331" i="1"/>
  <c r="AD330" i="1"/>
  <c r="A330" i="1"/>
  <c r="AD329" i="1"/>
  <c r="A329" i="1"/>
  <c r="AD328" i="1"/>
  <c r="A328" i="1"/>
  <c r="AD327" i="1"/>
  <c r="A327" i="1"/>
  <c r="AD326" i="1"/>
  <c r="A326" i="1"/>
  <c r="AD325" i="1"/>
  <c r="A325" i="1"/>
  <c r="AD324" i="1"/>
  <c r="A324" i="1"/>
  <c r="AD323" i="1"/>
  <c r="A323" i="1"/>
  <c r="AD322" i="1"/>
  <c r="A322" i="1"/>
  <c r="AD321" i="1"/>
  <c r="A321" i="1"/>
  <c r="AD320" i="1"/>
  <c r="A320" i="1"/>
  <c r="AD319" i="1"/>
  <c r="A319" i="1"/>
  <c r="AD318" i="1"/>
  <c r="A318" i="1"/>
  <c r="AD317" i="1"/>
  <c r="A317" i="1"/>
  <c r="AD316" i="1"/>
  <c r="A316" i="1"/>
  <c r="AD315" i="1"/>
  <c r="A315" i="1"/>
  <c r="AD314" i="1"/>
  <c r="A314" i="1"/>
  <c r="AD313" i="1"/>
  <c r="A313" i="1"/>
  <c r="AD312" i="1"/>
  <c r="A312" i="1"/>
  <c r="AD311" i="1"/>
  <c r="A311" i="1"/>
  <c r="AD310" i="1"/>
  <c r="A310" i="1"/>
  <c r="AD309" i="1"/>
  <c r="A309" i="1"/>
  <c r="AD308" i="1"/>
  <c r="A308" i="1"/>
  <c r="AD307" i="1"/>
  <c r="A307" i="1"/>
  <c r="AD306" i="1"/>
  <c r="A306" i="1"/>
  <c r="AD305" i="1"/>
  <c r="A305" i="1"/>
  <c r="AD304" i="1"/>
  <c r="A304" i="1"/>
  <c r="AD303" i="1"/>
  <c r="A303" i="1"/>
  <c r="AD302" i="1"/>
  <c r="A302" i="1"/>
  <c r="AD301" i="1"/>
  <c r="A301" i="1"/>
  <c r="AD300" i="1"/>
  <c r="A300" i="1"/>
  <c r="AD299" i="1"/>
  <c r="A299" i="1"/>
  <c r="AD298" i="1"/>
  <c r="A298" i="1"/>
  <c r="AD297" i="1"/>
  <c r="A297" i="1"/>
  <c r="AD296" i="1"/>
  <c r="A296" i="1"/>
  <c r="AD295" i="1"/>
  <c r="A295" i="1"/>
  <c r="AD294" i="1"/>
  <c r="A294" i="1"/>
  <c r="AD293" i="1"/>
  <c r="A293" i="1"/>
  <c r="AD292" i="1"/>
  <c r="A292" i="1"/>
  <c r="AD291" i="1"/>
  <c r="A291" i="1"/>
  <c r="AD290" i="1"/>
  <c r="A290" i="1"/>
  <c r="AD289" i="1"/>
  <c r="A289" i="1"/>
  <c r="AD288" i="1"/>
  <c r="A288" i="1"/>
  <c r="AD287" i="1"/>
  <c r="A287" i="1"/>
  <c r="AD286" i="1"/>
  <c r="A286" i="1"/>
  <c r="AD285" i="1"/>
  <c r="A285" i="1"/>
  <c r="AD284" i="1"/>
  <c r="A284" i="1"/>
  <c r="AD283" i="1"/>
  <c r="A283" i="1"/>
  <c r="AD282" i="1"/>
  <c r="A282" i="1"/>
  <c r="AD281" i="1"/>
  <c r="A281" i="1"/>
  <c r="AD280" i="1"/>
  <c r="A280" i="1"/>
  <c r="AD279" i="1"/>
  <c r="A279" i="1"/>
  <c r="AD278" i="1"/>
  <c r="A278" i="1"/>
  <c r="AD277" i="1"/>
  <c r="A277" i="1"/>
  <c r="AD276" i="1"/>
  <c r="A276" i="1"/>
  <c r="AD275" i="1"/>
  <c r="A275" i="1"/>
  <c r="AD274" i="1"/>
  <c r="A274" i="1"/>
  <c r="AD273" i="1"/>
  <c r="A273" i="1"/>
  <c r="AD272" i="1"/>
  <c r="A272" i="1"/>
  <c r="AD271" i="1"/>
  <c r="A271" i="1"/>
  <c r="AD270" i="1"/>
  <c r="A270" i="1"/>
  <c r="AD269" i="1"/>
  <c r="A269" i="1"/>
  <c r="AD268" i="1"/>
  <c r="A268" i="1"/>
  <c r="AD267" i="1"/>
  <c r="A267" i="1"/>
  <c r="AD266" i="1"/>
  <c r="A266" i="1"/>
  <c r="AD265" i="1"/>
  <c r="A265" i="1"/>
  <c r="AD264" i="1"/>
  <c r="A264" i="1"/>
  <c r="AD263" i="1"/>
  <c r="A263" i="1"/>
  <c r="AD262" i="1"/>
  <c r="A262" i="1"/>
  <c r="AD261" i="1"/>
  <c r="A261" i="1"/>
  <c r="AD260" i="1"/>
  <c r="A260" i="1"/>
  <c r="AD259" i="1"/>
  <c r="A259" i="1"/>
  <c r="AD258" i="1"/>
  <c r="A258" i="1"/>
  <c r="AD257" i="1"/>
  <c r="A257" i="1"/>
  <c r="AD256" i="1"/>
  <c r="A256" i="1"/>
  <c r="AD255" i="1"/>
  <c r="A255" i="1"/>
  <c r="AD254" i="1"/>
  <c r="A254" i="1"/>
  <c r="AD253" i="1"/>
  <c r="A253" i="1"/>
  <c r="AD252" i="1"/>
  <c r="A252" i="1"/>
  <c r="AD251" i="1"/>
  <c r="A251" i="1"/>
  <c r="AD250" i="1"/>
  <c r="A250" i="1"/>
  <c r="AD249" i="1"/>
  <c r="A249" i="1"/>
  <c r="AD248" i="1"/>
  <c r="A248" i="1"/>
  <c r="AD247" i="1"/>
  <c r="A247" i="1"/>
  <c r="AD246" i="1"/>
  <c r="A246" i="1"/>
  <c r="AD245" i="1"/>
  <c r="A245" i="1"/>
  <c r="AD244" i="1"/>
  <c r="A244" i="1"/>
  <c r="AD243" i="1"/>
  <c r="A243" i="1"/>
  <c r="AD242" i="1"/>
  <c r="A242" i="1"/>
  <c r="AD241" i="1"/>
  <c r="A241" i="1"/>
  <c r="AD240" i="1"/>
  <c r="A240" i="1"/>
  <c r="AD239" i="1"/>
  <c r="A239" i="1"/>
  <c r="AD238" i="1"/>
  <c r="A238" i="1"/>
  <c r="AD237" i="1"/>
  <c r="A237" i="1"/>
  <c r="AD236" i="1"/>
  <c r="A236" i="1"/>
  <c r="AD235" i="1"/>
  <c r="A235" i="1"/>
  <c r="AD234" i="1"/>
  <c r="A234" i="1"/>
  <c r="AD233" i="1"/>
  <c r="A233" i="1"/>
  <c r="AD232" i="1"/>
  <c r="A232" i="1"/>
  <c r="AD231" i="1"/>
  <c r="A231" i="1"/>
  <c r="AD230" i="1"/>
  <c r="A230" i="1"/>
  <c r="AD229" i="1"/>
  <c r="A229" i="1"/>
  <c r="AD228" i="1"/>
  <c r="A228" i="1"/>
  <c r="AD227" i="1"/>
  <c r="A227" i="1"/>
  <c r="AD226" i="1"/>
  <c r="A226" i="1"/>
  <c r="AD225" i="1"/>
  <c r="A225" i="1"/>
  <c r="AD224" i="1"/>
  <c r="A224" i="1"/>
  <c r="AD223" i="1"/>
  <c r="A223" i="1"/>
  <c r="AD222" i="1"/>
  <c r="A222" i="1"/>
  <c r="AD221" i="1"/>
  <c r="A221" i="1"/>
  <c r="AD220" i="1"/>
  <c r="A220" i="1"/>
  <c r="AD219" i="1"/>
  <c r="A219" i="1"/>
  <c r="AD218" i="1"/>
  <c r="A218" i="1"/>
  <c r="AD217" i="1"/>
  <c r="A217" i="1"/>
  <c r="AD216" i="1"/>
  <c r="A216" i="1"/>
  <c r="AD215" i="1"/>
  <c r="A215" i="1"/>
  <c r="AD214" i="1"/>
  <c r="A214" i="1"/>
  <c r="AD213" i="1"/>
  <c r="A213" i="1"/>
  <c r="AD212" i="1"/>
  <c r="A212" i="1"/>
  <c r="AD211" i="1"/>
  <c r="A211" i="1"/>
  <c r="AD210" i="1"/>
  <c r="A210" i="1"/>
  <c r="AD209" i="1"/>
  <c r="A209" i="1"/>
  <c r="AD208" i="1"/>
  <c r="A208" i="1"/>
  <c r="AD207" i="1"/>
  <c r="A207" i="1"/>
  <c r="AD206" i="1"/>
  <c r="A206" i="1"/>
  <c r="AD205" i="1"/>
  <c r="A205" i="1"/>
  <c r="AD204" i="1"/>
  <c r="A204" i="1"/>
  <c r="AD203" i="1"/>
  <c r="A203" i="1"/>
  <c r="AD202" i="1"/>
  <c r="A202" i="1"/>
  <c r="AD201" i="1"/>
  <c r="A201" i="1"/>
  <c r="AD200" i="1"/>
  <c r="A200" i="1"/>
  <c r="AD199" i="1"/>
  <c r="A199" i="1"/>
  <c r="AD198" i="1"/>
  <c r="A198" i="1"/>
  <c r="AD197" i="1"/>
  <c r="A197" i="1"/>
  <c r="AD196" i="1"/>
  <c r="A196" i="1"/>
  <c r="AD195" i="1"/>
  <c r="A195" i="1"/>
  <c r="AD194" i="1"/>
  <c r="A194" i="1"/>
  <c r="AD193" i="1"/>
  <c r="A193" i="1"/>
  <c r="AD192" i="1"/>
  <c r="A192" i="1"/>
  <c r="AD191" i="1"/>
  <c r="A191" i="1"/>
  <c r="AD190" i="1"/>
  <c r="A190" i="1"/>
  <c r="AD189" i="1"/>
  <c r="A189" i="1"/>
  <c r="AD188" i="1"/>
  <c r="A188" i="1"/>
  <c r="AD187" i="1"/>
  <c r="A187" i="1"/>
  <c r="AD186" i="1"/>
  <c r="A186" i="1"/>
  <c r="AD185" i="1"/>
  <c r="A185" i="1"/>
  <c r="AD184" i="1"/>
  <c r="A184" i="1"/>
  <c r="AD183" i="1"/>
  <c r="A183" i="1"/>
  <c r="AD182" i="1"/>
  <c r="A182" i="1"/>
  <c r="AD181" i="1"/>
  <c r="A181" i="1"/>
  <c r="AD180" i="1"/>
  <c r="A180" i="1"/>
  <c r="AD179" i="1"/>
  <c r="A179" i="1"/>
  <c r="AD178" i="1"/>
  <c r="A178" i="1"/>
  <c r="AD177" i="1"/>
  <c r="A177" i="1"/>
  <c r="AD176" i="1"/>
  <c r="A176" i="1"/>
  <c r="AD175" i="1"/>
  <c r="A175" i="1"/>
  <c r="AD174" i="1"/>
  <c r="A174" i="1"/>
  <c r="AD173" i="1"/>
  <c r="A173" i="1"/>
  <c r="AD172" i="1"/>
  <c r="A172" i="1"/>
  <c r="AD171" i="1"/>
  <c r="A171" i="1"/>
  <c r="AD170" i="1"/>
  <c r="A170" i="1"/>
  <c r="AD169" i="1"/>
  <c r="A169" i="1"/>
  <c r="AD168" i="1"/>
  <c r="A168" i="1"/>
  <c r="AD167" i="1"/>
  <c r="A167" i="1"/>
  <c r="AD166" i="1"/>
  <c r="A166" i="1"/>
  <c r="AD165" i="1"/>
  <c r="A165" i="1"/>
  <c r="AD164" i="1"/>
  <c r="A164" i="1"/>
  <c r="AD163" i="1"/>
  <c r="A163" i="1"/>
  <c r="AD162" i="1"/>
  <c r="A162" i="1"/>
  <c r="AD161" i="1"/>
  <c r="A161" i="1"/>
  <c r="AD160" i="1"/>
  <c r="A160" i="1"/>
  <c r="AD159" i="1"/>
  <c r="A159" i="1"/>
  <c r="AD158" i="1"/>
  <c r="A158" i="1"/>
  <c r="AD157" i="1"/>
  <c r="A157" i="1"/>
  <c r="AD156" i="1"/>
  <c r="A156" i="1"/>
  <c r="AD155" i="1"/>
  <c r="A155" i="1"/>
  <c r="AD154" i="1"/>
  <c r="A154" i="1"/>
  <c r="AD153" i="1"/>
  <c r="A153" i="1"/>
  <c r="AD152" i="1"/>
  <c r="A152" i="1"/>
  <c r="AD151" i="1"/>
  <c r="A151" i="1"/>
  <c r="AD150" i="1"/>
  <c r="A150" i="1"/>
  <c r="AD149" i="1"/>
  <c r="A149" i="1"/>
  <c r="AD148" i="1"/>
  <c r="A148" i="1"/>
  <c r="AD147" i="1"/>
  <c r="A147" i="1"/>
  <c r="AD146" i="1"/>
  <c r="A146" i="1"/>
  <c r="AD145" i="1"/>
  <c r="A145" i="1"/>
  <c r="AD144" i="1"/>
  <c r="A144" i="1"/>
  <c r="AD143" i="1"/>
  <c r="A143" i="1"/>
  <c r="AD142" i="1"/>
  <c r="A142" i="1"/>
  <c r="AD141" i="1"/>
  <c r="A141" i="1"/>
  <c r="AD140" i="1"/>
  <c r="A140" i="1"/>
  <c r="AD139" i="1"/>
  <c r="A139" i="1"/>
  <c r="AD138" i="1"/>
  <c r="A138" i="1"/>
  <c r="AD137" i="1"/>
  <c r="A137" i="1"/>
  <c r="AD136" i="1"/>
  <c r="A136" i="1"/>
  <c r="AD135" i="1"/>
  <c r="A135" i="1"/>
  <c r="AD134" i="1"/>
  <c r="A134" i="1"/>
  <c r="AD133" i="1"/>
  <c r="A133" i="1"/>
  <c r="AD132" i="1"/>
  <c r="A132" i="1"/>
  <c r="AD131" i="1"/>
  <c r="A131" i="1"/>
  <c r="AD130" i="1"/>
  <c r="A130" i="1"/>
  <c r="AD129" i="1"/>
  <c r="A129" i="1"/>
  <c r="AD128" i="1"/>
  <c r="A128" i="1"/>
  <c r="AD127" i="1"/>
  <c r="A127" i="1"/>
  <c r="AD126" i="1"/>
  <c r="A126" i="1"/>
  <c r="AD125" i="1"/>
  <c r="A125" i="1"/>
  <c r="AD124" i="1"/>
  <c r="A124" i="1"/>
  <c r="AD123" i="1"/>
  <c r="A123" i="1"/>
  <c r="AD122" i="1"/>
  <c r="A122" i="1"/>
  <c r="AD121" i="1"/>
  <c r="A121" i="1"/>
  <c r="AD120" i="1"/>
  <c r="A120" i="1"/>
  <c r="AD119" i="1"/>
  <c r="A119" i="1"/>
  <c r="AD118" i="1"/>
  <c r="A118" i="1"/>
  <c r="AD117" i="1"/>
  <c r="A117" i="1"/>
  <c r="AD116" i="1"/>
  <c r="A116" i="1"/>
  <c r="AD115" i="1"/>
  <c r="A115" i="1"/>
  <c r="AD114" i="1"/>
  <c r="A114" i="1"/>
  <c r="AD113" i="1"/>
  <c r="A113" i="1"/>
  <c r="AD112" i="1"/>
  <c r="A112" i="1"/>
  <c r="AD111" i="1"/>
  <c r="A111" i="1"/>
  <c r="AD110" i="1"/>
  <c r="A110" i="1"/>
  <c r="AD109" i="1"/>
  <c r="A109" i="1"/>
  <c r="AD108" i="1"/>
  <c r="A108" i="1"/>
  <c r="AD107" i="1"/>
  <c r="A107" i="1"/>
  <c r="AD106" i="1"/>
  <c r="A106" i="1"/>
  <c r="AD105" i="1"/>
  <c r="A105" i="1"/>
  <c r="AD104" i="1"/>
  <c r="A104" i="1"/>
  <c r="AD103" i="1"/>
  <c r="A103" i="1"/>
  <c r="AD102" i="1"/>
  <c r="A102" i="1"/>
  <c r="AD101" i="1"/>
  <c r="A101" i="1"/>
  <c r="AD100" i="1"/>
  <c r="A100" i="1"/>
  <c r="AD99" i="1"/>
  <c r="A99" i="1"/>
  <c r="AD98" i="1"/>
  <c r="A98" i="1"/>
  <c r="AD97" i="1"/>
  <c r="A97" i="1"/>
  <c r="AD96" i="1"/>
  <c r="A96" i="1"/>
  <c r="AD95" i="1"/>
  <c r="A95" i="1"/>
  <c r="AD94" i="1"/>
  <c r="A94" i="1"/>
  <c r="AD93" i="1"/>
  <c r="A93" i="1"/>
  <c r="AD92" i="1"/>
  <c r="A92" i="1"/>
  <c r="AD91" i="1"/>
  <c r="A91" i="1"/>
  <c r="AD90" i="1"/>
  <c r="A90" i="1"/>
  <c r="AD89" i="1"/>
  <c r="A89" i="1"/>
  <c r="AD88" i="1"/>
  <c r="A88" i="1"/>
  <c r="AD87" i="1"/>
  <c r="A87" i="1"/>
  <c r="AD86" i="1"/>
  <c r="A86" i="1"/>
  <c r="AD85" i="1"/>
  <c r="A85" i="1"/>
  <c r="AD84" i="1"/>
  <c r="A84" i="1"/>
  <c r="AD83" i="1"/>
  <c r="A83" i="1"/>
  <c r="AD82" i="1"/>
  <c r="A82" i="1"/>
  <c r="AD81" i="1"/>
  <c r="A81" i="1"/>
  <c r="AD80" i="1"/>
  <c r="A80" i="1"/>
  <c r="AD79" i="1"/>
  <c r="A79" i="1"/>
  <c r="AD78" i="1"/>
  <c r="A78" i="1"/>
  <c r="AD77" i="1"/>
  <c r="A77" i="1"/>
  <c r="AD76" i="1"/>
  <c r="A76" i="1"/>
  <c r="AD75" i="1"/>
  <c r="A75" i="1"/>
  <c r="AD74" i="1"/>
  <c r="A74" i="1"/>
  <c r="AD73" i="1"/>
  <c r="A73" i="1"/>
  <c r="AD72" i="1"/>
  <c r="A72" i="1"/>
  <c r="AD71" i="1"/>
  <c r="A71" i="1"/>
  <c r="AD70" i="1"/>
  <c r="A70" i="1"/>
  <c r="AD69" i="1"/>
  <c r="A69" i="1"/>
  <c r="AD68" i="1"/>
  <c r="A68" i="1"/>
  <c r="AD67" i="1"/>
  <c r="A67" i="1"/>
  <c r="AD66" i="1"/>
  <c r="A66" i="1"/>
  <c r="AD65" i="1"/>
  <c r="A65" i="1"/>
  <c r="AD64" i="1"/>
  <c r="A64" i="1"/>
  <c r="AD63" i="1"/>
  <c r="A63" i="1"/>
  <c r="AD62" i="1"/>
  <c r="A62" i="1"/>
  <c r="AD61" i="1"/>
  <c r="A61" i="1"/>
  <c r="AD60" i="1"/>
  <c r="A60" i="1"/>
  <c r="AD59" i="1"/>
  <c r="A59" i="1"/>
  <c r="AD58" i="1"/>
  <c r="A58" i="1"/>
  <c r="AD57" i="1"/>
  <c r="A57" i="1"/>
  <c r="AD56" i="1"/>
  <c r="A56" i="1"/>
  <c r="AD55" i="1"/>
  <c r="A55" i="1"/>
  <c r="AD54" i="1"/>
  <c r="A54" i="1"/>
  <c r="AD53" i="1"/>
  <c r="A53" i="1"/>
  <c r="AD52" i="1"/>
  <c r="A52" i="1"/>
  <c r="AD51" i="1"/>
  <c r="A51" i="1"/>
  <c r="AD50" i="1"/>
  <c r="A50" i="1"/>
  <c r="AD49" i="1"/>
  <c r="A49" i="1"/>
  <c r="AD48" i="1"/>
  <c r="A48" i="1"/>
  <c r="AD47" i="1"/>
  <c r="A47" i="1"/>
  <c r="AD46" i="1"/>
  <c r="A46" i="1"/>
  <c r="AD45" i="1"/>
  <c r="A45" i="1"/>
  <c r="AD44" i="1"/>
  <c r="A44" i="1"/>
  <c r="AD43" i="1"/>
  <c r="A43" i="1"/>
  <c r="AD42" i="1"/>
  <c r="A42" i="1"/>
  <c r="AD41" i="1"/>
  <c r="A41" i="1"/>
  <c r="AD40" i="1"/>
  <c r="A40" i="1"/>
  <c r="AD39" i="1"/>
  <c r="A39" i="1"/>
  <c r="AD38" i="1"/>
  <c r="A38" i="1"/>
  <c r="AD37" i="1"/>
  <c r="A37" i="1"/>
  <c r="AD36" i="1"/>
  <c r="A36" i="1"/>
  <c r="AD35" i="1"/>
  <c r="A35" i="1"/>
  <c r="AD34" i="1"/>
  <c r="A34" i="1"/>
  <c r="AD33" i="1"/>
  <c r="A33" i="1"/>
  <c r="AD32" i="1"/>
  <c r="A32" i="1"/>
  <c r="AD31" i="1"/>
  <c r="A31" i="1"/>
  <c r="AD30" i="1"/>
  <c r="A30" i="1"/>
  <c r="AD29" i="1"/>
  <c r="A29" i="1"/>
  <c r="AD28" i="1"/>
  <c r="A28" i="1"/>
  <c r="AD27" i="1"/>
  <c r="A27" i="1"/>
  <c r="AD26" i="1"/>
  <c r="A26" i="1"/>
  <c r="AD25" i="1"/>
  <c r="A25" i="1"/>
  <c r="AD24" i="1"/>
  <c r="A24" i="1"/>
  <c r="AD23" i="1"/>
  <c r="A23" i="1"/>
  <c r="AD22" i="1"/>
  <c r="A22" i="1"/>
  <c r="AD21" i="1"/>
  <c r="A21" i="1"/>
  <c r="AD20" i="1"/>
  <c r="A20" i="1"/>
  <c r="AD19" i="1"/>
  <c r="A19" i="1"/>
  <c r="AD18" i="1"/>
  <c r="A18" i="1"/>
  <c r="AD17" i="1"/>
  <c r="A17" i="1"/>
  <c r="AD16" i="1"/>
  <c r="A16" i="1"/>
  <c r="AD15" i="1"/>
  <c r="A15" i="1"/>
  <c r="AD14" i="1"/>
  <c r="A14" i="1"/>
  <c r="AD13" i="1"/>
  <c r="A13" i="1"/>
  <c r="AD12" i="1"/>
  <c r="A12" i="1"/>
  <c r="AD11" i="1"/>
  <c r="A11" i="1"/>
  <c r="AD10" i="1"/>
  <c r="A10" i="1"/>
  <c r="AD9" i="1"/>
  <c r="A9" i="1"/>
  <c r="AD8" i="1"/>
  <c r="A8" i="1"/>
  <c r="AD7" i="1"/>
  <c r="C7" i="1"/>
  <c r="C8" i="1" s="1"/>
  <c r="C9" i="1" s="1"/>
  <c r="C10" i="1" s="1"/>
  <c r="C11" i="1" s="1"/>
  <c r="C12" i="1" s="1"/>
  <c r="C13" i="1" s="1"/>
  <c r="C14" i="1" s="1"/>
  <c r="C15" i="1" s="1"/>
  <c r="C16" i="1" s="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C54" i="1" s="1"/>
  <c r="C55" i="1" s="1"/>
  <c r="C56" i="1" s="1"/>
  <c r="C57" i="1" s="1"/>
  <c r="C58" i="1" s="1"/>
  <c r="C59" i="1" s="1"/>
  <c r="C60" i="1" s="1"/>
  <c r="C61" i="1" s="1"/>
  <c r="C62" i="1" s="1"/>
  <c r="C63" i="1" s="1"/>
  <c r="C64" i="1" s="1"/>
  <c r="C65" i="1" s="1"/>
  <c r="C66" i="1" s="1"/>
  <c r="C67" i="1" s="1"/>
  <c r="C68" i="1" s="1"/>
  <c r="C69" i="1" s="1"/>
  <c r="C70" i="1" s="1"/>
  <c r="C71" i="1" s="1"/>
  <c r="C72" i="1" s="1"/>
  <c r="C73" i="1" s="1"/>
  <c r="C74" i="1" s="1"/>
  <c r="C75" i="1" s="1"/>
  <c r="C76" i="1" s="1"/>
  <c r="C77" i="1" s="1"/>
  <c r="C78" i="1" s="1"/>
  <c r="C79" i="1" s="1"/>
  <c r="C80" i="1" s="1"/>
  <c r="C81" i="1" s="1"/>
  <c r="C82" i="1" s="1"/>
  <c r="C83" i="1" s="1"/>
  <c r="C84" i="1" s="1"/>
  <c r="C85" i="1" s="1"/>
  <c r="C86" i="1" s="1"/>
  <c r="C87" i="1" s="1"/>
  <c r="C88" i="1" s="1"/>
  <c r="C89" i="1" s="1"/>
  <c r="C90" i="1" s="1"/>
  <c r="C91" i="1" s="1"/>
  <c r="C92" i="1" s="1"/>
  <c r="C93" i="1" s="1"/>
  <c r="C94" i="1" s="1"/>
  <c r="C95" i="1" s="1"/>
  <c r="C96" i="1" s="1"/>
  <c r="C97" i="1" s="1"/>
  <c r="C98" i="1" s="1"/>
  <c r="C99" i="1" s="1"/>
  <c r="C100" i="1" s="1"/>
  <c r="C101" i="1" s="1"/>
  <c r="C102" i="1" s="1"/>
  <c r="C103" i="1" s="1"/>
  <c r="C104" i="1" s="1"/>
  <c r="C105" i="1" s="1"/>
  <c r="C106" i="1" s="1"/>
  <c r="C107" i="1" s="1"/>
  <c r="C108" i="1" s="1"/>
  <c r="C109" i="1" s="1"/>
  <c r="C110" i="1" s="1"/>
  <c r="C111" i="1" s="1"/>
  <c r="C112" i="1" s="1"/>
  <c r="C113" i="1" s="1"/>
  <c r="C114" i="1" s="1"/>
  <c r="C115" i="1" s="1"/>
  <c r="C116" i="1" s="1"/>
  <c r="C117" i="1" s="1"/>
  <c r="C118" i="1" s="1"/>
  <c r="C119" i="1" s="1"/>
  <c r="C120" i="1" s="1"/>
  <c r="C121" i="1" s="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C201" i="1" s="1"/>
  <c r="C202" i="1" s="1"/>
  <c r="C203" i="1" s="1"/>
  <c r="C204" i="1" s="1"/>
  <c r="C205" i="1" s="1"/>
  <c r="C206" i="1" s="1"/>
  <c r="C207" i="1" s="1"/>
  <c r="C208" i="1" s="1"/>
  <c r="C209" i="1" s="1"/>
  <c r="C210" i="1" s="1"/>
  <c r="C211" i="1" s="1"/>
  <c r="C212" i="1" s="1"/>
  <c r="C213" i="1" s="1"/>
  <c r="C214" i="1" s="1"/>
  <c r="C215" i="1" s="1"/>
  <c r="C216" i="1" s="1"/>
  <c r="C217" i="1" s="1"/>
  <c r="C218" i="1" s="1"/>
  <c r="C219" i="1" s="1"/>
  <c r="C220" i="1" s="1"/>
  <c r="C221" i="1" s="1"/>
  <c r="C222" i="1" s="1"/>
  <c r="C223" i="1" s="1"/>
  <c r="C224" i="1" s="1"/>
  <c r="C225" i="1" s="1"/>
  <c r="C226" i="1" s="1"/>
  <c r="C227" i="1" s="1"/>
  <c r="C228" i="1" s="1"/>
  <c r="C229" i="1" s="1"/>
  <c r="C230" i="1" s="1"/>
  <c r="C231" i="1" s="1"/>
  <c r="C232" i="1" s="1"/>
  <c r="C233" i="1" s="1"/>
  <c r="C234" i="1" s="1"/>
  <c r="C235" i="1" s="1"/>
  <c r="C236" i="1" s="1"/>
  <c r="C237" i="1" s="1"/>
  <c r="C238" i="1" s="1"/>
  <c r="C239" i="1" s="1"/>
  <c r="C240" i="1" s="1"/>
  <c r="C241" i="1" s="1"/>
  <c r="C242" i="1" s="1"/>
  <c r="C243" i="1" s="1"/>
  <c r="C244" i="1" s="1"/>
  <c r="C245" i="1" s="1"/>
  <c r="C246" i="1" s="1"/>
  <c r="C247" i="1" s="1"/>
  <c r="C248" i="1" s="1"/>
  <c r="C249" i="1" s="1"/>
  <c r="C250" i="1" s="1"/>
  <c r="C251" i="1" s="1"/>
  <c r="C252" i="1" s="1"/>
  <c r="C253" i="1" s="1"/>
  <c r="C254" i="1" s="1"/>
  <c r="C255" i="1" s="1"/>
  <c r="C256" i="1" s="1"/>
  <c r="C257" i="1" s="1"/>
  <c r="C258" i="1" s="1"/>
  <c r="C259" i="1" s="1"/>
  <c r="C260" i="1" s="1"/>
  <c r="C261" i="1" s="1"/>
  <c r="C262" i="1" s="1"/>
  <c r="C263" i="1" s="1"/>
  <c r="C264" i="1" s="1"/>
  <c r="C265" i="1" s="1"/>
  <c r="C266" i="1" s="1"/>
  <c r="C267" i="1" s="1"/>
  <c r="C268" i="1" s="1"/>
  <c r="C269" i="1" s="1"/>
  <c r="C270" i="1" s="1"/>
  <c r="C271" i="1" s="1"/>
  <c r="C272" i="1" s="1"/>
  <c r="C273" i="1" s="1"/>
  <c r="C274" i="1" s="1"/>
  <c r="C275" i="1" s="1"/>
  <c r="C276" i="1" s="1"/>
  <c r="C277" i="1" s="1"/>
  <c r="C278" i="1" s="1"/>
  <c r="C279" i="1" s="1"/>
  <c r="C280" i="1" s="1"/>
  <c r="C281" i="1" s="1"/>
  <c r="C282" i="1" s="1"/>
  <c r="C283" i="1" s="1"/>
  <c r="C284" i="1" s="1"/>
  <c r="C285" i="1" s="1"/>
  <c r="C286" i="1" s="1"/>
  <c r="C287" i="1" s="1"/>
  <c r="C288" i="1" s="1"/>
  <c r="C289" i="1" s="1"/>
  <c r="C290" i="1" s="1"/>
  <c r="C291" i="1" s="1"/>
  <c r="C292" i="1" s="1"/>
  <c r="C293" i="1" s="1"/>
  <c r="C294" i="1" s="1"/>
  <c r="C295" i="1" s="1"/>
  <c r="C296" i="1" s="1"/>
  <c r="C297" i="1" s="1"/>
  <c r="C298" i="1" s="1"/>
  <c r="C299" i="1" s="1"/>
  <c r="C300" i="1" s="1"/>
  <c r="C301" i="1" s="1"/>
  <c r="C302" i="1" s="1"/>
  <c r="C303" i="1" s="1"/>
  <c r="C304" i="1" s="1"/>
  <c r="C305" i="1" s="1"/>
  <c r="C306" i="1" s="1"/>
  <c r="C307" i="1" s="1"/>
  <c r="C308" i="1" s="1"/>
  <c r="C309" i="1" s="1"/>
  <c r="C310" i="1" s="1"/>
  <c r="C311" i="1" s="1"/>
  <c r="C312" i="1" s="1"/>
  <c r="C313" i="1" s="1"/>
  <c r="C314" i="1" s="1"/>
  <c r="C315" i="1" s="1"/>
  <c r="C316" i="1" s="1"/>
  <c r="C317" i="1" s="1"/>
  <c r="C318" i="1" s="1"/>
  <c r="C319" i="1" s="1"/>
  <c r="C320" i="1" s="1"/>
  <c r="C321" i="1" s="1"/>
  <c r="C322" i="1" s="1"/>
  <c r="C323" i="1" s="1"/>
  <c r="C324" i="1" s="1"/>
  <c r="C325" i="1" s="1"/>
  <c r="C326" i="1" s="1"/>
  <c r="C327" i="1" s="1"/>
  <c r="C328" i="1" s="1"/>
  <c r="C329" i="1" s="1"/>
  <c r="C330" i="1" s="1"/>
  <c r="C331" i="1" s="1"/>
  <c r="C332" i="1" s="1"/>
  <c r="C333" i="1" s="1"/>
  <c r="C334" i="1" s="1"/>
  <c r="C335" i="1" s="1"/>
  <c r="C336" i="1" s="1"/>
  <c r="C337" i="1" s="1"/>
  <c r="C338" i="1" s="1"/>
  <c r="C339" i="1" s="1"/>
  <c r="C340" i="1" s="1"/>
  <c r="C341" i="1" s="1"/>
  <c r="C342" i="1" s="1"/>
  <c r="C343" i="1" s="1"/>
  <c r="C344" i="1" s="1"/>
  <c r="C345" i="1" s="1"/>
  <c r="C346" i="1" s="1"/>
  <c r="C347" i="1" s="1"/>
  <c r="C348" i="1" s="1"/>
  <c r="C349" i="1" s="1"/>
  <c r="C350" i="1" s="1"/>
  <c r="C351" i="1" s="1"/>
  <c r="C352" i="1" s="1"/>
  <c r="C353" i="1" s="1"/>
  <c r="C354" i="1" s="1"/>
  <c r="C355" i="1" s="1"/>
  <c r="C356" i="1" s="1"/>
  <c r="C357" i="1" s="1"/>
  <c r="C358" i="1" s="1"/>
  <c r="C359" i="1" s="1"/>
  <c r="C360" i="1" s="1"/>
  <c r="C361" i="1" s="1"/>
  <c r="C362" i="1" s="1"/>
  <c r="C363" i="1" s="1"/>
  <c r="C364" i="1" s="1"/>
  <c r="C365" i="1" s="1"/>
  <c r="C366" i="1" s="1"/>
  <c r="C367" i="1" s="1"/>
  <c r="C368" i="1" s="1"/>
  <c r="C369" i="1" s="1"/>
  <c r="A7" i="1"/>
  <c r="AD6" i="1"/>
  <c r="A6" i="1"/>
  <c r="AD5" i="1"/>
  <c r="B5" i="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A5" i="1"/>
  <c r="AD4" i="1"/>
  <c r="D5" i="1" s="1"/>
  <c r="B4" i="1"/>
  <c r="A4" i="1"/>
  <c r="AD3" i="1"/>
  <c r="D3" i="1"/>
  <c r="D4" i="1" s="1"/>
  <c r="A3" i="1"/>
  <c r="AD2" i="1"/>
  <c r="D2" i="1" s="1"/>
  <c r="C2" i="1"/>
  <c r="C3" i="1" s="1"/>
  <c r="C4" i="1" s="1"/>
  <c r="C5" i="1" s="1"/>
  <c r="C6" i="1" s="1"/>
  <c r="B2" i="1"/>
  <c r="B3" i="1" s="1"/>
  <c r="A2" i="1"/>
  <c r="C42" i="12" l="1"/>
  <c r="D17" i="13" s="1"/>
  <c r="E17" i="13" s="1"/>
  <c r="E18" i="13"/>
  <c r="E12" i="13"/>
  <c r="E11" i="13"/>
  <c r="E10" i="13"/>
  <c r="E13" i="10"/>
  <c r="E29" i="10"/>
  <c r="E45" i="10"/>
  <c r="E61" i="10"/>
  <c r="E77" i="10"/>
  <c r="E93" i="10"/>
  <c r="E109" i="10"/>
  <c r="E14" i="10"/>
  <c r="E30" i="10"/>
  <c r="E46" i="10"/>
  <c r="E62" i="10"/>
  <c r="E78" i="10"/>
  <c r="E94" i="10"/>
  <c r="E110" i="10"/>
  <c r="C86" i="9"/>
  <c r="E15" i="10"/>
  <c r="E16" i="10"/>
  <c r="E32" i="10"/>
  <c r="E48" i="10"/>
  <c r="E64" i="10"/>
  <c r="E80" i="10"/>
  <c r="E96" i="10"/>
  <c r="E17" i="10"/>
  <c r="E33" i="10"/>
  <c r="E49" i="10"/>
  <c r="E65" i="10"/>
  <c r="E81" i="10"/>
  <c r="E97" i="10"/>
  <c r="E2" i="10"/>
  <c r="E18" i="10"/>
  <c r="E34" i="10"/>
  <c r="E50" i="10"/>
  <c r="E66" i="10"/>
  <c r="E82" i="10"/>
  <c r="E98" i="10"/>
  <c r="E3" i="10"/>
  <c r="E19" i="10"/>
  <c r="E35" i="10"/>
  <c r="E51" i="10"/>
  <c r="E67" i="10"/>
  <c r="E83" i="10"/>
  <c r="E99" i="10"/>
  <c r="E4" i="10"/>
  <c r="E20" i="10"/>
  <c r="E36" i="10"/>
  <c r="E52" i="10"/>
  <c r="E68" i="10"/>
  <c r="E84" i="10"/>
  <c r="E100" i="10"/>
  <c r="E5" i="10"/>
  <c r="E21" i="10"/>
  <c r="E37" i="10"/>
  <c r="E53" i="10"/>
  <c r="E69" i="10"/>
  <c r="E85" i="10"/>
  <c r="E101" i="10"/>
  <c r="E6" i="10"/>
  <c r="E22" i="10"/>
  <c r="E38" i="10"/>
  <c r="E54" i="10"/>
  <c r="E70" i="10"/>
  <c r="E86" i="10"/>
  <c r="E102" i="10"/>
  <c r="E7" i="10"/>
  <c r="E23" i="10"/>
  <c r="E39" i="10"/>
  <c r="E55" i="10"/>
  <c r="E71" i="10"/>
  <c r="E87" i="10"/>
  <c r="E103" i="10"/>
  <c r="E8" i="10"/>
  <c r="E24" i="10"/>
  <c r="E40" i="10"/>
  <c r="E56" i="10"/>
  <c r="E72" i="10"/>
  <c r="E88" i="10"/>
  <c r="E104" i="10"/>
  <c r="E47" i="10"/>
  <c r="E9" i="10"/>
  <c r="E25" i="10"/>
  <c r="E41" i="10"/>
  <c r="E57" i="10"/>
  <c r="E73" i="10"/>
  <c r="E89" i="10"/>
  <c r="E105" i="10"/>
  <c r="E63" i="10"/>
  <c r="E10" i="10"/>
  <c r="E26" i="10"/>
  <c r="E42" i="10"/>
  <c r="E58" i="10"/>
  <c r="E74" i="10"/>
  <c r="E90" i="10"/>
  <c r="E106" i="10"/>
  <c r="E31" i="10"/>
  <c r="E79" i="10"/>
  <c r="E95" i="10"/>
  <c r="E11" i="10"/>
  <c r="E27" i="10"/>
  <c r="E43" i="10"/>
  <c r="E59" i="10"/>
  <c r="E75" i="10"/>
  <c r="E91" i="10"/>
  <c r="E107" i="10"/>
  <c r="E12" i="10"/>
  <c r="E28" i="10"/>
  <c r="E44" i="10"/>
  <c r="E60" i="10"/>
  <c r="E76" i="10"/>
  <c r="E92" i="10"/>
  <c r="E108" i="10"/>
  <c r="D6" i="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D54" i="1" s="1"/>
  <c r="D55" i="1" s="1"/>
  <c r="D56" i="1" s="1"/>
  <c r="D57" i="1" s="1"/>
  <c r="D58" i="1" s="1"/>
  <c r="D59" i="1" s="1"/>
  <c r="D60" i="1" s="1"/>
  <c r="D61" i="1" s="1"/>
  <c r="D62" i="1" s="1"/>
  <c r="D63" i="1" s="1"/>
  <c r="D64" i="1" s="1"/>
  <c r="D65" i="1" s="1"/>
  <c r="D66" i="1" s="1"/>
  <c r="D67" i="1" s="1"/>
  <c r="D68" i="1" s="1"/>
  <c r="D69" i="1" s="1"/>
  <c r="D70" i="1" s="1"/>
  <c r="D71" i="1" s="1"/>
  <c r="D72" i="1" s="1"/>
  <c r="D73" i="1" s="1"/>
  <c r="D74" i="1" s="1"/>
  <c r="D75" i="1" s="1"/>
  <c r="D76" i="1" s="1"/>
  <c r="D77" i="1" s="1"/>
  <c r="D78" i="1" s="1"/>
  <c r="D79" i="1" s="1"/>
  <c r="D80" i="1" s="1"/>
  <c r="D81" i="1" s="1"/>
  <c r="D82" i="1" s="1"/>
  <c r="D83" i="1" s="1"/>
  <c r="D84" i="1" s="1"/>
  <c r="D85" i="1" s="1"/>
  <c r="D86" i="1" s="1"/>
  <c r="D87" i="1" s="1"/>
  <c r="D88" i="1" s="1"/>
  <c r="D89" i="1" s="1"/>
  <c r="D90" i="1" s="1"/>
  <c r="D91" i="1" s="1"/>
  <c r="D92" i="1" s="1"/>
  <c r="D93" i="1" s="1"/>
  <c r="D94" i="1" s="1"/>
  <c r="D95" i="1" s="1"/>
  <c r="D96" i="1" s="1"/>
  <c r="D97" i="1" s="1"/>
  <c r="D98" i="1" s="1"/>
  <c r="D99" i="1" s="1"/>
  <c r="D100" i="1" s="1"/>
  <c r="D101" i="1" s="1"/>
  <c r="D102" i="1" s="1"/>
  <c r="D103" i="1" s="1"/>
  <c r="D104" i="1" s="1"/>
  <c r="D105" i="1" s="1"/>
  <c r="D106" i="1" s="1"/>
  <c r="D107" i="1" s="1"/>
  <c r="D108" i="1" s="1"/>
  <c r="D109" i="1" s="1"/>
  <c r="D110" i="1" s="1"/>
  <c r="D111" i="1" s="1"/>
  <c r="D112" i="1" s="1"/>
  <c r="D113" i="1" s="1"/>
  <c r="D114" i="1" s="1"/>
  <c r="D115" i="1" s="1"/>
  <c r="D116" i="1" s="1"/>
  <c r="D117" i="1" s="1"/>
  <c r="D118" i="1" s="1"/>
  <c r="D119" i="1" s="1"/>
  <c r="D120" i="1" s="1"/>
  <c r="D121" i="1" s="1"/>
  <c r="D122" i="1" s="1"/>
  <c r="D123" i="1" s="1"/>
  <c r="D124" i="1" s="1"/>
  <c r="D125" i="1" s="1"/>
  <c r="D126" i="1" s="1"/>
  <c r="D127" i="1" s="1"/>
  <c r="D128" i="1" s="1"/>
  <c r="D129" i="1" s="1"/>
  <c r="D130" i="1" s="1"/>
  <c r="D131" i="1" s="1"/>
  <c r="D132" i="1" s="1"/>
  <c r="D133" i="1" s="1"/>
  <c r="D134" i="1" s="1"/>
  <c r="D135" i="1" s="1"/>
  <c r="D136" i="1" s="1"/>
  <c r="D137" i="1" s="1"/>
  <c r="D138" i="1" s="1"/>
  <c r="D139" i="1" s="1"/>
  <c r="D140" i="1" s="1"/>
  <c r="D141" i="1" s="1"/>
  <c r="D142" i="1" s="1"/>
  <c r="D143" i="1" s="1"/>
  <c r="D144" i="1" s="1"/>
  <c r="D145" i="1" s="1"/>
  <c r="D146" i="1" s="1"/>
  <c r="D147" i="1" s="1"/>
  <c r="D148" i="1" s="1"/>
  <c r="D149" i="1" s="1"/>
  <c r="D150" i="1" s="1"/>
  <c r="D151" i="1" s="1"/>
  <c r="D152" i="1" s="1"/>
  <c r="D153" i="1" s="1"/>
  <c r="D154" i="1" s="1"/>
  <c r="D155" i="1" s="1"/>
  <c r="D156" i="1" s="1"/>
  <c r="D157" i="1" s="1"/>
  <c r="D158" i="1" s="1"/>
  <c r="D159" i="1" s="1"/>
  <c r="D160" i="1" s="1"/>
  <c r="D161" i="1" s="1"/>
  <c r="D162" i="1" s="1"/>
  <c r="D163" i="1" s="1"/>
  <c r="D164" i="1" s="1"/>
  <c r="D165" i="1" s="1"/>
  <c r="D166" i="1" s="1"/>
  <c r="D167" i="1" s="1"/>
  <c r="D168" i="1" s="1"/>
  <c r="D169" i="1" s="1"/>
  <c r="D170" i="1" s="1"/>
  <c r="D171" i="1" s="1"/>
  <c r="D172" i="1" s="1"/>
  <c r="D173" i="1" s="1"/>
  <c r="D174" i="1" s="1"/>
  <c r="D175" i="1" s="1"/>
  <c r="D176" i="1" s="1"/>
  <c r="D177" i="1" s="1"/>
  <c r="D178" i="1" s="1"/>
  <c r="D179" i="1" s="1"/>
  <c r="D180" i="1" s="1"/>
  <c r="D181" i="1" s="1"/>
  <c r="D182" i="1" s="1"/>
  <c r="D183" i="1" s="1"/>
  <c r="D184" i="1" s="1"/>
  <c r="D185" i="1" s="1"/>
  <c r="D186" i="1" s="1"/>
  <c r="D187" i="1" s="1"/>
  <c r="D188" i="1" s="1"/>
  <c r="D189" i="1" s="1"/>
  <c r="D190" i="1" s="1"/>
  <c r="D191" i="1" s="1"/>
  <c r="D192" i="1" s="1"/>
  <c r="D193" i="1" s="1"/>
  <c r="D194" i="1" s="1"/>
  <c r="D195" i="1" s="1"/>
  <c r="D196" i="1" s="1"/>
  <c r="D197" i="1" s="1"/>
  <c r="D198" i="1" s="1"/>
  <c r="D199" i="1" s="1"/>
  <c r="D200" i="1" s="1"/>
  <c r="D201" i="1" s="1"/>
  <c r="D202" i="1" s="1"/>
  <c r="D203" i="1" s="1"/>
  <c r="D204" i="1" s="1"/>
  <c r="D205" i="1" s="1"/>
  <c r="D206" i="1" s="1"/>
  <c r="D207" i="1" s="1"/>
  <c r="D208" i="1" s="1"/>
  <c r="D209" i="1" s="1"/>
  <c r="D210" i="1" s="1"/>
  <c r="D211" i="1" s="1"/>
  <c r="D212" i="1" s="1"/>
  <c r="D213" i="1" s="1"/>
  <c r="D214" i="1" s="1"/>
  <c r="D215" i="1" s="1"/>
  <c r="D216" i="1" s="1"/>
  <c r="D217" i="1" s="1"/>
  <c r="D218" i="1" s="1"/>
  <c r="D219" i="1" s="1"/>
  <c r="D220" i="1" s="1"/>
  <c r="D221" i="1" s="1"/>
  <c r="D222" i="1" s="1"/>
  <c r="D223" i="1" s="1"/>
  <c r="D224" i="1" s="1"/>
  <c r="D225" i="1" s="1"/>
  <c r="D226" i="1" s="1"/>
  <c r="D227" i="1" s="1"/>
  <c r="D228" i="1" s="1"/>
  <c r="D229" i="1" s="1"/>
  <c r="D230" i="1" s="1"/>
  <c r="D231" i="1" s="1"/>
  <c r="D232" i="1" s="1"/>
  <c r="D233" i="1" s="1"/>
  <c r="D234" i="1" s="1"/>
  <c r="D235" i="1" s="1"/>
  <c r="D236" i="1" s="1"/>
  <c r="D237" i="1" s="1"/>
  <c r="D238" i="1" s="1"/>
  <c r="D239" i="1" s="1"/>
  <c r="D240" i="1" s="1"/>
  <c r="D241" i="1" s="1"/>
  <c r="D242" i="1" s="1"/>
  <c r="D243" i="1" s="1"/>
  <c r="D244" i="1" s="1"/>
  <c r="D245" i="1" s="1"/>
  <c r="D246" i="1" s="1"/>
  <c r="D247" i="1" s="1"/>
  <c r="D248" i="1" s="1"/>
  <c r="D249" i="1" s="1"/>
  <c r="D250" i="1" s="1"/>
  <c r="D251" i="1" s="1"/>
  <c r="D252" i="1" s="1"/>
  <c r="D253" i="1" s="1"/>
  <c r="D254" i="1" s="1"/>
  <c r="D255" i="1" s="1"/>
  <c r="D256" i="1" s="1"/>
  <c r="D257" i="1" s="1"/>
  <c r="D258" i="1" s="1"/>
  <c r="D259" i="1" s="1"/>
  <c r="D260" i="1" s="1"/>
  <c r="D261" i="1" s="1"/>
  <c r="D262" i="1" s="1"/>
  <c r="D263" i="1" s="1"/>
  <c r="D264" i="1" s="1"/>
  <c r="D265" i="1" s="1"/>
  <c r="D266" i="1" s="1"/>
  <c r="D267" i="1" s="1"/>
  <c r="D268" i="1" s="1"/>
  <c r="D269" i="1" s="1"/>
  <c r="D270" i="1" s="1"/>
  <c r="D271" i="1" s="1"/>
  <c r="D272" i="1" s="1"/>
  <c r="D273" i="1" s="1"/>
  <c r="D274" i="1" s="1"/>
  <c r="D275" i="1" s="1"/>
  <c r="D276" i="1" s="1"/>
  <c r="D277" i="1" s="1"/>
  <c r="D278" i="1" s="1"/>
  <c r="D279" i="1" s="1"/>
  <c r="D280" i="1" s="1"/>
  <c r="D281" i="1" s="1"/>
  <c r="D282" i="1" s="1"/>
  <c r="D283" i="1" s="1"/>
  <c r="D284" i="1" s="1"/>
  <c r="D285" i="1" s="1"/>
  <c r="D286" i="1" s="1"/>
  <c r="D287" i="1" s="1"/>
  <c r="D288" i="1" s="1"/>
  <c r="D289" i="1" s="1"/>
  <c r="D290" i="1" s="1"/>
  <c r="D291" i="1" s="1"/>
  <c r="D292" i="1" s="1"/>
  <c r="D293" i="1" s="1"/>
  <c r="D294" i="1" s="1"/>
  <c r="D295" i="1" s="1"/>
  <c r="D296" i="1" s="1"/>
  <c r="D297" i="1" s="1"/>
  <c r="D298" i="1" s="1"/>
  <c r="D299" i="1" s="1"/>
  <c r="D300" i="1" s="1"/>
  <c r="D301" i="1" s="1"/>
  <c r="D302" i="1" s="1"/>
  <c r="D303" i="1" s="1"/>
  <c r="D304" i="1" s="1"/>
  <c r="D305" i="1" s="1"/>
  <c r="D306" i="1" s="1"/>
  <c r="D307" i="1" s="1"/>
  <c r="D308" i="1" s="1"/>
  <c r="D309" i="1" s="1"/>
  <c r="D310" i="1" s="1"/>
  <c r="D311" i="1" s="1"/>
  <c r="D312" i="1" s="1"/>
  <c r="D313" i="1" s="1"/>
  <c r="D314" i="1" s="1"/>
  <c r="D315" i="1" s="1"/>
  <c r="D316" i="1" s="1"/>
  <c r="D317" i="1" s="1"/>
  <c r="D318" i="1" s="1"/>
  <c r="D319" i="1" s="1"/>
  <c r="D320" i="1" s="1"/>
  <c r="D321" i="1" s="1"/>
  <c r="D322" i="1" s="1"/>
  <c r="D323" i="1" s="1"/>
  <c r="D324" i="1" s="1"/>
  <c r="D325" i="1" s="1"/>
  <c r="D326" i="1" s="1"/>
  <c r="D327" i="1" s="1"/>
  <c r="D328" i="1" s="1"/>
  <c r="D329" i="1" s="1"/>
  <c r="D330" i="1" s="1"/>
  <c r="D331" i="1" s="1"/>
  <c r="D332" i="1" s="1"/>
  <c r="D333" i="1" s="1"/>
  <c r="D334" i="1" s="1"/>
  <c r="D335" i="1" s="1"/>
  <c r="D336" i="1" s="1"/>
  <c r="D337" i="1" s="1"/>
  <c r="D338" i="1" s="1"/>
  <c r="D339" i="1" s="1"/>
  <c r="D340" i="1" s="1"/>
  <c r="D341" i="1" s="1"/>
  <c r="D342" i="1" s="1"/>
  <c r="D343" i="1" s="1"/>
  <c r="D344" i="1" s="1"/>
  <c r="D345" i="1" s="1"/>
  <c r="D346" i="1" s="1"/>
  <c r="D347" i="1" s="1"/>
  <c r="D348" i="1" s="1"/>
  <c r="D349" i="1" s="1"/>
  <c r="D350" i="1" s="1"/>
  <c r="D351" i="1" s="1"/>
  <c r="D352" i="1" s="1"/>
  <c r="D353" i="1" s="1"/>
  <c r="D354" i="1" s="1"/>
  <c r="D355" i="1" s="1"/>
  <c r="D356" i="1" s="1"/>
  <c r="D357" i="1" s="1"/>
  <c r="D358" i="1" s="1"/>
  <c r="D359" i="1" s="1"/>
  <c r="D360" i="1" s="1"/>
  <c r="D361" i="1" s="1"/>
  <c r="D362" i="1" s="1"/>
  <c r="D363" i="1" s="1"/>
  <c r="D364" i="1" s="1"/>
  <c r="D365" i="1" s="1"/>
  <c r="D366" i="1" s="1"/>
  <c r="D367" i="1" s="1"/>
  <c r="D368" i="1" s="1"/>
  <c r="D36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tc={8905BB3C-CCF8-4488-8703-746B36B543A6}</author>
  </authors>
  <commentList>
    <comment ref="AE171" authorId="0" shapeId="0" xr:uid="{8905BB3C-CCF8-4488-8703-746B36B543A6}">
      <text>
        <t>[Threaded comment]
Your version of Excel allows you to read this threaded comment; however, any edits to it will get removed if the file is opened in a newer version of Excel. Learn more: https://go.microsoft.com/fwlink/?linkid=870924
Comment:
    IDSCNO &amp; IFSCNO not same so we keep both ws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Aidan Delgado</author>
  </authors>
  <commentList>
    <comment ref="E1" authorId="0" shapeId="0" xr:uid="{A3EED61B-09C4-4E5D-9E70-6F360F2A283C}">
      <text>
        <r>
          <rPr>
            <b/>
            <sz val="9"/>
            <color indexed="81"/>
            <rFont val="Tahoma"/>
            <family val="2"/>
          </rPr>
          <t>Aidan Delgado:</t>
        </r>
        <r>
          <rPr>
            <sz val="9"/>
            <color indexed="81"/>
            <rFont val="Tahoma"/>
            <family val="2"/>
          </rPr>
          <t xml:space="preserve">
=XLOOKUP([@[Field/Column Name]],Table33[id field],Table33['#],"0 NOT found")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Aidan Delgado</author>
  </authors>
  <commentList>
    <comment ref="A1" authorId="0" shapeId="0" xr:uid="{B4D0D5FC-E8A2-4DC5-BEA1-1C1B7F6703A6}">
      <text>
        <r>
          <rPr>
            <b/>
            <sz val="9"/>
            <color indexed="81"/>
            <rFont val="Tahoma"/>
            <family val="2"/>
          </rPr>
          <t>Aidan Delgado:</t>
        </r>
        <r>
          <rPr>
            <sz val="9"/>
            <color indexed="81"/>
            <rFont val="Tahoma"/>
            <family val="2"/>
          </rPr>
          <t xml:space="preserve">
once all is mapped delete extra xpath rows not being used. This scripted # is the python order to use.
</t>
        </r>
      </text>
    </comment>
    <comment ref="B1" authorId="0" shapeId="0" xr:uid="{D80ABE23-211E-4B54-B153-BC45E63F8DB1}">
      <text>
        <r>
          <rPr>
            <b/>
            <sz val="9"/>
            <color indexed="81"/>
            <rFont val="Tahoma"/>
            <family val="2"/>
          </rPr>
          <t>Aidan Delgado:</t>
        </r>
        <r>
          <rPr>
            <sz val="9"/>
            <color indexed="81"/>
            <rFont val="Tahoma"/>
            <family val="2"/>
          </rPr>
          <t xml:space="preserve">
=ROW(B1)&amp;"xpath"</t>
        </r>
      </text>
    </comment>
    <comment ref="C1" authorId="0" shapeId="0" xr:uid="{EDC53CA4-7231-46C5-A2B3-702759234022}">
      <text>
        <r>
          <rPr>
            <b/>
            <sz val="9"/>
            <color indexed="81"/>
            <rFont val="Tahoma"/>
            <family val="2"/>
          </rPr>
          <t>Aidan Delgado:</t>
        </r>
        <r>
          <rPr>
            <sz val="9"/>
            <color indexed="81"/>
            <rFont val="Tahoma"/>
            <family val="2"/>
          </rPr>
          <t xml:space="preserve">
pasted all xpaths and then deleted those xpaths that are not being used in this IMFLDR release xml message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Aidan Delgado</author>
  </authors>
  <commentList>
    <comment ref="E1" authorId="0" shapeId="0" xr:uid="{787DFE88-61CF-4348-8BD9-778CD05E6F67}">
      <text>
        <r>
          <rPr>
            <b/>
            <sz val="9"/>
            <color indexed="81"/>
            <rFont val="Tahoma"/>
            <family val="2"/>
          </rPr>
          <t>Aidan Delgado:</t>
        </r>
        <r>
          <rPr>
            <sz val="9"/>
            <color indexed="81"/>
            <rFont val="Tahoma"/>
            <family val="2"/>
          </rPr>
          <t xml:space="preserve">
=XLOOKUP([@[Field/Column Name]],Table33[id field],Table33['#],"0 NOT found")</t>
        </r>
      </text>
    </comment>
  </commentList>
</comments>
</file>

<file path=xl/sharedStrings.xml><?xml version="1.0" encoding="utf-8"?>
<sst xmlns="http://schemas.openxmlformats.org/spreadsheetml/2006/main" count="51037" uniqueCount="4244">
  <si>
    <t>#</t>
  </si>
  <si>
    <t>0</t>
  </si>
  <si>
    <t>1</t>
  </si>
  <si>
    <t>2</t>
  </si>
  <si>
    <t>Delete?</t>
  </si>
  <si>
    <t>Property Type</t>
  </si>
  <si>
    <t>ID</t>
  </si>
  <si>
    <t>Class</t>
  </si>
  <si>
    <t>Attribute</t>
  </si>
  <si>
    <t>Type</t>
  </si>
  <si>
    <t>Description</t>
  </si>
  <si>
    <t>Multiplicity</t>
  </si>
  <si>
    <t>Repeat Values per attribute</t>
  </si>
  <si>
    <t>Name</t>
  </si>
  <si>
    <t>Expanded JSON Formatted</t>
  </si>
  <si>
    <t>Expanded JSON</t>
  </si>
  <si>
    <t>&lt;&lt;JTMP_LegacySource&gt;&gt;
JSON_LegacySourceLocation</t>
  </si>
  <si>
    <t>&lt;&lt;NOLA&gt;&gt;
NIEM Element</t>
  </si>
  <si>
    <t>&lt;&lt;NOLA&gt;&gt;
NIEM Type</t>
  </si>
  <si>
    <t>&lt;&lt;NOLA&gt;&gt;
Parent Base Type</t>
  </si>
  <si>
    <t>&lt;&lt;NOLA&gt;&gt;
XPath (relative)</t>
  </si>
  <si>
    <t>&lt;&lt;NOLA&gt;&gt;
Comments</t>
  </si>
  <si>
    <t>&lt;&lt;NOLA&gt;&gt;
CodeList</t>
  </si>
  <si>
    <t>&lt;&lt;NOLA_Exchange&gt;&gt; Booking XPATH</t>
  </si>
  <si>
    <t>FINAL Expanded JSON</t>
  </si>
  <si>
    <t>db</t>
  </si>
  <si>
    <t>table</t>
  </si>
  <si>
    <t>field description</t>
  </si>
  <si>
    <t>field name</t>
  </si>
  <si>
    <t>concat</t>
  </si>
  <si>
    <t>Column1</t>
  </si>
  <si>
    <t>Column2</t>
  </si>
  <si>
    <t>x</t>
  </si>
  <si>
    <t>Address</t>
  </si>
  <si>
    <t>string</t>
  </si>
  <si>
    <t>A complete address.</t>
  </si>
  <si>
    <t>0..1</t>
  </si>
  <si>
    <t>a</t>
  </si>
  <si>
    <t>"db": "AS400_JMS","table": "IMARRD","fieldDesc": "Address","field": "IDADDR"</t>
  </si>
  <si>
    <t>[{"db": "AS400_JMS",	"table": "IMARRD",	"fieldDesc": "Address",	"field": "IDADDR"</t>
  </si>
  <si>
    <t>[{"db": "AS400_JMS",	"table": "IMARRD",	"fieldDesc": "Address",	"field": "IDADDR"},
{"db": "AS400_JMS",	"table": "IMARRD",	"fieldDesc": "Witness1Address",	"field": "IDADDRW1"},
{"db": "AS400_JMS",	"table": "IMARRD",	"fieldDesc": "Witness2Address",	"field": "IDADDRW2"},
{"db": "AS400_JMS",	"table": "IMARRD",	"fieldDesc": "ArrestLocationStreetAddress",	"field": "IDSTPFA"},
{"db": "EPR",		"table": "Offenders",	"fieldDesc": "ArrestLocation",		"field": "ArrestLocation"},
{"db": "EPR",		"table": "Offenders",	"fieldDesc": "StreetAddress",		"field": "StreetAddress"},
{"db": "EPR",		"table": "VictimPersons",	"fieldDesc": "StreetAddress",		"field": "StreetAddress"},
{"db": "EPR",		"table": "VictimPersons",	"fieldDesc": "WorkStreetAddress",	"field": "WorkStreetAddress"},
{"db": "CASTNetDB",	"table": "PersonAddress",	"fieldDesc": "StreetAddress",		"field": "StreetAddress"},
{"db": "CASTNetDB",	"table": "PersonAddress",	"fieldDesc": "DigiCourtAddress",	"field": "DigiCourtAddress"}]</t>
  </si>
  <si>
    <t>nc:AddressFullText</t>
  </si>
  <si>
    <t>nc:TextType</t>
  </si>
  <si>
    <t>/Address/AddressFullText</t>
  </si>
  <si>
    <t>/nola:BookingExchange/j:Booking/j:BookingSubject/RoleOfPerson/PersonContactInformation/ContactMailingAddress/AddressFullText</t>
  </si>
  <si>
    <t>db: "AS400_JMS"</t>
  </si>
  <si>
    <t>table: "IMARRD"</t>
  </si>
  <si>
    <t>fieldDesc: "Address"</t>
  </si>
  <si>
    <t>field: "IDADDR"</t>
  </si>
  <si>
    <t>d</t>
  </si>
  <si>
    <t>/nola:BookingExchange/j:Booking/j:BookingSubject/RoleOfPerson/EmployeeContactInformation/ContactMailingAddress/AddressFullText</t>
  </si>
  <si>
    <t>/nola:BookingExchange/j:Booking/j:BookingSubject/RoleOfPerson/hs:PersonAugmentation/hs:EmployerContactInformation/ContactMailingAddress/AddressFullText</t>
  </si>
  <si>
    <t>b</t>
  </si>
  <si>
    <t>"db": "AS400_JMS","table": "IMARRD","fieldDesc": "Witness1Address","field": "IDADDRW1"</t>
  </si>
  <si>
    <t xml:space="preserve">
{"db": "AS400_JMS",	"table": "IMARRD",	"fieldDesc": "Witness1Address",	"field": "IDADDRW1"</t>
  </si>
  <si>
    <t>fieldDesc: "Witness1Address"</t>
  </si>
  <si>
    <t>field: "IDADDRW1"</t>
  </si>
  <si>
    <t>c</t>
  </si>
  <si>
    <t>"db": "AS400_JMS","table": "IMARRD","fieldDesc": "Witness2Address","field": "IDADDRW2"</t>
  </si>
  <si>
    <t xml:space="preserve">
{"db": "AS400_JMS",	"table": "IMARRD",	"fieldDesc": "Witness2Address",	"field": "IDADDRW2"</t>
  </si>
  <si>
    <t>fieldDesc: "Witness2Address"</t>
  </si>
  <si>
    <t>field: "IDADDRW2"</t>
  </si>
  <si>
    <t>"db": "AS400_JMS","table": "IMARRD","fieldDesc": "ArrestLocationStreetAddress","field": "IDSTPFA"</t>
  </si>
  <si>
    <t xml:space="preserve">
{"db": "AS400_JMS",	"table": "IMARRD",	"fieldDesc": "ArrestLocationStreetAddress",	"field": "IDSTPFA"</t>
  </si>
  <si>
    <t>fieldDesc: "ArrestLocationStreetAddress"</t>
  </si>
  <si>
    <t>field: "IDSTPFA"</t>
  </si>
  <si>
    <t>AddressCity</t>
  </si>
  <si>
    <t>A name of a city or town.</t>
  </si>
  <si>
    <t>"db": "AS400_JMS","table": "IMARRD","fieldDesc": "AddressCity","field": "IDCITY"</t>
  </si>
  <si>
    <t>[{"db": "AS400_JMS",	"table": "IMARRD",	"fieldDesc": "AddressCity",	"field": "IDCITY"</t>
  </si>
  <si>
    <t xml:space="preserve">[{"db": "AS400_JMS",	"table": "IMARRD",	"fieldDesc": "AddressCity",	"field": "IDCITY"},
{"db": "AS400_JMS",	"table": "IMARRD",	"fieldDesc": "Witness1City",	"field": "IDCITYW1"},
{"db": "AS400_JMS",	"table": "IMARRD",	"fieldDesc": "Witness2City",	"field": "IDCITYW2"},
{"db": "AS400_JMS",	"table": "IMMSTR",	"fieldDesc": "City",	"field": "IMCITY"},
{"db": "AS400_JMS",	"table": "IMFLDR",	"fieldDesc": "City",	"field": "IFCITY"},
{"db": "EPR",	"table": "Offenders",	"fieldDesc": "City",	"field": "City"},
{"db": "EPR",	"table": "VictimPersons",	"fieldDesc": "City",	"field": "City"},
{"db": "EPR",	"table": "Offenders",	"fieldDesc": "City",	"field": "City"},
{"db": "EPR",	"table": "VictimPersons",	"fieldDesc": "City",	"field": "City"},
{"db": "EPR",	"table": "VictimPersons",	"fieldDesc": "WorkCity",	"field": "WorkCity"},
{"db": "CASTNetDB",	"table": "ArrestLocation",	"fieldDesc": "ArrestCity",	"field": "City"},
{"db": "CASTNetDB",	"table": "CityState",	"fieldDesc": "City",	"field": "City"},
{"db": "CASTNetDB",	"table": "PersonAddress",	"fieldDesc": "City",	"field": "City"},
{"db": "CASTNetDB",	"table": "PersonOccupation",	"fieldDesc": "City",	"field": "City"},
{"db": "CASTNetDB",	"table": "vw_Person",	"fieldDesc": "City",	"field": "City"},
{"db": "MC",	"table": "Digicourt_Orleans.dbview.vw_ArrestDetail",	"fieldDesc": "City",	"field": "CITY"},
{"db": "MC",	"table": "DigiCourt_Orleans.dbview.vw_AllWarrants",	"fieldDesc": "City",	"field": "CITY"}]
</t>
  </si>
  <si>
    <t>nc:AddressCityName</t>
  </si>
  <si>
    <t>nc:ProperNameTextType</t>
  </si>
  <si>
    <t>/Address/AddressCityName</t>
  </si>
  <si>
    <t>/nola:BookingExchange/j:Booking/j:BookingSubject/RoleOfPerson/PersonContactInformation/ContactMailingAddress/AddressCityName</t>
  </si>
  <si>
    <t>fieldDesc: "AddressCity"</t>
  </si>
  <si>
    <t>field: "IDCITY"</t>
  </si>
  <si>
    <t>/nola:BookingExchange/j:Booking/j:BookingSubject/RoleOfPerson/EmployeeContactInformation/ContactMailingAddress/AddressCityName</t>
  </si>
  <si>
    <t>/nola:BookingExchange/j:Booking/j:BookingSubject/RoleOfPerson/hs:PersonAugmentation/hs:EmployerContactInformation/ContactMailingAddress/AddressCityName</t>
  </si>
  <si>
    <t>"db": "AS400_JMS","table": "IMARRD","fieldDesc": "Witness1City","field": "IDCITYW1"</t>
  </si>
  <si>
    <t xml:space="preserve">
{"db": "AS400_JMS",	"table": "IMARRD",	"fieldDesc": "Witness1City",	"field": "IDCITYW1"</t>
  </si>
  <si>
    <t>fieldDesc: "Witness1City"</t>
  </si>
  <si>
    <t>field: "IDCITYW1"</t>
  </si>
  <si>
    <t>"db": "AS400_JMS","table": "IMARRD","fieldDesc": "Witness2City","field": "IDCITYW2"</t>
  </si>
  <si>
    <t xml:space="preserve">
{"db": "AS400_JMS",	"table": "IMARRD",	"fieldDesc": "Witness2City",	"field": "IDCITYW2"</t>
  </si>
  <si>
    <t>fieldDesc: "Witness2City"</t>
  </si>
  <si>
    <t>field: "IDCITYW2"</t>
  </si>
  <si>
    <t>e</t>
  </si>
  <si>
    <t>"db": "AS400_JMS","table": "IMFLDR","fieldDesc": "City","field": "IFCITY"</t>
  </si>
  <si>
    <t xml:space="preserve">
{"db": "AS400_JMS",	"table": "IMFLDR",	"fieldDesc": "City",	"field": "IFCITY"</t>
  </si>
  <si>
    <t>table: "IMFLDR"</t>
  </si>
  <si>
    <t>fieldDesc: "City"</t>
  </si>
  <si>
    <t>field: "IFCITY"</t>
  </si>
  <si>
    <t>AddressCountry</t>
  </si>
  <si>
    <t>A name of a state, commonwealth, province, or other such geopolitical subdivision of a country.</t>
  </si>
  <si>
    <t>"db": "AS400_JMS","table": "IMARRD","fieldDesc": "AddressState","field": "IDSTCD"</t>
  </si>
  <si>
    <t>[{"db": "AS400_JMS",	"table": "IMARRD",	"fieldDesc": "AddressState",	"field": "IDSTCD"</t>
  </si>
  <si>
    <t xml:space="preserve">[{"db": "AS400_JMS",	"table": "IMARRD",	"fieldDesc": "AddressState",	"field": "IDSTCD"},
{"db": "EPR",		"table": "Offenders",	"fieldDesc": "State",	"field": "State"},
{"db": "EPR",		"table": "VictimPersons",	"fieldDesc": "State",	"field": "State"},
{"db": "EPR",		"table": "VictimPersons",	"fieldDesc": "WorkState",	"field": "WorkState"},
{"db": "CASTNetDB",	"table": "CityState",	"fieldDesc": "State",	"field": "State"},
{"db": "CASTNetDB",	"table": "GunOwner",	"fieldDesc": "State",	"field": "State"},
{"db": "CASTNetDB",	"table": "PersonOccupation",	"fieldDesc": "State",	"field": "State"},
{"db": "MC",	"table": "Digicourt_Orleans.dbview.vw_ArrestDetail", "fieldDesc": "State", "field": "STATE"},
{"db": "MC",	"table": "DigiCourt_Orleans.dbview.vw_AllWarrants", "fieldDesc": "State", "field": "STATE"}]
</t>
  </si>
  <si>
    <t>nc:CountryName</t>
  </si>
  <si>
    <t>/ContactMailingAddress/AddressCountry/CountryName</t>
  </si>
  <si>
    <t>/nola:BookingExchange/j:Booking/j:BookingSubject/RoleOfPerson/PersonNationality/PersonNationalityCountry/CountryName</t>
  </si>
  <si>
    <t>field: "IDSTCD"</t>
  </si>
  <si>
    <t>/nola:BookingExchange/j:Booking/j:BookingSubject/RoleOfPerson/PersonContactInformation/ContactMailingAddress/AddressCountry/CountryName</t>
  </si>
  <si>
    <t>/nola:BookingExchange/j:Booking/j:BookingSubject/RoleOfPerson/EmployeeContactInformation/ContactMailingAddress/AddressCountry/CountryName</t>
  </si>
  <si>
    <t>/nola:BookingExchange/j:Booking/j:BookingSubject/RoleOfPerson/hs:PersonAugmentation/hs:EmployerContactInformation/ContactMailingAddress/AddressCountry/CountryName</t>
  </si>
  <si>
    <t>AddressState</t>
  </si>
  <si>
    <t>nc:StateName</t>
  </si>
  <si>
    <t>/Address/AddressState/StateName</t>
  </si>
  <si>
    <t>/nola:BookingExchange/j:Booking/j:BookingSubject/RoleOfPerson/PersonBirthLocation/Address/AddressState/StateName</t>
  </si>
  <si>
    <t>fieldDesc: "AddressState"</t>
  </si>
  <si>
    <t>/nola:BookingExchange/j:Booking/j:BookingSubject/RoleOfPerson/PersonContactInformation/ContactMailingAddress/AddressState/StateName</t>
  </si>
  <si>
    <t>/nola:BookingExchange/j:Booking/j:BookingSubject/RoleOfPerson/EmployeeContactInformation/ContactMailingAddress/AddressState/StateName</t>
  </si>
  <si>
    <t>/nola:BookingExchange/j:Booking/j:BookingSubject/RoleOfPerson/hs:PersonAugmentation/hs:EmployerContactInformation/ContactMailingAddress/AddressState/StateName</t>
  </si>
  <si>
    <t>ApartmentBoxRoute</t>
  </si>
  <si>
    <t>A name and number of a postal route.</t>
  </si>
  <si>
    <t>"db": "AS400_JMS","table": "IMARRD","fieldDesc": "Witness1ApartmentBoxRoute","field": "IDABRCW1"</t>
  </si>
  <si>
    <t>[{"db": "AS400_JMS",	"table": "IMARRD",	"fieldDesc": "Witness1ApartmentBoxRoute",	"field": "IDABRCW1"</t>
  </si>
  <si>
    <t>[{"db": "AS400_JMS",	"table": "IMARRD",	"fieldDesc": "Witness1ApartmentBoxRoute",	"field": "IDABRCW1"},
{"db": "AS400_JMS",	"table": "IMARRD",	"fieldDesc": "Witness2ApartmentBoxRoute",	"field": "IDABRCW2"}]</t>
  </si>
  <si>
    <t>nc:AddressRouteName</t>
  </si>
  <si>
    <t>/Address/AddressRouteName</t>
  </si>
  <si>
    <t>/nola:BookingExchange/j:Booking/j:BookingSubject/RoleOfPerson/PersonContactInformation/ContactMailingAddress/AddressRouteName</t>
  </si>
  <si>
    <t>fieldDesc: "Witness1ApartmentBoxRoute"</t>
  </si>
  <si>
    <t>field: "IDABRCW1"</t>
  </si>
  <si>
    <t>/nola:BookingExchange/j:Booking/j:BookingSubject/RoleOfPerson/EmployeeContactInformation/ContactMailingAddress/AddressRouteName</t>
  </si>
  <si>
    <t>/nola:BookingExchange/j:Booking/j:BookingSubject/RoleOfPerson/hs:PersonAugmentation/hs:EmployerContactInformation/ContactMailingAddress/AddressRouteName</t>
  </si>
  <si>
    <t>"db": "AS400_JMS","table": "IMARRD","fieldDesc": "Witness2ApartmentBoxRoute","field": "IDABRCW2"</t>
  </si>
  <si>
    <t xml:space="preserve">
{"db": "AS400_JMS",	"table": "IMARRD",	"fieldDesc": "Witness2ApartmentBoxRoute",	"field": "IDABRCW2"}]</t>
  </si>
  <si>
    <t>fieldDesc: "Witness2ApartmentBoxRoute"</t>
  </si>
  <si>
    <t>field: "IDABRCW2"</t>
  </si>
  <si>
    <t>ApartmentNumber</t>
  </si>
  <si>
    <t>A particular unit within a larger unit or grouping at a location.</t>
  </si>
  <si>
    <t>"db": "AS400_JMS","table": "IMARRD","fieldDesc": "ApartmentNumber","field": "IDABRN"</t>
  </si>
  <si>
    <t>[{"db": "AS400_JMS",	"table": "IMARRD",	"fieldDesc": "ApartmentNumber",	"field": "IDABRN"</t>
  </si>
  <si>
    <t>[{"db": "AS400_JMS",	"table": "IMARRD",	"fieldDesc": "ApartmentNumber",	"field": "IDABRN"},
{"db": "AS400_JMS",	"table": "IMARRD",	"fieldDesc": "ArrestLocationApartmentNumber",	"field": "IDSTSFAI"},
{"db": "AS400_JMS",	"table": "IMARRD",	"fieldDesc": "OffenseLocationApartmentNumber",	"field": "IDSTSFOI"},
{"db": "AS400_JMS",	"table": "IMMSTR",	"fieldDesc": "ApartmentNumber",	"field": "IMABRN"},
{"db": "AS400_JMS",	"table": "IMFLDR",	"fieldDesc": "ApartmentNumber",	"field": "IFABRN"},
{"db": "CASTNetDB",	"table": "PersonAddress",	"fieldDesc": "ApartmentNumber",	"field": "ApartmentNumber"},
{"db": "CASTNetDB",	"table": "vw_Person",	"fieldDesc": "ApartmentNumber",	"field": "ApartmentNumber"},
{"db": "CASTNetDB",	"table": "ArrestLocation",	"fieldDesc": "ArrestApartmentNumber",	"field": "ApartmentNumber"}]</t>
  </si>
  <si>
    <t>nc:AddressSecondaryUnitText</t>
  </si>
  <si>
    <t>/Address/AddressSecondaryUnitText</t>
  </si>
  <si>
    <t>/nola:BookingExchange/j:Booking/j:BookingSubject/RoleOfPerson/PersonContactInformation/ContactMailingAddress/AddressSecondaryUnitText</t>
  </si>
  <si>
    <t>fieldDesc: "ApartmentNumber"</t>
  </si>
  <si>
    <t>field: "IDABRN"</t>
  </si>
  <si>
    <t>/nola:BookingExchange/j:Booking/j:BookingSubject/RoleOfPerson/EmployeeContactInformation/ContactMailingAddress/AddressSecondaryUnitText</t>
  </si>
  <si>
    <t>/nola:BookingExchange/j:Booking/j:BookingSubject/RoleOfPerson/hs:PersonAugmentation/hs:EmployerContactInformation/ContactMailingAddress/AddressSecondaryUnitText</t>
  </si>
  <si>
    <t>"db": "AS400_JMS","table": "IMARRD","fieldDesc": "ArrestLocationApartmentNumber","field": "IDSTSFAI"</t>
  </si>
  <si>
    <t xml:space="preserve">
{"db": "AS400_JMS",	"table": "IMARRD",	"fieldDesc": "ArrestLocationApartmentNumber",	"field": "IDSTSFAI"</t>
  </si>
  <si>
    <t>fieldDesc: "ArrestLocationApartmentNumber"</t>
  </si>
  <si>
    <t>field: "IDSTSFAI"</t>
  </si>
  <si>
    <t>"db": "AS400_JMS","table": "IMARRD","fieldDesc": "OffenseLocationApartmentNumber","field": "IDSTSFOI"</t>
  </si>
  <si>
    <t xml:space="preserve">
{"db": "AS400_JMS",	"table": "IMARRD",	"fieldDesc": "OffenseLocationApartmentNumber",	"field": "IDSTSFOI"</t>
  </si>
  <si>
    <t>fieldDesc: "OffenseLocationApartmentNumber"</t>
  </si>
  <si>
    <t>field: "IDSTSFOI"</t>
  </si>
  <si>
    <t>"db": "AS400_JMS","table": "IMFLDR","fieldDesc": "ApartmentNumber","field": "IFABRN"</t>
  </si>
  <si>
    <t xml:space="preserve">
{"db": "AS400_JMS",	"table": "IMFLDR",	"fieldDesc": "ApartmentNumber",	"field": "IFABRN"</t>
  </si>
  <si>
    <t>field: "IFABRN"</t>
  </si>
  <si>
    <t>BoxRouteCode</t>
  </si>
  <si>
    <t>CodeList</t>
  </si>
  <si>
    <t>An identifier of a single place or unit at which mail is delivered.</t>
  </si>
  <si>
    <t>"db": "AS400_JMS","table": "IMARRD","fieldDesc": "BoxRouteCode","field": "IDABRC"</t>
  </si>
  <si>
    <t>[{"db": "AS400_JMS",	"table": "IMARRD",	"fieldDesc": "BoxRouteCode",	"field": "IDABRC"</t>
  </si>
  <si>
    <t xml:space="preserve">[{"db": "AS400_JMS",	"table": "IMARRD",	"fieldDesc": "BoxRouteCode",	"field": "IDABRC"},
{"db": "AS400_JMS",	"table": "IMARRD",	"fieldDesc": "ArrestLocationBoxRouteCode",	"field": "IDSTNMAI"},
{"db": "AS400_JMS",	"table": "IMARRD",	"fieldDesc": "Witness1ApartmentBoxRouteNumber",	"field": "IDABRNW1"},
{"db": "AS400_JMS",	"table": "IMARRD",	"fieldDesc": "Witness2ApartmentBoxRouteNumber",	"field": "IDABRNW2"},
{"db": "AS400_JMS",	"table": "IMARRD",	"fieldDesc": "OffenseLocationBoxRouteCode",	"field": "IDSTNMOI"},
{"db": "AS400_JMS",	"table": "IMMSTR",	"fieldDesc": "BoxRouteCode",	"field": "IMABRC"},
{"db": "AS400_JMS",	"table": "IMFLDR",	"fieldDesc": "BoxRouteCode",	"field": "IFABRC"},
{"db": "CASTNetDB",	"table": "PersonAddress",	"fieldDesc": "BoxRouteCode",	"field": "BoxRouteCode"},
{"db": "CASTNetDB",	"table": "vw_Person",	"fieldDesc": "BoxRouteCode",	"field": "BoxRouteCode"},
{"db": "CASTNetDB",	"table": "ArrestLocation",	"fieldDesc": "ArrestBoxCode",	"field": "BoxCode"}]
</t>
  </si>
  <si>
    <t>nc:AddressDeliveryPointID</t>
  </si>
  <si>
    <t>niem-xs:string</t>
  </si>
  <si>
    <t>/Address/AddressDeliveryPointID</t>
  </si>
  <si>
    <t>/nola:BookingExchange/j:Booking/j:BookingSubject/RoleOfPerson/PersonContactInformation/ContactMailingAddress/AddressDeliveryPointID</t>
  </si>
  <si>
    <t>fieldDesc: "BoxRouteCode"</t>
  </si>
  <si>
    <t>field: "IDABRC"</t>
  </si>
  <si>
    <t>/nola:BookingExchange/j:Booking/j:BookingSubject/RoleOfPerson/EmployeeContactInformation/ContactMailingAddress/AddressDeliveryPointID</t>
  </si>
  <si>
    <t>/nola:BookingExchange/j:Booking/j:BookingSubject/RoleOfPerson/hs:PersonAugmentation/hs:EmployerContactInformation/ContactMailingAddress/AddressDeliveryPointID</t>
  </si>
  <si>
    <t>"db": "AS400_JMS","table": "IMARRD","fieldDesc": "ArrestLocationBoxRouteCode","field": "IDSTNMAI"</t>
  </si>
  <si>
    <t xml:space="preserve">
{"db": "AS400_JMS",	"table": "IMARRD",	"fieldDesc": "ArrestLocationBoxRouteCode",	"field": "IDSTNMAI"</t>
  </si>
  <si>
    <t>fieldDesc: "ArrestLocationBoxRouteCode"</t>
  </si>
  <si>
    <t>field: "IDSTNMAI"</t>
  </si>
  <si>
    <t>"db": "AS400_JMS","table": "IMARRD","fieldDesc": "Witness1ApartmentBoxRouteNumber","field": "IDABRNW1"</t>
  </si>
  <si>
    <t xml:space="preserve">
{"db": "AS400_JMS",	"table": "IMARRD",	"fieldDesc": "Witness1ApartmentBoxRouteNumber",	"field": "IDABRNW1"</t>
  </si>
  <si>
    <t>fieldDesc: "Witness1ApartmentBoxRouteNumber"</t>
  </si>
  <si>
    <t>field: "IDABRNW1"</t>
  </si>
  <si>
    <t>"db": "AS400_JMS","table": "IMARRD","fieldDesc": "Witness2ApartmentBoxRouteNumber","field": "IDABRNW2"</t>
  </si>
  <si>
    <t xml:space="preserve">
{"db": "AS400_JMS",	"table": "IMARRD",	"fieldDesc": "Witness2ApartmentBoxRouteNumber",	"field": "IDABRNW2"</t>
  </si>
  <si>
    <t>fieldDesc: "Witness2ApartmentBoxRouteNumber"</t>
  </si>
  <si>
    <t>field: "IDABRNW2"</t>
  </si>
  <si>
    <t>"db": "AS400_JMS","table": "IMARRD","fieldDesc": "OffenseLocationBoxRouteCode","field": "IDSTNMOI"</t>
  </si>
  <si>
    <t xml:space="preserve">
{"db": "AS400_JMS",	"table": "IMARRD",	"fieldDesc": "OffenseLocationBoxRouteCode",	"field": "IDSTNMOI"</t>
  </si>
  <si>
    <t>fieldDesc: "OffenseLocationBoxRouteCode"</t>
  </si>
  <si>
    <t>field: "IDSTNMOI"</t>
  </si>
  <si>
    <t>g</t>
  </si>
  <si>
    <t>"db": "AS400_JMS","table": "IMFLDR","fieldDesc": "BoxRouteCode","field": "IFABRC"</t>
  </si>
  <si>
    <t xml:space="preserve">
{"db": "AS400_JMS",	"table": "IMFLDR",	"fieldDesc": "BoxRouteCode",	"field": "IFABRC"</t>
  </si>
  <si>
    <t>field: "IFABRC"</t>
  </si>
  <si>
    <t>StateCode</t>
  </si>
  <si>
    <t>"db": "AS400_JMS","table": "IMARRD","fieldDesc": "Witness1StateCode","field": "IDSTCDW1"</t>
  </si>
  <si>
    <t>[{"db": "AS400_JMS",	"table": "IMARRD",	"fieldDesc": "Witness1StateCode",	"field": "IDSTCDW1"</t>
  </si>
  <si>
    <t xml:space="preserve">[{"db": "AS400_JMS",	"table": "IMARRD",	"fieldDesc": "Witness1StateCode",	"field": "IDSTCDW1"},
{"db": "AS400_JMS",	"table": "IMARRD",	"fieldDesc": "Witness2StateCode",	"field": "IDSTCDW2"},
{"db": "AS400_JMS",	"table": "IMMSTR",	"fieldDesc": "StateCode",	"field": "IMSTCD"},
{"db": "AS400_JMS",	"table": "IMFLDR",	"fieldDesc": "StateCode",	"field": "IFSTCD"}]
</t>
  </si>
  <si>
    <t>ncic:StateUSCode</t>
  </si>
  <si>
    <t>ncic:UnitedStatesCodeType</t>
  </si>
  <si>
    <t>/ContactMailingAddress/AddressState/ncic:StateUSCode</t>
  </si>
  <si>
    <t>/nola:BookingExchange/j:Booking/j:BookingSubject/RoleOfPerson/PersonContactInformation/ContactMailingAddress/AddressState/ncic:StateUSCode</t>
  </si>
  <si>
    <t>fieldDesc: "Witness1StateCode"</t>
  </si>
  <si>
    <t>field: "IDSTCDW1"</t>
  </si>
  <si>
    <t>/nola:BookingExchange/j:Booking/j:BookingSubject/RoleOfPerson/EmployeeContactInformation/ContactMailingAddress/AddressState/ncic:StateUSCode</t>
  </si>
  <si>
    <t>/nola:BookingExchange/j:Booking/j:BookingSubject/RoleOfPerson/j:PersonAugmentation/j:DriverLicense/j:DriverLicenseCardIdentification/IdentificationJurisdiction/JurisdictionLocation/Address/AddressState/ncic:StateUSCode</t>
  </si>
  <si>
    <t>/nola:BookingExchange/j:Booking/j:BookingSubject/RoleOfPerson/hs:PersonAugmentation/hs:EmployerContactInformation/ContactMailingAddress/AddressState/ncic:StateUSCode</t>
  </si>
  <si>
    <t>"db": "AS400_JMS","table": "IMARRD","fieldDesc": "Witness2StateCode","field": "IDSTCDW2"</t>
  </si>
  <si>
    <t xml:space="preserve">
{"db": "AS400_JMS",	"table": "IMARRD",	"fieldDesc": "Witness2StateCode",	"field": "IDSTCDW2"</t>
  </si>
  <si>
    <t>fieldDesc: "Witness2StateCode"</t>
  </si>
  <si>
    <t>field: "IDSTCDW2"</t>
  </si>
  <si>
    <t>"db": "AS400_JMS","table": "IMFLDR","fieldDesc": "StateCode","field": "IFSTCD"</t>
  </si>
  <si>
    <t xml:space="preserve">
{"db": "AS400_JMS",	"table": "IMFLDR",	"fieldDesc": "StateCode",	"field": "IFSTCD"}]
</t>
  </si>
  <si>
    <t>fieldDesc: "StateCode"</t>
  </si>
  <si>
    <t>field: "IFSTCD"</t>
  </si>
  <si>
    <t>StreetDirection</t>
  </si>
  <si>
    <t>A complete reference for a street.</t>
  </si>
  <si>
    <t>"db": "AS400_JMS","table": "IMARRD","fieldDesc": "StreetDirection","field": "IDSTPF"</t>
  </si>
  <si>
    <t>[{"db": "AS400_JMS",	"table": "IMARRD",	"fieldDesc": "StreetDirection",	"field": "IDSTPF"</t>
  </si>
  <si>
    <t>[{"db": "AS400_JMS",	"table": "IMARRD",	"fieldDesc": "StreetDirection",	"field": "IDSTPF"},
{"db": "AS400_JMS",	"table": "IMARRD",	"fieldDesc": "OffenseLocationStreetDirection",	"field": "IDSTPFO"},
{"db": "CASTNetDB",	"table": "PersonAddress",	"fieldDesc": "StreetDirection",	"field": "StreetDirection"},
{"db": "CASTNetDB",	"table": "PersonOccupation",	"fieldDesc": "StreetDirection",	"field": "StreetDirection"}]</t>
  </si>
  <si>
    <t>nc:StreetFullText</t>
  </si>
  <si>
    <t>/Address/AddressStreet/StreetFullText</t>
  </si>
  <si>
    <t>/nola:BookingExchange/j:Booking/j:BookingSubject/RoleOfPerson/PersonContactInformation/ContactMailingAddress/AddressStreet/StreetFullText</t>
  </si>
  <si>
    <t>fieldDesc: "StreetDirection"</t>
  </si>
  <si>
    <t>field: "IDSTPF"</t>
  </si>
  <si>
    <t>/nola:BookingExchange/j:Booking/j:BookingSubject/RoleOfPerson/EmployeeContactInformation/ContactMailingAddress/AddressStreet/StreetFullText</t>
  </si>
  <si>
    <t>/nola:BookingExchange/j:Booking/j:BookingSubject/RoleOfPerson/hs:PersonAugmentation/hs:EmployerContactInformation/ContactMailingAddress/AddressStreet/StreetFullText</t>
  </si>
  <si>
    <t>"db": "AS400_JMS","table": "IMARRD","fieldDesc": "OffenseLocationStreetDirection","field": "IDSTPFO"</t>
  </si>
  <si>
    <t xml:space="preserve">
{"db": "AS400_JMS",	"table": "IMARRD",	"fieldDesc": "OffenseLocationStreetDirection",	"field": "IDSTPFO"</t>
  </si>
  <si>
    <t>fieldDesc: "OffenseLocationStreetDirection"</t>
  </si>
  <si>
    <t>field: "IDSTPFO"</t>
  </si>
  <si>
    <t>StreetName</t>
  </si>
  <si>
    <t>A name of a street.</t>
  </si>
  <si>
    <t>"db": "AS400_JMS","table": "IMARRD","fieldDesc": "StreetName","field": "IDSTNM"</t>
  </si>
  <si>
    <t>[{"db": "AS400_JMS",	"table": "IMARRD",	"fieldDesc": "StreetName",	"field": "IDSTNM"</t>
  </si>
  <si>
    <t>[{"db": "AS400_JMS",	"table": "IMARRD",	"fieldDesc": "StreetName",	"field": "IDSTNM"},
{"db": "AS400_JMS",	"table": "IMARRD",	"fieldDesc": "ArrestLocationStreetName",	"field": "IDSTNMA"},
{"db": "AS400_JMS",	"table": "IMARRD",	"fieldDesc": "Witness2StreetName",	"field": "IDSTNMW2"},
{"db": "AS400_JMS",	"table": "IMARRD",	"fieldDesc": "Witness1StreetName",	"field": "IDSTNMW1"},
{"db": "AS400_JMS",	"table": "IMARRD",	"fieldDesc": "OffenseLocationStreetName",	"field": "IDSTNMO"},
{"db": "AS400_JMS",	"table": "IMMSTR",	"fieldDesc": "StreetName",		"field": "IMSTNM"},
{"db": "AS400_JMS",	"table": "IMFLDR",	"fieldDesc": "StreetName",		"field": "IFSTNM"},
{"db": "CASTNetDB",	"table": "PersonAddress",	"fieldDesc": "StreetAddress",		"field": "StreetAddress"},
{"db": "CASTNetDB",	"table": "ArrestLocation",	"fieldDesc": "ArrestStreetName",	"field": "StreetName"},
{"db": "CASTNetDB",	"table": "PersonAddress",	"fieldDesc": "StreetName",		"field": "StreetName"},
{"db": "CASTNetDB",	"table": "PersonOccupation",	"fieldDesc": "StreetName",		"field": "StreetName"}]</t>
  </si>
  <si>
    <t>nc:StreetName</t>
  </si>
  <si>
    <t>/Address/AddressStreet/StreetName</t>
  </si>
  <si>
    <t>/nola:BookingExchange/j:Booking/j:BookingSubject/RoleOfPerson/PersonContactInformation/ContactMailingAddress/AddressStreet/StreetName</t>
  </si>
  <si>
    <t>fieldDesc: "StreetName"</t>
  </si>
  <si>
    <t>field: "IDSTNM"</t>
  </si>
  <si>
    <t>/nola:BookingExchange/j:Booking/j:BookingSubject/RoleOfPerson/EmployeeContactInformation/ContactMailingAddress/AddressStreet/StreetName</t>
  </si>
  <si>
    <t>/nola:BookingExchange/j:Booking/j:BookingSubject/RoleOfPerson/hs:PersonAugmentation/hs:EmployerContactInformation/ContactMailingAddress/AddressStreet/StreetName</t>
  </si>
  <si>
    <t>"db": "AS400_JMS","table": "IMARRD","fieldDesc": "ArrestLocationStreetName","field": "IDSTNMA"</t>
  </si>
  <si>
    <t xml:space="preserve">
{"db": "AS400_JMS",	"table": "IMARRD",	"fieldDesc": "ArrestLocationStreetName",	"field": "IDSTNMA"</t>
  </si>
  <si>
    <t>fieldDesc: "ArrestLocationStreetName"</t>
  </si>
  <si>
    <t>field: "IDSTNMA"</t>
  </si>
  <si>
    <t>"db": "AS400_JMS","table": "IMARRD","fieldDesc": "Witness2StreetName","field": "IDSTNMW2"</t>
  </si>
  <si>
    <t xml:space="preserve">
{"db": "AS400_JMS",	"table": "IMARRD",	"fieldDesc": "Witness2StreetName",	"field": "IDSTNMW2"</t>
  </si>
  <si>
    <t>fieldDesc: "Witness2StreetName"</t>
  </si>
  <si>
    <t>field: "IDSTNMW2"</t>
  </si>
  <si>
    <t>"db": "AS400_JMS","table": "IMARRD","fieldDesc": "Witness1StreetName","field": "IDSTNMW1"</t>
  </si>
  <si>
    <t xml:space="preserve">
{"db": "AS400_JMS",	"table": "IMARRD",	"fieldDesc": "Witness1StreetName",	"field": "IDSTNMW1"</t>
  </si>
  <si>
    <t>fieldDesc: "Witness1StreetName"</t>
  </si>
  <si>
    <t>field: "IDSTNMW1"</t>
  </si>
  <si>
    <t>"db": "AS400_JMS","table": "IMARRD","fieldDesc": "OffenseLocationStreetName","field": "IDSTNMO"</t>
  </si>
  <si>
    <t xml:space="preserve">
{"db": "AS400_JMS",	"table": "IMARRD",	"fieldDesc": "OffenseLocationStreetName",	"field": "IDSTNMO"</t>
  </si>
  <si>
    <t>fieldDesc: "OffenseLocationStreetName"</t>
  </si>
  <si>
    <t>field: "IDSTNMO"</t>
  </si>
  <si>
    <t>"db": "AS400_JMS","table": "IMFLDR","fieldDesc": "StreetName","field": "IFSTNM"</t>
  </si>
  <si>
    <t xml:space="preserve">
{"db": "AS400_JMS",	"table": "IMFLDR",	"fieldDesc": "StreetName",		"field": "IFSTNM"</t>
  </si>
  <si>
    <t>field: "IFSTNM"</t>
  </si>
  <si>
    <t>StreetNumber</t>
  </si>
  <si>
    <t>A number that identifies a particular unit or location within a street.</t>
  </si>
  <si>
    <t>"db": "AS400_JMS","table": "IMARRD","fieldDesc": "StreetNumber","field": "IDSTNO"</t>
  </si>
  <si>
    <t>[{"db": "AS400_JMS",	"table": "IMARRD",	"fieldDesc": "StreetNumber",	"field": "IDSTNO"</t>
  </si>
  <si>
    <t>[{"db": "AS400_JMS",	"table": "IMARRD",	"fieldDesc": "StreetNumber",	"field": "IDSTNO"},
{"db": "AS400_JMS",	"table": "IMARRD",	"fieldDesc": "ArrestLocationStreetNumber",	"field": "IDSTNOA"},
{"db": "AS400_JMS",	"table": "IMARRD",	"fieldDesc": "Witness1StreetNumber",	"field": "IDSTNOW1"},
{"db": "AS400_JMS",	"table": "IMARRD",	"fieldDesc": "Witness2StreetNumber",	"field": "IDSTNOW2"},
{"db": "AS400_JMS",	"table": "IMARRD",	"fieldDesc": "OffenseLocationStreetNumber",	"field": "IDSTNOO"},
{"db": "AS400_JMS",	"table": "IMMSTR",	"fieldDesc": "StreetNumber",	"field": "IMSTNO"},
{"db": "AS400_JMS",	"table": "IMFLDR",	"fieldDesc": "StreetNumber",	"field": "IFSTNO"},
{"db": "EPR",		"table": "VictimPersons",	"fieldDesc": "WorkStreetAddress",	"field": "WorkStreetAddress"},
{"db": "CASTNetDB",	"table": "ArrestLocation",	"fieldDesc": "ArrestStreetNumber",	"field": "StreetNumber"},
{"db": "CASTNetDB",	"table": "PersonAddress",	"fieldDesc": "StreetNumber",	"field": "StreetNumber"},
{"db": "CASTNetDB",	"table": "PersonOccupation",	"fieldDesc": "StreetNumber",	"field": "StreetNumber"}]</t>
  </si>
  <si>
    <t>nc:StreetNumberText</t>
  </si>
  <si>
    <t>/Address/AddressStreet/StreetNumberText</t>
  </si>
  <si>
    <t>/nola:BookingExchange/j:Booking/j:BookingSubject/RoleOfPerson/PersonContactInformation/ContactMailingAddress/AddressStreet/StreetNumberText</t>
  </si>
  <si>
    <t>fieldDesc: "StreetNumber"</t>
  </si>
  <si>
    <t>field: "IDSTNO"</t>
  </si>
  <si>
    <t>LEFT OFF HERE</t>
  </si>
  <si>
    <t>/nola:BookingExchange/j:Booking/j:BookingSubject/RoleOfPerson/EmployeeContactInformation/ContactMailingAddress/AddressStreet/StreetNumberText</t>
  </si>
  <si>
    <t>/nola:BookingExchange/j:Booking/j:BookingSubject/RoleOfPerson/hs:PersonAugmentation/hs:EmployerContactInformation/ContactMailingAddress/AddressStreet/StreetNumberText</t>
  </si>
  <si>
    <t>"db": "AS400_JMS","table": "IMARRD","fieldDesc": "ArrestLocationStreetNumber","field": "IDSTNOA"</t>
  </si>
  <si>
    <t xml:space="preserve">
{"db": "AS400_JMS",	"table": "IMARRD",	"fieldDesc": "ArrestLocationStreetNumber",	"field": "IDSTNOA"</t>
  </si>
  <si>
    <t>fieldDesc: "ArrestLocationStreetNumber"</t>
  </si>
  <si>
    <t>field: "IDSTNOA"</t>
  </si>
  <si>
    <t>"db": "AS400_JMS","table": "IMARRD","fieldDesc": "Witness1StreetNumber","field": "IDSTNOW1"</t>
  </si>
  <si>
    <t xml:space="preserve">
{"db": "AS400_JMS",	"table": "IMARRD",	"fieldDesc": "Witness1StreetNumber",	"field": "IDSTNOW1"</t>
  </si>
  <si>
    <t>fieldDesc: "Witness1StreetNumber"</t>
  </si>
  <si>
    <t>field: "IDSTNOW1"</t>
  </si>
  <si>
    <t>"db": "AS400_JMS","table": "IMARRD","fieldDesc": "Witness2StreetNumber","field": "IDSTNOW2"</t>
  </si>
  <si>
    <t xml:space="preserve">
{"db": "AS400_JMS",	"table": "IMARRD",	"fieldDesc": "Witness2StreetNumber",	"field": "IDSTNOW2"</t>
  </si>
  <si>
    <t>fieldDesc: "Witness2StreetNumber"</t>
  </si>
  <si>
    <t>field: "IDSTNOW2"</t>
  </si>
  <si>
    <t>"db": "AS400_JMS","table": "IMARRD","fieldDesc": "OffenseLocationStreetNumber","field": "IDSTNOO"</t>
  </si>
  <si>
    <t xml:space="preserve">
{"db": "AS400_JMS",	"table": "IMARRD",	"fieldDesc": "OffenseLocationStreetNumber",	"field": "IDSTNOO"</t>
  </si>
  <si>
    <t>fieldDesc: "OffenseLocationStreetNumber"</t>
  </si>
  <si>
    <t>field: "IDSTNOO"</t>
  </si>
  <si>
    <t>"db": "AS400_JMS","table": "IMFLDR","fieldDesc": "StreetNumber","field": "IFSTNO"</t>
  </si>
  <si>
    <t xml:space="preserve">
{"db": "AS400_JMS",	"table": "IMFLDR",	"fieldDesc": "StreetNumber",	"field": "IFSTNO"</t>
  </si>
  <si>
    <t>field: "IFSTNO"</t>
  </si>
  <si>
    <t>StreetPrefix</t>
  </si>
  <si>
    <t>A direction that appears before a street name.</t>
  </si>
  <si>
    <t>"db": "AS400_JMS","table": "IMARRD","fieldDesc": "Witness1StreetPrefix","field": "IDSTPFW1"</t>
  </si>
  <si>
    <t>[{"db": "AS400_JMS",	"table": "IMARRD",	"fieldDesc": "Witness1StreetPrefix",	"field": "IDSTPFW1"</t>
  </si>
  <si>
    <t>[{"db": "AS400_JMS",	"table": "IMARRD",	"fieldDesc": "Witness1StreetPrefix",	"field": "IDSTPFW1"},
{"db": "AS400_JMS",	"table": "IMARRD",	"fieldDesc": "Witness2StreetPrefix",	"field": "IDSTPFW2"},
{"db": "AS400_JMS",	"table": "IMMSTR",	"fieldDesc": "StreetPrefix",	"field": "IMSTPF"},
{"db": "AS400_JMS",	"table": "IMFLDR",	"fieldDesc": "StreetPrefix",	"field": "IFSTPF"},
{"db": "CASTNetDB",	"table": "ArrestLocation",	"fieldDesc": "ArrestStreetPrefixId",	"field": "StreetPrefixId"},
{"db": "CASTNetDB",	"table": "PersonAddress",	"fieldDesc": "StreetPrefixId",		"field": "StreetPrefixId"}]</t>
  </si>
  <si>
    <t>nc:StreetDirectionalText</t>
  </si>
  <si>
    <t>/Address/AddressStreet/StreetPredirectional/StreetDirectionalText</t>
  </si>
  <si>
    <t>/nola:BookingExchange/j:Booking/j:BookingSubject/RoleOfPerson/PersonContactInformation/ContactMailingAddress/AddressStreet/StreetPredirectional/StreetDirectionalText</t>
  </si>
  <si>
    <t>fieldDesc: "Witness1StreetPrefix"</t>
  </si>
  <si>
    <t>field: "IDSTPFW1"</t>
  </si>
  <si>
    <t>/nola:BookingExchange/j:Booking/j:BookingSubject/RoleOfPerson/EmployeeContactInformation/ContactMailingAddress/AddressStreet/StreetPredirectional/StreetDirectionalText</t>
  </si>
  <si>
    <t>/nola:BookingExchange/j:Booking/j:BookingSubject/RoleOfPerson/hs:PersonAugmentation/hs:EmployerContactInformation/ContactMailingAddress/AddressStreet/StreetPredirectional/StreetDirectionalText</t>
  </si>
  <si>
    <t>"db": "AS400_JMS","table": "IMARRD","fieldDesc": "Witness2StreetPrefix","field": "IDSTPFW2"</t>
  </si>
  <si>
    <t xml:space="preserve">
{"db": "AS400_JMS",	"table": "IMARRD",	"fieldDesc": "Witness2StreetPrefix",	"field": "IDSTPFW2"</t>
  </si>
  <si>
    <t>fieldDesc: "Witness2StreetPrefix"</t>
  </si>
  <si>
    <t>field: "IDSTPFW2"</t>
  </si>
  <si>
    <t>"db": "AS400_JMS","table": "IMFLDR","fieldDesc": "StreetPrefix","field": "IFSTPF"</t>
  </si>
  <si>
    <t xml:space="preserve">
{"db": "AS400_JMS",	"table": "IMFLDR",	"fieldDesc": "StreetPrefix",	"field": "IFSTPF"</t>
  </si>
  <si>
    <t>fieldDesc: "StreetPrefix"</t>
  </si>
  <si>
    <t>field: "IFSTPF"</t>
  </si>
  <si>
    <t>StreetSuffix</t>
  </si>
  <si>
    <t>A direction that appears after a street name.</t>
  </si>
  <si>
    <t>"db": "AS400_JMS","table": "IMARRD","fieldDesc": "StreetSuffix","field": "IDSTSF"</t>
  </si>
  <si>
    <t>[{"db": "AS400_JMS",	"table": "IMARRD",	"fieldDesc": "StreetSuffix",	"field": "IDSTSF"</t>
  </si>
  <si>
    <t>[{"db": "AS400_JMS",	"table": "IMARRD",	"fieldDesc": "StreetSuffix",	"field": "IDSTSF"},
{"db": "AS400_JMS",	"table": "IMARRD",	"fieldDesc": "ArrestLocationStreetSuffix",	"field": "IDSTSFA"},
{"db": "AS400_JMS",	"table": "IMARRD",	"fieldDesc": "Witness1StreetSuffix",	"field": "IDSTSFW1"},
{"db": "AS400_JMS",	"table": "IMARRD",	"fieldDesc": "Witness2StreetSuffix",	"field": "IDSTSFW2"},
{"db": "AS400_JMS",	"table": "IMARRD",	"fieldDesc": "OffenseLocationStreetSuffix",	"field": "IDSTSFO"},
{"db": "AS400_JMS",	"table": "IMMSTR",	"fieldDesc": "StreetSuffix",	"field": "IMSTSF"},
{"db": "AS400_JMS",	"table": "IMFLDR",	"fieldDesc": "StreetSuffix",	"field": "IFSTSF"},
{"db": "CASTNetDB",	"table": "PersonOccupation",	"fieldDesc": "StreetSuffix",	"field": "StreetSuffix"}]</t>
  </si>
  <si>
    <t>/Address/AddressStreet/StreetPostdirectional/StreetDirectionalText</t>
  </si>
  <si>
    <t>/nola:BookingExchange/j:Booking/j:BookingSubject/RoleOfPerson/PersonContactInformation/ContactMailingAddress/AddressStreet/StreetPostdirectional/StreetDirectionalText</t>
  </si>
  <si>
    <t>fieldDesc: "StreetSuffix"</t>
  </si>
  <si>
    <t>field: "IDSTSF"</t>
  </si>
  <si>
    <t>/nola:BookingExchange/j:Booking/j:BookingSubject/RoleOfPerson/EmployeeContactInformation/ContactMailingAddress/AddressStreet/StreetPostdirectional/StreetDirectionalText</t>
  </si>
  <si>
    <t>/nola:BookingExchange/j:Booking/j:BookingSubject/RoleOfPerson/hs:PersonAugmentation/hs:EmployerContactInformation/ContactMailingAddress/AddressStreet/StreetPostdirectional/StreetDirectionalText</t>
  </si>
  <si>
    <t>"db": "AS400_JMS","table": "IMARRD","fieldDesc": "ArrestLocationStreetSuffix","field": "IDSTSFA"</t>
  </si>
  <si>
    <t xml:space="preserve">
{"db": "AS400_JMS",	"table": "IMARRD",	"fieldDesc": "ArrestLocationStreetSuffix",	"field": "IDSTSFA"</t>
  </si>
  <si>
    <t>fieldDesc: "ArrestLocationStreetSuffix"</t>
  </si>
  <si>
    <t>field: "IDSTSFA"</t>
  </si>
  <si>
    <t>"db": "AS400_JMS","table": "IMARRD","fieldDesc": "Witness1StreetSuffix","field": "IDSTSFW1"</t>
  </si>
  <si>
    <t xml:space="preserve">
{"db": "AS400_JMS",	"table": "IMARRD",	"fieldDesc": "Witness1StreetSuffix",	"field": "IDSTSFW1"</t>
  </si>
  <si>
    <t>fieldDesc: "Witness1StreetSuffix"</t>
  </si>
  <si>
    <t>field: "IDSTSFW1"</t>
  </si>
  <si>
    <t>"db": "AS400_JMS","table": "IMARRD","fieldDesc": "Witness2StreetSuffix","field": "IDSTSFW2"</t>
  </si>
  <si>
    <t xml:space="preserve">
{"db": "AS400_JMS",	"table": "IMARRD",	"fieldDesc": "Witness2StreetSuffix",	"field": "IDSTSFW2"</t>
  </si>
  <si>
    <t>fieldDesc: "Witness2StreetSuffix"</t>
  </si>
  <si>
    <t>field: "IDSTSFW2"</t>
  </si>
  <si>
    <t>"db": "AS400_JMS","table": "IMARRD","fieldDesc": "OffenseLocationStreetSuffix","field": "IDSTSFO"</t>
  </si>
  <si>
    <t xml:space="preserve">
{"db": "AS400_JMS",	"table": "IMARRD",	"fieldDesc": "OffenseLocationStreetSuffix",	"field": "IDSTSFO"</t>
  </si>
  <si>
    <t>fieldDesc: "OffenseLocationStreetSuffix"</t>
  </si>
  <si>
    <t>field: "IDSTSFO"</t>
  </si>
  <si>
    <t>"db": "AS400_JMS","table": "IMFLDR","fieldDesc": "StreetSuffix","field": "IFSTSF"</t>
  </si>
  <si>
    <t xml:space="preserve">
{"db": "AS400_JMS",	"table": "IMFLDR",	"fieldDesc": "StreetSuffix",	"field": "IFSTSF"</t>
  </si>
  <si>
    <t>field: "IFSTSF"</t>
  </si>
  <si>
    <t>ZIPCode</t>
  </si>
  <si>
    <t>An identifier of a post office-assigned zone for an address.</t>
  </si>
  <si>
    <t>"db": "AS400_JMS","table": "IMFLDR","fieldDesc": "ZIPCode","field": "IFZIPC"</t>
  </si>
  <si>
    <t xml:space="preserve">
{"db": "AS400_JMS",	"table": "IMFLDR",	"fieldDesc": "ZIPCode",	"field": "IFZIPC"</t>
  </si>
  <si>
    <t>[{"db": "AS400_JMS",	"table": "IMMSTR",	"fieldDesc": "ZIPCode",	"field": "IMZIPC"},
{"db": "AS400_JMS",	"table": "IMFLDR",	"fieldDesc": "ZIPCode",	"field": "IFZIPC"},
{"db": "EPR",		"table": "Offenders",	"fieldDesc": "ZipCode",	"field": "ZipCode"},
{"db": "EPR",		"table": "VictimPersons",	"fieldDesc": "ZipCode",	"field": "ZipCode"},
{"db": "EPR",		"table": "VictimPersons",	"fieldDesc": "WorkState",	"field": "WorkState"},
{"db": "CASTNetDB",	"table": "ArrestLocation",	"fieldDesc": "ArrestZipCode",	"field": "ZipCode"},
{"db": "CASTNetDB",	"table": "CityState",	"fieldDesc": "ZipCode",	"field": "ZipCode"},
{"db": "CASTNetDB",	"table": "PersonAddress",	"fieldDesc": "Zipcode",	"field": "Zipcode"},
{"db": "CASTNetDB",	"table": "PersonOccupation",	"fieldDesc": "ZipCode",	"field": "ZipCode"},
{"db": "MC",	"table": "Digicourt_Orleans.dbview.vw_ArrestDetail",	"fieldDesc": "ZIPCode",	"field": "ZIP"},
{"db": "MC",	"table": "DigiCourt_Orleans.dbview.vw_AllWarrants",	"fieldDesc": "ZIPCode",	"field": "ZIP"}]</t>
  </si>
  <si>
    <t>nc:AddressPostalCode</t>
  </si>
  <si>
    <t>/Address/AddressPostalCode</t>
  </si>
  <si>
    <t>/nola:BookingExchange/j:Booking/j:BookingSubject/RoleOfPerson/PersonContactInformation/ContactMailingAddress/AddressPostalCode</t>
  </si>
  <si>
    <t>fieldDesc: "ZIPCode"</t>
  </si>
  <si>
    <t>field: "IFZIPC"</t>
  </si>
  <si>
    <t>/nola:BookingExchange/j:Booking/j:BookingSubject/RoleOfPerson/EmployeeContactInformation/ContactMailingAddress/AddressPostalCode</t>
  </si>
  <si>
    <t>/nola:BookingExchange/j:Booking/j:BookingSubject/RoleOfPerson/hs:PersonAugmentation/hs:EmployerContactInformation/ContactMailingAddress/AddressPostalCode</t>
  </si>
  <si>
    <t>ZIPCodeExtension</t>
  </si>
  <si>
    <t>nc:AddressPostalExtensionCode</t>
  </si>
  <si>
    <t>/ContactMailingAddress/AddressPostalExtensionCode</t>
  </si>
  <si>
    <t>/nola:BookingExchange/j:Booking/j:BookingSubject/RoleOfPerson/PersonContactInformation/ContactMailingAddress/AddressPostalExtensionCode</t>
  </si>
  <si>
    <t>/nola:BookingExchange/j:Booking/j:BookingSubject/RoleOfPerson/EmployeeContactInformation/ContactMailingAddress/AddressPostalExtensionCode</t>
  </si>
  <si>
    <t>/nola:BookingExchange/j:Booking/j:BookingSubject/RoleOfPerson/hs:PersonAugmentation/hs:EmployerContactInformation/ContactMailingAddress/AddressPostalExtensionCode</t>
  </si>
  <si>
    <t>Agency</t>
  </si>
  <si>
    <t>AgencyName</t>
  </si>
  <si>
    <t>A name of an organization.</t>
  </si>
  <si>
    <t>"db": "AS400_JMS","table": "IMFLDR","fieldDesc": "Agency","field": "IFAGCY"</t>
  </si>
  <si>
    <t>[{"db": "AS400_JMS",	"table": "IMFLDR",	"fieldDesc": "Agency",	"field": "IFAGCY"</t>
  </si>
  <si>
    <t>[{"db": "AS400_JMS",	"table": "IMFLDR",	"fieldDesc": "Agency",	"field": "IFAGCY"},
{"db": "AS400_JMS",	"table": "IMDSPL",	"fieldDesc": "Agency",	"field": "DLAGCY"},
{"db": "AS400_JMS",	"table": "IMTYPH",	"fieldDesc": "Agency",	"field": "ITAGCY"}]</t>
  </si>
  <si>
    <t>nc:OrganizationName</t>
  </si>
  <si>
    <t>/j:ArrestAgency/OrganizationName
/j:EnforcementOfficialUnit/OrganizationName
/j:BookingAgency/OrganizationName
/j:Court/OrganizationName</t>
  </si>
  <si>
    <t>/nola:BookingExchange/j:Booking/j:BookingAgency/OrganizationName</t>
  </si>
  <si>
    <t>fieldDesc: "Agency"</t>
  </si>
  <si>
    <t>field: "IFAGCY"</t>
  </si>
  <si>
    <t>/nola:BookingExchange/j:Booking/j:Arrest/j:ArrestAgency/OrganizationName</t>
  </si>
  <si>
    <t>/nola:BookingExchange/j:Booking/j:Arrest/j:ArrestOfficial/j:EnforcementOfficialUnit/OrganizationName</t>
  </si>
  <si>
    <t>/nola:BookingExchange/Case/j:CaseAugmentation/j:CaseCourt/OrganizationName</t>
  </si>
  <si>
    <t>Arrest</t>
  </si>
  <si>
    <t>FolderNumber</t>
  </si>
  <si>
    <t>int</t>
  </si>
  <si>
    <t>A Person ID for single continuous term of incarceration. If the individual is released today and returns tomorrow, a new folder number will be issued.</t>
  </si>
  <si>
    <t>"db": "AS400_JMS","table": "IMARRD","fieldDesc": "FolderNumber","field": "IDFLDR"</t>
  </si>
  <si>
    <t>[{"db": "AS400_JMS",	"table": "IMARRD",	"fieldDesc": "FolderNumber",	"field": "IDFLDR"</t>
  </si>
  <si>
    <t xml:space="preserve">[{"db": "AS400_JMS",	"table": "IMARRD",	"fieldDesc": "FolderNumber",	"field": "IDFLDR"},
{"db": "As400_JMS",	"table": "IMEVND",	"fieldDesc": "FolderNumber",	"field": "EDACTV"},
{"db": "As400_JMS",	"table": "IMFLDR",	"fieldDesc": "FolderNumber",	"field": "IFFLDR"},
{"db": "As400_JMS",	"table": "IMBPYD",	"fieldDesc": "FolderNumber",	"field": "BDFLDR"},
{"db": "As400_JMS",	"table": "IMCHGD",	"fieldDesc": "FolderNumber",	"field": "ICFLDR"},
{"db": "As400_JMS",	"table": "IMDSPL",	"fieldDesc": "FolderNumber",	"field": "DLFLDR"},
{"db": "As400_JMS",	"table": "IMLOCH",	"fieldDesc": "FolderNumber",	"field": "LHFLDR"},
{"db": "As400_JMS",	"table": "IMMISC",	"fieldDesc": "FolderNumber",	"field": "MSFLDR"},
{"db": "As400_JMS",	"table": "IMSMTF",	"fieldDesc": "FolderNumber",	"field": "ISFLDR"},
{"db": "As400_JMS",	"table": "IMTYPH",	"fieldDesc": "FolderNumber",	"field": "ITFLDR"},
{"db": "AS400_CDC_CMS",	"table": "DEFCHG",	"fieldDesc": "FolderNumber",	"field": "DCFLDR"},
{"db": "CASTNetDB",	"table": "ArrestLocation",	"fieldDesc": "FolderNumber",	"field": "FolderNumber"},
{"db": "CASTNetDB",	"table": "ArrestOfficer",	"fieldDesc": "FolderNumber",	"field": "FolderNumber"},
{"db": "CASTNetDB",	"table": "PersonArrest",	"fieldDesc": "FolderNumber",	"field": "FolderNumber"},
{"db": "CASTNetDB",	"table": "ArrestLocation",	"fieldDesc": "FolderNumber",	"field": "FolderNumber"},
{"db": "CASTNetDB",	"table": "ArrestOfficer",	"fieldDesc": "FolderNumber",	"field": "FolderNumber"},
{"db": "CASTNetDB",	"table": "PersonArrest",	"fieldDesc": "FolderNumber",	"field": "FolderNumber"},
{"db": "MC",		"table": "Digicourt_Orleans.dbview.vw_ArrestDetail",	"fieldDesc": "FolderNumber",	"field": "ARREST_FOLDER"}]
</t>
  </si>
  <si>
    <t>nc:IdentificationID</t>
  </si>
  <si>
    <t>/Person/j:PersonAugmentation/j:PersonNCICIdentification/IdentificationID</t>
  </si>
  <si>
    <t>/nola:BookingExchange/j:Booking/j:BookingDocumentControlIdentification/IdentificationID</t>
  </si>
  <si>
    <t>fieldDesc: "FolderNumber"</t>
  </si>
  <si>
    <t>field: "IDFLDR"</t>
  </si>
  <si>
    <t>"db": "As400_JMS","table": "IMFLDR","fieldDesc": "FolderNumber","field": "IFFLDR"</t>
  </si>
  <si>
    <t xml:space="preserve">
{"db": "As400_JMS",	"table": "IMFLDR",	"fieldDesc": "FolderNumber",	"field": "IFFLDR"</t>
  </si>
  <si>
    <t>db: "As400_JMS"</t>
  </si>
  <si>
    <t>field: "IFFLDR"</t>
  </si>
  <si>
    <t>Bond</t>
  </si>
  <si>
    <t>BondAmount</t>
  </si>
  <si>
    <t>float</t>
  </si>
  <si>
    <t>A monetary amount that the bond requires.</t>
  </si>
  <si>
    <t>"db": "AS400_JMS","table": "IMARRD","fieldDesc": "Bond","field": "IDBOND"</t>
  </si>
  <si>
    <t>[{"db": "AS400_JMS",	"table": "IMARRD",	"fieldDesc": "Bond",	"field": "IDBOND"</t>
  </si>
  <si>
    <t xml:space="preserve">[{"db": "AS400_JMS",	"table": "IMARRD",	"fieldDesc": "Bond",	"field": "IDBOND"},
{"db": "AS400_JMS",	"table": "IMDSPL",	"fieldDesc": "ChargeBondAmount",	"field": "DLBAMT"},
{"db": "AS400_JMS",	"table": "IMCHGD",	"fieldDesc": "BondAmount",	"field": "ICBAMT"},
{"db": "AS400_JMS",	"table": "IMCHGT",	"fieldDesc": "ChargeBond",	"field": "CTBOND"},
{"db": "AS400_CDC_CMS",	"table": "BNDHST",	"fieldDesc": "BondAmount",	"field": "BH_BOND_AMOUNT"},
{"db": "AS400_CDC_CMS",	"table": "DEFCHG",	"fieldDesc": "BondAmount",	"field": "DCBND"},
{"db": "CASTNetDB",	"table": "Charge",	"fieldDesc": "BondAmount",	"field": "BondAmount"},
{"db": "CASTNetDB",	"table": "Warrant",	"fieldDesc": "BondAmount",	"field": "BondAmount"},
{"db": "CASTNetDB",	"table": "Warrant_bak20190801",	"fieldDesc": "BondAmount",	"field": "BondAmount"},
{"db": "MC",	"table": "DigiCourt_Orleans.dbview.vw_AllWarrants", "fieldDesc": "InitialBondAmount", "field": "INITIAL_BONDAMOUNT"}]
</t>
  </si>
  <si>
    <t>nc:Amount</t>
  </si>
  <si>
    <t>niem-xs:decimal</t>
  </si>
  <si>
    <t>/j:ArrestCharge/hs:ChargeAugmentation/j:BailBond/j:BailBondAmount/Amount</t>
  </si>
  <si>
    <t>/nola:BookingExchange/j:Booking/j:Arrest/j:ArrestCharge/hs:ChargeAugmentation/j:BailBond/j:BailBondAmount/Amount</t>
  </si>
  <si>
    <t>fieldDesc: "Bond"</t>
  </si>
  <si>
    <t>field: "IDBOND"</t>
  </si>
  <si>
    <t>Booking</t>
  </si>
  <si>
    <t>BookedDateTime</t>
  </si>
  <si>
    <t>dateTime</t>
  </si>
  <si>
    <t>A date and time when a subject who has been officially booked into the jail management system.</t>
  </si>
  <si>
    <t>"db": "AS400_JMS","table": "IMARRD","fieldDesc": "BookedDate","field": "IDBDTE"</t>
  </si>
  <si>
    <t>[{"db": "AS400_JMS",	"table": "IMARRD",	"fieldDesc": "BookedDate",	"field": "IDBDTE"</t>
  </si>
  <si>
    <t>[{"db": "AS400_JMS",	"table": "IMARRD",	"fieldDesc": "BookedDate",	"field": "IDBDTE"},
{"db": "AS400_JMS",	"table": "IMARRD",	"fieldDesc": "BookedTime",	"field": "IDBTIM"},
{"db": "AS400_JMS",	"table": "IMARRD",	"fieldDesc": "BookedAMPM",	"field": "IDBTFL"},
{"db": "AS400_JMS",	"table": "IMFLDR",	"fieldDesc": "BookedAMPM",	"field": "IFBKPN"},
{"db": "AS400_JMS",	"table": "IMCHGD",	"fieldDesc": "BookedAMPM",	"field": "ICBKPN"},
{"db": "AS400_JMS",	"table": "IMFLDR",	"fieldDesc": "BookedDate",	"field": "IFBKDT"},
{"db": "AS400_JMS",	"table": "IMCHGD",	"fieldDesc": "BookedDate",	"field": "ICBKDT"},
{"db": "AS400_JMS",	"table": "IMTYPH",	"fieldDesc": "BookedDate",	"field": "ITEBKDT"},
{"db": "AS400_JMS",	"table": "IMFLDR",	"fieldDesc": "BookedTime",	"field": "IFBKTM"},
{"db": "AS400_JMS",	"table": "IMCHGD",	"fieldDesc": "BookedTime",	"field": "ICBKTM"},
{"db": "AS400_JMS",	"table": "IMDSPL",	"fieldDesc": "DateBooked",	"field": "DLTBKDT"},
{"db": "AS400_JMS",	"table": "IMDSPL",	"fieldDesc": "DateBooked",	"field": "DLBKDT"},
{"db": "AS400_JMS",	"table": "IMDSPL",	"fieldDesc": "DateTime",	"field": "DLBKTM"},
{"db": "AS400_JMS",	"table": "IMDSPL",	"fieldDesc": "DateAMPM",	"field": "DLBKPN"},
{"db": "MC",	"table": "Digicourt_Orleans.dbview.vw_ArrestDetail",	"fieldDesc": "BookingDate",	"field": "   DATEBOOKED"}]]</t>
  </si>
  <si>
    <t>nc:DateTime</t>
  </si>
  <si>
    <t>niem-xs:dateTime</t>
  </si>
  <si>
    <t>/j:Booking/ActivityDate/DateTime</t>
  </si>
  <si>
    <t>/nola:BookingExchange/j:Booking/ActivityDate/DateTime</t>
  </si>
  <si>
    <t>fieldDesc: "BookedDate"</t>
  </si>
  <si>
    <t>field: "IDBDTE"</t>
  </si>
  <si>
    <t>"db": "AS400_JMS","table": "IMARRD","fieldDesc": "BookedTime","field": "IDBTIM"</t>
  </si>
  <si>
    <t xml:space="preserve">
{"db": "AS400_JMS",	"table": "IMARRD",	"fieldDesc": "BookedTime",	"field": "IDBTIM"</t>
  </si>
  <si>
    <t>fieldDesc: "BookedTime"</t>
  </si>
  <si>
    <t>field: "IDBTIM"</t>
  </si>
  <si>
    <t>"db": "AS400_JMS","table": "IMARRD","fieldDesc": "BookedAMPM","field": "IDBTFL"</t>
  </si>
  <si>
    <t xml:space="preserve">
{"db": "AS400_JMS",	"table": "IMARRD",	"fieldDesc": "BookedAMPM",	"field": "IDBTFL"</t>
  </si>
  <si>
    <t>fieldDesc: "BookedAMPM"</t>
  </si>
  <si>
    <t>field: "IDBTFL"</t>
  </si>
  <si>
    <t>"db": "AS400_JMS","table": "IMFLDR","fieldDesc": "BookedAMPM","field": "IFBKPN"</t>
  </si>
  <si>
    <t xml:space="preserve">
{"db": "AS400_JMS",	"table": "IMFLDR",	"fieldDesc": "BookedAMPM",	"field": "IFBKPN"</t>
  </si>
  <si>
    <t>field: "IFBKPN"</t>
  </si>
  <si>
    <t>f</t>
  </si>
  <si>
    <t>"db": "AS400_JMS","table": "IMFLDR","fieldDesc": "BookedDate","field": "IFBKDT"</t>
  </si>
  <si>
    <t xml:space="preserve">
{"db": "AS400_JMS",	"table": "IMFLDR",	"fieldDesc": "BookedDate",	"field": "IFBKDT"</t>
  </si>
  <si>
    <t>field: "IFBKDT"</t>
  </si>
  <si>
    <t>i</t>
  </si>
  <si>
    <t>"db": "AS400_JMS","table": "IMFLDR","fieldDesc": "BookedTime","field": "IFBKTM"</t>
  </si>
  <si>
    <t xml:space="preserve">
{"db": "AS400_JMS",	"table": "IMFLDR",	"fieldDesc": "BookedTime",	"field": "IFBKTM"</t>
  </si>
  <si>
    <t>field: "IFBKTM"</t>
  </si>
  <si>
    <t>BookingPriority</t>
  </si>
  <si>
    <t>A description of the priority of an appointment.</t>
  </si>
  <si>
    <t>"db": "AS400_JMS","table": "IMFLDR","fieldDesc": "BookingPriority","field": "IFBPTY"</t>
  </si>
  <si>
    <t>[{"db": "AS400_JMS",	"table": "IMFLDR",	"fieldDesc": "BookingPriority",	"field": "IFBPTY"}]</t>
  </si>
  <si>
    <t>j:AppointmentPriorityText</t>
  </si>
  <si>
    <t>/j:BookingSubject/j:SubjectAppointment/j:AppointmentPriorityText</t>
  </si>
  <si>
    <t>/nola:BookingExchange/j:Booking/j:BookingSubject/j:SubjectAppointment/j:AppointmentPriorityText</t>
  </si>
  <si>
    <t>fieldDesc: "BookingPriority"</t>
  </si>
  <si>
    <t>field: "IFBPTY"</t>
  </si>
  <si>
    <t>SheriffControlNumber</t>
  </si>
  <si>
    <t>This is a Sherrif Control Number (SCN), Unique ID for persons whose cases will be processed in Criminal Court, only issued to State level arrest at the end of Booking process.A booking identification of the originating case agency.</t>
  </si>
  <si>
    <t>0..*</t>
  </si>
  <si>
    <t>"db": "AS400_JMS","table": "IMARRD","fieldDesc": "SCN","field": "IDSCNO"</t>
  </si>
  <si>
    <t>[{"db": "AS400_JMS",	"table": "IMARRD",	"fieldDesc": "SCN",	"field": "IDSCNO"</t>
  </si>
  <si>
    <t>[{"db": "AS400_JMS",	"table": "IMARRD",	"fieldDesc": "SCN",	"field": "IDSCNO"},
{"db": "AS400_JMS",	"table": "IMARRD_ChargesAll_w_Keys",	"fieldDesc": "SCN",	"field": "SCN"},
{"db": "AS400_JMS",	"table": "IMMSTR",	"fieldDesc": "SCN",	"field": "IMSCNO"},
{"db": "AS400_JMS",	"table": "IMFLDR",	"fieldDesc": "SCN",	"field": "IFSCNO"},
{"db": "AS400_JMS",	"table": "IMCHGD",	"fieldDesc": "SCN",	"field": "ICSCNO"},
{"db": "AS400_JMS",	"table": "IMDSPL",	"fieldDesc": "SCN",	"field": "DLSCNO"},
{"db": "AS400_CDC_CMS",	"table": "BNDHST",	"fieldDesc": "SCN",	"field": "BH_SCN"},
{"db": "AS400_CDC_CMS",	"table": "CHRGLOG",	"fieldDesc": "SCN",	"field": "CXSCN"},
{"db": "AS400_CDC_CMS",	"table": "DEFCHG",	"fieldDesc": "SCN",	"field": "DCSCN"},
{"db": "AS400_CDC_CMS",	"table": "DEFEND",	"fieldDesc": "SCN",	"field": "DESCN"},
{"db": "AS400_CDC_CMS",	"table": "DISP",	"fieldDesc": "SCN",	"field": "DP_SCN"},
{"db": "AS400_CDC_CMS",	"table": "MAGDOCK",	"fieldDesc": "SCN",	"field": "MDSCN"},
{"db": "AS400_CDC_CMS",	"table": "MAGLST",	"fieldDesc": "SCN",	"field": "MLSCN"},
{"db": "AS400_CDC_CMS",	"table": "SENTEN",	"fieldDesc": "SCN",	"field": "SESCN"},
{"db": "CASTNetDB",	"table": "PersonScn",	"fieldDesc": "ScnNumber",	"field": "ScnNumber"},
{"db": "CASTNetDB",	"table": "vw_Person",	"fieldDesc": "ScnNumber",	"field": "ScnNumber"}]</t>
  </si>
  <si>
    <t>/j:Booking/j:BookingAgencyRecordIdentification/IdentificationID</t>
  </si>
  <si>
    <t>/nola:BookingExchange/j:Booking/j:BookingAgencyRecordIdentification/IdentificationID</t>
  </si>
  <si>
    <t>fieldDesc: "SCN"</t>
  </si>
  <si>
    <t>field: "IDSCNO"</t>
  </si>
  <si>
    <t>"db": "AS400_JMS","table": "IMFLDR","fieldDesc": "SCN","field": "IFSCNO"</t>
  </si>
  <si>
    <t xml:space="preserve">
{"db": "AS400_JMS",	"table": "IMFLDR",	"fieldDesc": "SCN",	"field": "IFSCNO"</t>
  </si>
  <si>
    <t>field: "IFSCNO"</t>
  </si>
  <si>
    <t>StatewideArrestTrackingNumber</t>
  </si>
  <si>
    <t>The State's Police Automated Fingerprint Inforamtion System (AFIS) generates an ATN to uniquely identify each booking event, often referred to as an Arrest Cycle. The ATN must be communicated from the Sheriff to the Court at a minimum, in order to effectively update the State computerized criminal history (CCH) with dispositions of arrest charges.</t>
  </si>
  <si>
    <t>"db": "AS400_JMS","table": "IMARRD","fieldDesc": "ATN","field": "IDATN1"</t>
  </si>
  <si>
    <t>[{"db": "AS400_JMS",	"table": "IMARRD",	"fieldDesc": "ATN",	"field": "IDATN1"</t>
  </si>
  <si>
    <t>[{"db": "AS400_JMS",	"table": "IMARRD",	"fieldDesc": "ATN",	"field": "IDATN1"},
{"db": "AS400_JMS",	"table": "IMARRD",	"fieldDesc": "ATN",	"field": "IDATN2"},
{"db": "AS400_JMS",	"table": "IMARRD",	"fieldDesc": "ChargeATN",	"field": "IDATN3"},
{"db": "AS400_JMS",	"table": "IMARRD",	"fieldDesc": "ATN",	"field": "IDATN4"},
{"db": "AS400_JMS",	"table": "IMARRD",	"fieldDesc": "ChargeATN",	"field": "IDATN5"},
{"db": "AS400_JMS",	"table": "IMARRD",	"fieldDesc": "ATN",	"field": "IDATN6"},
{"db": "AS400_JMS",	"table": "IMARRD_ChargesAll_w_Keys",	"fieldDesc": "ATN",	"field": "ATN"},
{"db": "AS400_JMS",	"table": "IMCHGD",	"fieldDesc": "ATN",	"field": "ICATNO"},
{"db": "AS400_JMS",	"table": "IMDSPL",	"fieldDesc": "ATN",	"field": "DLATNO"}]</t>
  </si>
  <si>
    <t>nola-ext:StatewideArrestTrackingNumber</t>
  </si>
  <si>
    <t>/j:Arrest/nola-ext:ArrestAugmentation/nola-ext:StatewideArrestTrackingNumber</t>
  </si>
  <si>
    <t>/nola:BookingExchange/j:Booking/j:Arrest/nola-ext:ArrestAugmentation/nola-ext:StatewideArrestTrackingNumber</t>
  </si>
  <si>
    <t>fieldDesc: "ATN"</t>
  </si>
  <si>
    <t>field: "IDATN1"</t>
  </si>
  <si>
    <t>"db": "AS400_JMS","table": "IMARRD","fieldDesc": "ATN","field": "IDATN2"</t>
  </si>
  <si>
    <t xml:space="preserve">
{"db": "AS400_JMS",	"table": "IMARRD",	"fieldDesc": "ATN",	"field": "IDATN2"</t>
  </si>
  <si>
    <t>field: "IDATN2"</t>
  </si>
  <si>
    <t>"db": "AS400_JMS","table": "IMARRD","fieldDesc": "ChargeATN","field": "IDATN3"</t>
  </si>
  <si>
    <t xml:space="preserve">
{"db": "AS400_JMS",	"table": "IMARRD",	"fieldDesc": "ChargeATN",	"field": "IDATN3"</t>
  </si>
  <si>
    <t>fieldDesc: "ChargeATN"</t>
  </si>
  <si>
    <t>field: "IDATN3"</t>
  </si>
  <si>
    <t>"db": "AS400_JMS","table": "IMARRD","fieldDesc": "ATN","field": "IDATN4"</t>
  </si>
  <si>
    <t xml:space="preserve">
{"db": "AS400_JMS",	"table": "IMARRD",	"fieldDesc": "ATN",	"field": "IDATN4"</t>
  </si>
  <si>
    <t>field: "IDATN4"</t>
  </si>
  <si>
    <t>"db": "AS400_JMS","table": "IMARRD","fieldDesc": "ChargeATN","field": "IDATN5"</t>
  </si>
  <si>
    <t xml:space="preserve">
{"db": "AS400_JMS",	"table": "IMARRD",	"fieldDesc": "ChargeATN",	"field": "IDATN5"</t>
  </si>
  <si>
    <t>field: "IDATN5"</t>
  </si>
  <si>
    <t>"db": "AS400_JMS","table": "IMARRD","fieldDesc": "ATN","field": "IDATN6"</t>
  </si>
  <si>
    <t xml:space="preserve">
{"db": "AS400_JMS",	"table": "IMARRD",	"fieldDesc": "ATN",	"field": "IDATN6"</t>
  </si>
  <si>
    <t>field: "IDATN6"</t>
  </si>
  <si>
    <t>Charge</t>
  </si>
  <si>
    <t>ChargeKey</t>
  </si>
  <si>
    <t>A UCT Charge Key (Uniform Charge Table) is a shared key or identifier from a shared table that standardizes charge code definitions across the enterprise.</t>
  </si>
  <si>
    <t>"db": "AS400_JMS","table": "IMARRD","fieldDesc": "ChargeKey","field": "IDCHK1"</t>
  </si>
  <si>
    <t>[{"db": "AS400_JMS",	"table": "IMARRD",	"fieldDesc": "ChargeKey",	"field": "IDCHK1"</t>
  </si>
  <si>
    <t xml:space="preserve">[{"db": "AS400_JMS",	"table": "IMARRD",	"fieldDesc": "ChargeKey",	"field": "IDCHK1"},
{"db": "AS400_JMS",	"table": "IMARRD",	"fieldDesc": "ChargeKey",	"field": "IDCHK2"},
{"db": "AS400_JMS",	"table": "IMARRD",	"fieldDesc": "ChargeKey",	"field": "IDCHK3"},
{"db": "AS400_JMS",	"table": "IMARRD",	"fieldDesc": "ChargeKey",	"field": "IDCHK4"},
{"db": "AS400_JMS",	"table": "IMARRD",	"fieldDesc": "ChargeKey",	"field": "IDCHK5"},
{"db": "AS400_JMS",	"table": "IMARRD",	"fieldDesc": "ChargeKey",	"field": "IDCHK6"},
{"db": "AS400_JMS",	"table": "IMARRD_ChargesAll_w_Keys",	"fieldDesc": "ChargeKey",	"field": "Charge_Key"},
{"db": "AS400_JMS",	"table": "IMCHGD",	"fieldDesc": "ChargeKey",	"field": "ICCHGK"},
{"db": "AS400_JMS",	"table": "IMCHGT",	"fieldDesc": "ChargeKey",	"field": "CTCHGK"},
{"db": "AS400_JMS",	"table": "IMDSPL",	"fieldDesc": "ChargeKey",	"field": "DLCHGK"},
{"db": "AS400_CDC_CMS",	"table": "CHRGLOG",	"fieldDesc": "ChargeKey",	"field": "CXC#"},
{"db": "AS400_CDC_CMS",	"table": "DEFCHG",	"fieldDesc": "ChargeKey",	"field": "DC#"},
{"db": "CASTNetDB",		"table": "Charge",	"fieldDesc": "ChargeKey",	"field": "ChargeKey"}]
</t>
  </si>
  <si>
    <t>nola-ext:ChargeKey</t>
  </si>
  <si>
    <t>/j:ArrestCharge/nola-ext:ChargeAugmentation/nola-ext:ChargeKey</t>
  </si>
  <si>
    <t>/nola:BookingExchange/j:Booking/j:Arrest/j:ArrestCharge/nola-ext:ChargeAugmentation/nola-ext:ChargeKey</t>
  </si>
  <si>
    <t>fieldDesc: "ChargeKey"</t>
  </si>
  <si>
    <t>field: "IDCHK1"</t>
  </si>
  <si>
    <t>"db": "AS400_JMS","table": "IMARRD","fieldDesc": "ChargeKey","field": "IDCHK2"</t>
  </si>
  <si>
    <t xml:space="preserve">
{"db": "AS400_JMS",	"table": "IMARRD",	"fieldDesc": "ChargeKey",	"field": "IDCHK2"</t>
  </si>
  <si>
    <t>field: "IDCHK2"</t>
  </si>
  <si>
    <t>"db": "AS400_JMS","table": "IMARRD","fieldDesc": "ChargeKey","field": "IDCHK3"</t>
  </si>
  <si>
    <t xml:space="preserve">
{"db": "AS400_JMS",	"table": "IMARRD",	"fieldDesc": "ChargeKey",	"field": "IDCHK3"</t>
  </si>
  <si>
    <t>field: "IDCHK3"</t>
  </si>
  <si>
    <t>"db": "AS400_JMS","table": "IMARRD","fieldDesc": "ChargeKey","field": "IDCHK4"</t>
  </si>
  <si>
    <t xml:space="preserve">
{"db": "AS400_JMS",	"table": "IMARRD",	"fieldDesc": "ChargeKey",	"field": "IDCHK4"</t>
  </si>
  <si>
    <t>field: "IDCHK4"</t>
  </si>
  <si>
    <t>"db": "AS400_JMS","table": "IMARRD","fieldDesc": "ChargeKey","field": "IDCHK5"</t>
  </si>
  <si>
    <t xml:space="preserve">
{"db": "AS400_JMS",	"table": "IMARRD",	"fieldDesc": "ChargeKey",	"field": "IDCHK5"</t>
  </si>
  <si>
    <t>field: "IDCHK5"</t>
  </si>
  <si>
    <t>"db": "AS400_JMS","table": "IMARRD","fieldDesc": "ChargeKey","field": "IDCHK6"</t>
  </si>
  <si>
    <t xml:space="preserve">
{"db": "AS400_JMS",	"table": "IMARRD",	"fieldDesc": "ChargeKey",	"field": "IDCHK6"</t>
  </si>
  <si>
    <t>field: "IDCHK6"</t>
  </si>
  <si>
    <t>ChargeLIBRSCode</t>
  </si>
  <si>
    <t>LIBRSCodeList</t>
  </si>
  <si>
    <t>A LIBRS code associated with a charge.</t>
  </si>
  <si>
    <t>1..*</t>
  </si>
  <si>
    <t>"db": "AS400_JMS","table": "IMARRD","fieldDesc": "ChargeLIBRSCode","field": "IDLBR1"</t>
  </si>
  <si>
    <t>[{"db": "AS400_JMS",	"table": "IMARRD",	"fieldDesc": "ChargeLIBRSCode",	"field": "IDLBR1"</t>
  </si>
  <si>
    <t>[{"db": "AS400_JMS",	"table": "IMARRD",	"fieldDesc": "ChargeLIBRSCode",	"field": "IDLBR1"},
{"db": "AS400_JMS",	"table": "IMARRD",	"fieldDesc": "ChargeLIBRSCode",	"field": "IDLBR2"},
{"db": "AS400_JMS",	"table": "IMARRD",	"fieldDesc": "ChargeLIBRSCode",	"field": "IDLBR3"},
{"db": "AS400_JMS",	"table": "IMARRD",	"fieldDesc": "ChargeLIBRSCode",	"field": "IDLBR4"},
{"db": "AS400_JMS",	"table": "IMARRD",	"fieldDesc": "ChargeLIBRSCode",	"field": "IDLBR5"},
{"db": "AS400_JMS",	"table": "IMARRD",	"fieldDesc": "ChargeLIBRSCode",	"field": "IDLBR6"},
{"db": "AS400_JMS",	"table": "IMCHGD",	"fieldDesc": "LIBRSNumber",	"field": "ICLBRS"},
{"db": "AS400_JMS",	"table": "IMDSPL",	"fieldDesc": "LIBRSNumber",	"field": "DLLBRS"}]</t>
  </si>
  <si>
    <t>nola-ext:ChargeLIBRSCode</t>
  </si>
  <si>
    <t>/j:ArrestCharge/nola-ext:ChargeLIBRSCode</t>
  </si>
  <si>
    <t>/nola:BookingExchange/j:Booking/j:Arrest/j:ArrestCharge/nola-ext:ChargeAugmentation/nola-ext:ChargeLIBRSCode</t>
  </si>
  <si>
    <t>fieldDesc: "ChargeLIBRSCode"</t>
  </si>
  <si>
    <t>field: "IDLBR1"</t>
  </si>
  <si>
    <t>"db": "AS400_JMS","table": "IMARRD","fieldDesc": "ChargeLIBRSCode","field": "IDLBR2"</t>
  </si>
  <si>
    <t xml:space="preserve">
{"db": "AS400_JMS",	"table": "IMARRD",	"fieldDesc": "ChargeLIBRSCode",	"field": "IDLBR2"</t>
  </si>
  <si>
    <t>field: "IDLBR2"</t>
  </si>
  <si>
    <t>"db": "AS400_JMS","table": "IMARRD","fieldDesc": "ChargeLIBRSCode","field": "IDLBR3"</t>
  </si>
  <si>
    <t xml:space="preserve">
{"db": "AS400_JMS",	"table": "IMARRD",	"fieldDesc": "ChargeLIBRSCode",	"field": "IDLBR3"</t>
  </si>
  <si>
    <t>field: "IDLBR3"</t>
  </si>
  <si>
    <t>"db": "AS400_JMS","table": "IMARRD","fieldDesc": "ChargeLIBRSCode","field": "IDLBR4"</t>
  </si>
  <si>
    <t xml:space="preserve">
{"db": "AS400_JMS",	"table": "IMARRD",	"fieldDesc": "ChargeLIBRSCode",	"field": "IDLBR4"</t>
  </si>
  <si>
    <t>field: "IDLBR4"</t>
  </si>
  <si>
    <t>"db": "AS400_JMS","table": "IMARRD","fieldDesc": "ChargeLIBRSCode","field": "IDLBR5"</t>
  </si>
  <si>
    <t xml:space="preserve">
{"db": "AS400_JMS",	"table": "IMARRD",	"fieldDesc": "ChargeLIBRSCode",	"field": "IDLBR5"</t>
  </si>
  <si>
    <t>field: "IDLBR5"</t>
  </si>
  <si>
    <t>"db": "AS400_JMS","table": "IMARRD","fieldDesc": "ChargeLIBRSCode","field": "IDLBR6"</t>
  </si>
  <si>
    <t xml:space="preserve">
{"db": "AS400_JMS",	"table": "IMARRD",	"fieldDesc": "ChargeLIBRSCode",	"field": "IDLBR6"</t>
  </si>
  <si>
    <t>field: "IDLBR6"</t>
  </si>
  <si>
    <t>ContactInformation</t>
  </si>
  <si>
    <t>PhoneNumber</t>
  </si>
  <si>
    <t>As-is Process.TelephoneNumberType</t>
  </si>
  <si>
    <t>A data concept for a telephone number.</t>
  </si>
  <si>
    <t>"db": "AS400_JMS","table": "IMARRD","fieldDesc": "Witness1PhoneNumber","field": "IDPHONW1"</t>
  </si>
  <si>
    <t>[{"db": "AS400_JMS",	"table": "IMARRD",	"fieldDesc": "Witness1PhoneNumber",	"field": "IDPHONW1"</t>
  </si>
  <si>
    <t xml:space="preserve">[{"db": "AS400_JMS",	"table": "IMARRD",	"fieldDesc": "Witness1PhoneNumber",	"field": "IDPHONW1"},
{"db": "AS400_JMS",	"table": "IMARRD",	"fieldDesc": "Witness2PhoneNumber",	"field": "IDPHONW2"},
{"db": "AS400_JMS",	"table": "IMMSTR",	"fieldDesc": "PhoneNumber",	"field": "IMPHNO"},
{"db": "AS400_JMS",	"table": "IMFLDR",	"fieldDesc": "PhoneNumber",	"field": "IFPHNO"},
{"db": "AS400_CDC_CMS","table": "DEFEND",	"fieldDesc": "PhoneNumber",	"field": "DEFONE"},
{"db": "EPR",		"table": "VictimPersons",	"fieldDesc": "PhoneNumber",	"field": "PhoneNumber"},
{"db": "EPR",		"table": "VictimPersons",	"fieldDesc": "WorkPhoneNumber",	"field": "WorkPhoneNumber"}]
</t>
  </si>
  <si>
    <t>nc:ContactTelephoneNumber</t>
  </si>
  <si>
    <t>nc:TelephoneNumberType</t>
  </si>
  <si>
    <t>/ContactTelephoneNumber/
/PersonContactInformation/ContactTelephoneNumber/
/EmployeeContactInformation/ContactTelephoneNumber/
/hs:PersonAugmentation/hs:EmployerContactInformation/ContactTelephoneNumber/</t>
  </si>
  <si>
    <t>/nola:BookingExchange/j:Booking/j:BookingSubject/RoleOfPerson/PersonContactInformation/ContactTelephoneNumber</t>
  </si>
  <si>
    <t>fieldDesc: "Witness1PhoneNumber"</t>
  </si>
  <si>
    <t>field: "IDPHONW1"</t>
  </si>
  <si>
    <t>/nola:BookingExchange/j:Booking/j:BookingSubject/RoleOfPerson/EmployeeContactInformation/ContactTelephoneNumber</t>
  </si>
  <si>
    <t>/nola:BookingExchange/j:Booking/j:BookingSubject/RoleOfPerson/hs:PersonAugmentation/hs:EmployerContactInformation/ContactTelephoneNumber</t>
  </si>
  <si>
    <t>/nola:BookingExchange/j:Booking/j:Arrest/j:ArrestOfficial/RoleOfPerson/PersonContactInformation/ContactTelephoneNumber</t>
  </si>
  <si>
    <t>"db": "AS400_JMS","table": "IMARRD","fieldDesc": "Witness2PhoneNumber","field": "IDPHONW2"</t>
  </si>
  <si>
    <t xml:space="preserve">
{"db": "AS400_JMS",	"table": "IMARRD",	"fieldDesc": "Witness2PhoneNumber",	"field": "IDPHONW2"</t>
  </si>
  <si>
    <t>fieldDesc: "Witness2PhoneNumber"</t>
  </si>
  <si>
    <t>field: "IDPHONW2"</t>
  </si>
  <si>
    <t>"db": "AS400_JMS","table": "IMFLDR","fieldDesc": "PhoneNumber","field": "IFPHNO"</t>
  </si>
  <si>
    <t xml:space="preserve">
{"db": "AS400_JMS",	"table": "IMFLDR",	"fieldDesc": "PhoneNumber",	"field": "IFPHNO"</t>
  </si>
  <si>
    <t>fieldDesc: "PhoneNumber"</t>
  </si>
  <si>
    <t>field: "IFPHNO"</t>
  </si>
  <si>
    <t>Court</t>
  </si>
  <si>
    <t>CourtSection</t>
  </si>
  <si>
    <t>An area of case processing and the law governing specific types of matters before the court and governed by distinct court rule and processes.</t>
  </si>
  <si>
    <t>"db": "AS400_JMS","table": "IMARRD","fieldDesc": "CourtSection","field": "IDCSEC"</t>
  </si>
  <si>
    <t>[{"db": "AS400_JMS",	"table": "IMARRD",	"fieldDesc": "CourtSection",	"field": "IDCSEC"</t>
  </si>
  <si>
    <t>[{"db": "AS400_JMS",	"table": "IMARRD",	"fieldDesc": "CourtSection",	"field": "IDCSEC"},
{"db": "AS400_JMS",	"table": "IMCHGD",	"fieldDesc": "CourtCaseSection",	"field": "ICDOCS"},
{"db": "AS400_JMS",	"table": "IMDSPL",	"fieldDesc": "CourtCaseSection",	"field": "DLDOCS"},
{"db": "AS400_CDC_CMS",	"table": "JUDGE",	"fieldDesc": "CourtSection",	"field": "JT_COURT_SECTION"},
{"db": "AS400_CDC_CMS",	"table": "TEXTMEConcatenated",	"fieldDesc": "CourtSection",	"field": "CVSECN"}]</t>
  </si>
  <si>
    <t>j:CourtDivisionText</t>
  </si>
  <si>
    <t xml:space="preserve"> niem-xs : string </t>
  </si>
  <si>
    <t xml:space="preserve">/j:CourtEvent/j:CourtDivisionText </t>
  </si>
  <si>
    <t>/nola:BookingExchange/Case/j:CaseAugmentation/j:CaseCourt/j:CourtDivisionText</t>
  </si>
  <si>
    <t>fieldDesc: "CourtSection"</t>
  </si>
  <si>
    <t>field: "IDCSEC"</t>
  </si>
  <si>
    <t>CourtTypeCode</t>
  </si>
  <si>
    <t>An augmentation point for CourtType.</t>
  </si>
  <si>
    <t>"db": "AS400_JMS","table": "IMARRD","fieldDesc": "CourtType","field": "IDCTYP"</t>
  </si>
  <si>
    <t xml:space="preserve">
{"db": "AS400_JMS",	"table": "IMARRD",	"fieldDesc": "CourtType",	"field": "IDCTYP"</t>
  </si>
  <si>
    <t>[{"db": "AS400_JMS",	"table": "IMCHGT",	"fieldDesc": "CourtType",	"field": "CTCTYP"},
{"db": "AS400_JMS",	"table": "IMARRD",	"fieldDesc": "CourtType",	"field": "IDCTYP"},
{"db": "AS400_JMS",	"table": "IMDSPL",	"fieldDesc": "CourtType",	"field": "DLCRTT"},
{"db": "AS400_CDC_CMS",	"table": "JUDGE",	"fieldDesc": "CourtType",	"field": "JT_COURT_TYPE"},
{"db": "AS400_JMS",	"table": "IMCHGD",	"fieldDesc": "CourtTypeCode",	"field": "ICCRTT"}]</t>
  </si>
  <si>
    <t>j:CourtCategoryCode</t>
  </si>
  <si>
    <t>aamva_d20:CourtCategoryCodeType</t>
  </si>
  <si>
    <t xml:space="preserve">/j:CourtEvent/
/j:CourtAugmentationPoint </t>
  </si>
  <si>
    <t>/nola:BookingExchange/Case/j:CaseAugmentation/j:CaseCourt/j:CourtCategoryCode</t>
  </si>
  <si>
    <t>fieldDesc: "CourtType"</t>
  </si>
  <si>
    <t>field: "IDCTYP"</t>
  </si>
  <si>
    <t>DriversLicense</t>
  </si>
  <si>
    <t>DriversLicenseNumber</t>
  </si>
  <si>
    <t>An identification that is affixed to the raw materials (card stock, laminate, etc.) used in producing driver licenses and ID cards. The numbers are issued by the material's manufacturer and provide a unique reference to a card within a jurisdiction.</t>
  </si>
  <si>
    <t>"db": "AS400_JMS","table": "IMARRD","fieldDesc": "DriversLicenseNumber","field": "IDLICN"</t>
  </si>
  <si>
    <t>[{"db": "AS400_JMS",	"table": "IMARRD",	"fieldDesc": "DriversLicenseNumber",	"field": "IDLICN"</t>
  </si>
  <si>
    <t>[{"db": "AS400_JMS",	"table": "IMARRD",	"fieldDesc": "DriversLicenseNumber",	"field": "IDLICN"},
{"db": "AS400_JMS",	"table": "IMMSTR",	"fieldDesc": "LicenseNumber",	"field": "IMLICN"},
{"db": "AS400_JMS",	"table": "IMFLDR",	"fieldDesc": "LicenseNumber",	"field": "IFLICN"},
{"db": "EPR",	"table": "Offenders",	"fieldDesc": "DriversLicenseNumber",	"field": "DriversLicenseNumber"},
{"db": "EPR",	"table": "VictimPersons",	"fieldDesc": "DriversLicenseNumber",	"field": "DriversLicenseNumber"},
{"db": "CASTNetDB",	"table": "PersonDriverLicense",	"fieldDesc": "LicenseNumber",	"field": "LicenseNumber"},
{"db": "CASTNetDB",	"table": "PersonLicense",	"fieldDesc": "LicenseNumber",	"field": "LicenseNumber"},
{"db": "CASTNetDB",	"table": "vw_Person",	"fieldDesc": "LicenseNumber",	"field": "LicenseNumber"},
{"db": "MC",	"table": "Digicourt_Orleans.dbview.vw_ArrestDetail", "fieldDesc": "DriversLicenseNumber", "field": "DLNO"},
{"db": "MC",	"table": "Digicourt_Orleans.dbview.vw_CriminalCaseFileDetail",	"fieldDesc": "DriversLicenseNumber",	"field": "DLNO"},
{"db": "MC",	"table": "DigiCourt_Orleans.dbview.vw_AllWarrants",	"fieldDesc": "DriversLicenseNumber",	"field": "DLNO"},
{"db": "CASTNetDB",	"table": "Warrant",	"fieldDesc": "DriverLicenseId",		"field": "DriverLicenseId"},
{"db": "CASTNetDB",	"table": "Warrant_bak20190801",	"fieldDesc": "DriverLicenseId",	"field": "DriverLicenseId"}]</t>
  </si>
  <si>
    <t>/j:DriverLicense/j:DriverLicenseCardIdentification/IdentificationID</t>
  </si>
  <si>
    <t>/nola:BookingExchange/j:Booking/j:BookingSubject/RoleOfPerson/j:PersonAugmentation/j:DriverLicense/j:DriverLicenseCardIdentification/IdentificationID</t>
  </si>
  <si>
    <t>fieldDesc: "DriversLicenseNumber"</t>
  </si>
  <si>
    <t>field: "IDLICN"</t>
  </si>
  <si>
    <t>"db": "AS400_JMS","table": "IMFLDR","fieldDesc": "LicenseNumber","field": "IFLICN"</t>
  </si>
  <si>
    <t xml:space="preserve">
{"db": "AS400_JMS",	"table": "IMFLDR",	"fieldDesc": "LicenseNumber",	"field": "IFLICN"</t>
  </si>
  <si>
    <t>fieldDesc: "LicenseNumber"</t>
  </si>
  <si>
    <t>field: "IFLICN"</t>
  </si>
  <si>
    <t>DriversLicenseStateCode</t>
  </si>
  <si>
    <t>A state code in the United States related to a license issued to a person granting driving privileges.</t>
  </si>
  <si>
    <t>"db": "AS400_JMS","table": "IMARRD","fieldDesc": "DriversLicenseStateCode","field": "IDSTCDL"</t>
  </si>
  <si>
    <t>[{"db": "AS400_JMS",	"table": "IMARRD",	"fieldDesc": "DriversLicenseStateCode",	"field": "IDSTCDL"</t>
  </si>
  <si>
    <t>[{"db": "AS400_JMS",	"table": "IMARRD",	"fieldDesc": "DriversLicenseStateCode",	"field": "IDSTCDL"},
{"db": "AS400_JMS",	"table": "IMMSTR",	"fieldDesc": "LicenseStateCode",	"field": "IMSTCDL"},
{"db": "AS400_JMS",	"table": "IMFLDR",	"fieldDesc": "LicenseStateCode",	"field": "IFSTCDL"},
{"db": "MC",	"table": "Digicourt_Orleans.dbview.vw_ArrestDetail",	"fieldDesc": "DriversLicenseState",	"field": "DLSTATE"},
{"db": "MC",	"table": "Digicourt_Orleans.dbview.vw_CriminalCaseFileDetail",	"fieldDesc": "DriversLicenseState",	"field": "DLSTATE"},
{"db": "MC",	"table": "DigiCourt_Orleans.dbview.vw_AllWarrants",	"fieldDesc": "DriversLicenseState",	"field": "DLSTATE"}]</t>
  </si>
  <si>
    <t>ncic: UnitedStatesCodeType</t>
  </si>
  <si>
    <t>/j:DriverLicense/j:DriverLicenseCardIdentification/IdentificationJurisdiction/JurisdictionLocation/Address/AddressState/ncic:StateUSCode</t>
  </si>
  <si>
    <t>fieldDesc: "DriversLicenseStateCode"</t>
  </si>
  <si>
    <t>field: "IDSTCDL"</t>
  </si>
  <si>
    <t>"db": "AS400_JMS","table": "IMFLDR","fieldDesc": "LicenseStateCode","field": "IFSTCDL"</t>
  </si>
  <si>
    <t xml:space="preserve">
{"db": "AS400_JMS",	"table": "IMFLDR",	"fieldDesc": "LicenseStateCode",	"field": "IFSTCDL"</t>
  </si>
  <si>
    <t>fieldDesc: "LicenseStateCode"</t>
  </si>
  <si>
    <t>field: "IFSTCDL"</t>
  </si>
  <si>
    <t>DriversLicenseYear</t>
  </si>
  <si>
    <t>date</t>
  </si>
  <si>
    <t>A date of expiration related to a license issued to a person granting driving privileges.</t>
  </si>
  <si>
    <t>"db": "AS400_JMS","table": "IMARRD","fieldDesc": "DriversLicenseYear","field": "IDLICY"</t>
  </si>
  <si>
    <t>[{"db": "AS400_JMS",	"table": "IMARRD",	"fieldDesc": "DriversLicenseYear",	"field": "IDLICY"</t>
  </si>
  <si>
    <t>[{"db": "AS400_JMS",	"table": "IMARRD",	"fieldDesc": "DriversLicenseYear",	"field": "IDLICY"},
{"db": "AS400_JMS",	"table": "IMMSTR",	"fieldDesc": "LicenseYear",	"field": "IMLICY"},
{"db": "AS400_JMS",	"table": "IMFLDR",	"fieldDesc": "LicenseYear",	"field": "IFLICY"},
{"db": "CASTNetDB",	"table": "Vehicle",	"fieldDesc": "LicensedYear",	"field": "LicensedYear"},
{"db": "CASTNetDB",	"table": "PersonDriverLicense",	"fieldDesc": "LicenseYear",	"field": "LicenseYear"},
{"db": "CASTNetDB",	"table": "PersonLicense",	"fieldDesc": "LicenseYear",	"field": "LicenseYear"}]</t>
  </si>
  <si>
    <t>nc:Date</t>
  </si>
  <si>
    <t>niem-xs:date</t>
  </si>
  <si>
    <t>/j:PersonAugmentation/j:DriverLicense/j:DriverLicenseCardIdentification/IdentificationExpirationDate/Date</t>
  </si>
  <si>
    <t>/nola:BookingExchange/j:Booking/j:BookingSubject/RoleOfPerson/j:PersonAugmentation/j:DriverLicense/j:DriverLicenseCardIdentification/IdentificationExpirationDate/Date</t>
  </si>
  <si>
    <t>fieldDesc: "DriversLicenseYear"</t>
  </si>
  <si>
    <t>field: "IDLICY"</t>
  </si>
  <si>
    <t>"db": "AS400_JMS","table": "IMFLDR","fieldDesc": "LicenseYear","field": "IFLICY"</t>
  </si>
  <si>
    <t xml:space="preserve">
{"db": "AS400_JMS",	"table": "IMFLDR",	"fieldDesc": "LicenseYear",	"field": "IFLICY"</t>
  </si>
  <si>
    <t>fieldDesc: "LicenseYear"</t>
  </si>
  <si>
    <t>field: "IFLICY"</t>
  </si>
  <si>
    <t>Employer</t>
  </si>
  <si>
    <t>EmployerName</t>
  </si>
  <si>
    <t>A name of an employer.</t>
  </si>
  <si>
    <t>"db": "AS400_JMS","table": "IMFLDR","fieldDesc": "Employer","field": "IFEMPR"</t>
  </si>
  <si>
    <t xml:space="preserve">
{"db": "AS400_JMS",	"table": "IMFLDR",	"fieldDesc": "Employer",	"field": "IFEMPR"</t>
  </si>
  <si>
    <t>[{"db": "AS400_JMS",	"table": "IMMSTR",	"fieldDesc": "Employer",	"field": "IMEMPR"},
{"db": "AS400_JMS",	"table": "IMFLDR",	"fieldDesc": "Employer",	"field": "IFEMPR"},
{"db": "AS400_JMS",	"table": "IMARRD",	"fieldDesc": "Employer",	"field": "IDEMPR"}]</t>
  </si>
  <si>
    <t xml:space="preserve">hs:EmployerName </t>
  </si>
  <si>
    <t>/Employer/hs:EmployerAugmentation/hs:EmployerName</t>
  </si>
  <si>
    <t>/nola:BookingExchange/j:Booking/j:BookingSubject/RoleOfPerson/nola-ext:PersonAugmentation/PersonEmploymentAssociation/Employer/hs:EmployerAugmentation/hs:EmployerName</t>
  </si>
  <si>
    <t>fieldDesc: "Employer"</t>
  </si>
  <si>
    <t>field: "IFEMPR"</t>
  </si>
  <si>
    <t>"db": "AS400_JMS","table": "IMARRD","fieldDesc": "Employer","field": "IDEMPR"</t>
  </si>
  <si>
    <t xml:space="preserve">
{"db": "AS400_JMS",	"table": "IMARRD",	"fieldDesc": "Employer",	"field": "IDEMPR"}]</t>
  </si>
  <si>
    <t>field: "IDEMPR"</t>
  </si>
  <si>
    <t>Occupation</t>
  </si>
  <si>
    <t>A job of an employee.</t>
  </si>
  <si>
    <t>"db": "AS400_JMS","table": "IMARRD","fieldDesc": "Occupation","field": "IDOCUP"</t>
  </si>
  <si>
    <t>[{"db": "AS400_JMS",	"table": "IMARRD",	"fieldDesc": "Occupation",	"field": "IDOCUP"</t>
  </si>
  <si>
    <t>[{"db": "AS400_JMS",	"table": "IMARRD",	"fieldDesc": "Occupation",	"field": "IDOCUP"},
{"db": "AS400_JMS",	"table": "IMMSTR",	"fieldDesc": "Ocupation",	"field": "IMOCUP"},
{"db": "AS400_JMS",	"table": "IMFLDR",	"fieldDesc": "Ocupation",	"field": "IFOCUP"},
{"db": "EPR",	"table": "VictimPersons",	"fieldDesc": "Occupation",	"field": "Occupation"},
{"db": "CASTNetDB",	"table": "PersonOccupation",	"fieldDesc": "Occupation",	"field": "Occupation"}]</t>
  </si>
  <si>
    <t>nc:EmployeeOccupationText</t>
  </si>
  <si>
    <t>/PersonEmploymentAssociation/EmployeeOccupationText</t>
  </si>
  <si>
    <t>/nola:BookingExchange/j:Booking/j:BookingSubject/RoleOfPerson/nola-ext:PersonAugmentation/PersonEmploymentAssociation/EmployeeOccupationText</t>
  </si>
  <si>
    <t>fieldDesc: "Occupation"</t>
  </si>
  <si>
    <t>field: "IDOCUP"</t>
  </si>
  <si>
    <t>"db": "AS400_JMS","table": "IMFLDR","fieldDesc": "Ocupation","field": "IFOCUP"</t>
  </si>
  <si>
    <t xml:space="preserve">
{"db": "AS400_JMS",	"table": "IMFLDR",	"fieldDesc": "Ocupation",	"field": "IFOCUP"</t>
  </si>
  <si>
    <t>fieldDesc: "Ocupation"</t>
  </si>
  <si>
    <t>field: "IFOCUP"</t>
  </si>
  <si>
    <t>Incident</t>
  </si>
  <si>
    <t>IncidentItemNumber</t>
  </si>
  <si>
    <t>An identification that references an activity. The Item # is the incident number assigned by the Computer Aided Dispatching. It will be included on all arrest paperwork submitted by the arresting officer.</t>
  </si>
  <si>
    <t>"db": "AS400_JMS","table": "IMARRD","fieldDesc": "ItemNumber","field": "IDITMN"</t>
  </si>
  <si>
    <t>[{"db": "AS400_JMS",	"table": "IMARRD",	"fieldDesc": "ItemNumber",	"field": "IDITMN"</t>
  </si>
  <si>
    <t>[{"db": "AS400_JMS",	"table": "IMARRD",	"fieldDesc": "ItemNumber",	"field": "IDITMN"},
{"db": "AS400_JMS",	"table": "IMCHGD",	"fieldDesc": "ItemNumber",	"field": "ICITMN"},
{"db": "AS400_JMS",	"table": "IMDSPL",	"fieldDesc": "ItemNumber",	"field": "DLITMN"},
{"db": "AS400_CDC_CMS",	"table": "DEFCHG",	"fieldDesc": "ItemNumber",	"field": "DCITM#"},
{"db": "EPR",	"table": "Reports",	"fieldDesc": "ItemNumber",	"field": "ItemNumber"},
{"db": "MC",	"table": "Digicourt_Orleans.dbview.vw_ArrestDetail",	"fieldDesc": "ItemNumber",	"field": "ITEMNUMBER"},
{"db": "MC",	"table": "Digicourt_Orleans.dbview.vw_CriminalCaseFileDetail",	"fieldDesc": "ItemNumber",	"field": "ITEMNUMBER"},
{"db": "MC",	"table": "DigiCourt_Orleans.dbview.vw_AllWarrants",	"fieldDesc": "ItemNumber",	"field": "ITEMNUMBER"},
{"db": "AS400_JMS",	"table": "IMEVNM",	"fieldDesc": "EventNumber",	"field": "EMEVNN"}]</t>
  </si>
  <si>
    <t>/Incident/ActivityIdentification/IdentificationID</t>
  </si>
  <si>
    <t>/nola:BookingExchange/j:Booking/j:Arrest/nola-ext:ArrestAugmentation/Incident/ActivityIdentification/IdentificationID</t>
  </si>
  <si>
    <t>fieldDesc: "ItemNumber"</t>
  </si>
  <si>
    <t>field: "IDITMN"</t>
  </si>
  <si>
    <t>Officer</t>
  </si>
  <si>
    <t>BadgeNumber</t>
  </si>
  <si>
    <t>An identification used to refer to an enforcement official.</t>
  </si>
  <si>
    <t>"db": "AS400_JMS","table": "IMARRD","fieldDesc": "ArrestingOfficer1BadgeNumber","field": "IDBADGAO"</t>
  </si>
  <si>
    <t>[{"db": "AS400_JMS",	"table": "IMARRD",	"fieldDesc": "ArrestingOfficer1BadgeNumber",	"field": "IDBADGAO"</t>
  </si>
  <si>
    <t xml:space="preserve">[{"db": "AS400_JMS",	"table": "IMARRD",	"fieldDesc": "ArrestingOfficer1BadgeNumber",	"field": "IDBADGAO"},
{"db": "AS400_JMS",	"table": "IMARRD",	"fieldDesc": "TransportingOfficer2BadgeNumber",	"field": "IDBADGTO"},
{"db": "AS400_JMS",	"table": "IMFLDR",	"fieldDesc": "ArrestingOfficer1BadgeNumber",	"field": "IFAO1B"},
{"db": "AS400_JMS",	"table": "IMFLDR",	"fieldDesc": "ArrestingOfficer2BadgeNumber",	"field": "IFAO2B"},
{"db": "EPR",		"table": "Reports",	"fieldDesc": "Officer1Badge",	"field": 	"Officer1Badge"},
{"db": "EPR",	"table": "Reports",	"fieldDesc": "Officer2Badge",	"field": "Officer2Badge"},
{"db": "EPR",	"table": "Reports",	"fieldDesc": "SupervisorBadge",	"field": "SupervisorBadge"},
{"db": "CASTNetDB",	"table": "ArrestOfficer",	"fieldDesc": "BadgeNumber",	"field": "BadgeNumber"},
{"db": "MC",	"table": "Digicourt_Orleans.dbview.vw_ArrestDetail",	"fieldDesc": "BadgeNumber",	"field": "   BADGE_NO"},
{"db": "MC",	"table": "Digicourt_Orleans.dbview.vw_ArrestDetail",	"fieldDesc": "OfficerID",	"field": "POLICE_ID"},
{"db": "CASTNetDB",	"table": "SpecialOfficerWeapon",	"fieldDesc": "SpecialOfficerId",	"field": "SpecialOfficerId"},
{"db": "CASTNetDB",	"table": "SpecialOfficer",	"fieldDesc": "SpecialOfficerNumber",	"field": "SpecialOfficerNumber"}]
</t>
  </si>
  <si>
    <t>/j:ArrestOfficial/j:EnforcementOfficialBadgeIdentification/IdentificationID</t>
  </si>
  <si>
    <t>/nola:BookingExchange/j:Booking/j:Arrest/j:ArrestOfficial[1]/j:EnforcementOfficialBadgeIdentification/IdentificationID</t>
  </si>
  <si>
    <t>fieldDesc: "ArrestingOfficer1BadgeNumber"</t>
  </si>
  <si>
    <t>field: "IDBADGAO"</t>
  </si>
  <si>
    <t>"db": "AS400_JMS","table": "IMARRD","fieldDesc": "TransportingOfficer2BadgeNumber","field": "IDBADGTO"</t>
  </si>
  <si>
    <t xml:space="preserve">
{"db": "AS400_JMS",	"table": "IMARRD",	"fieldDesc": "TransportingOfficer2BadgeNumber",	"field": "IDBADGTO"</t>
  </si>
  <si>
    <t>/nola:BookingExchange/j:Booking/j:Arrest/j:ArrestOfficial[2]/j:EnforcementOfficialBadgeIdentification/IdentificationID</t>
  </si>
  <si>
    <t>fieldDesc: "TransportingOfficer2BadgeNumber"</t>
  </si>
  <si>
    <t>field: "IDBADGTO"</t>
  </si>
  <si>
    <t>"db": "AS400_JMS","table": "IMFLDR","fieldDesc": "ArrestingOfficer1BadgeNumber","field": "IFAO1B"</t>
  </si>
  <si>
    <t xml:space="preserve">
{"db": "AS400_JMS",	"table": "IMFLDR",	"fieldDesc": "ArrestingOfficer1BadgeNumber",	"field": "IFAO1B"</t>
  </si>
  <si>
    <t>field: "IFAO1B"</t>
  </si>
  <si>
    <t>"db": "AS400_JMS","table": "IMFLDR","fieldDesc": "ArrestingOfficer2BadgeNumber","field": "IFAO2B"</t>
  </si>
  <si>
    <t xml:space="preserve">
{"db": "AS400_JMS",	"table": "IMFLDR",	"fieldDesc": "ArrestingOfficer2BadgeNumber",	"field": "IFAO2B"</t>
  </si>
  <si>
    <t>fieldDesc: "ArrestingOfficer2BadgeNumber"</t>
  </si>
  <si>
    <t>field: "IFAO2B"</t>
  </si>
  <si>
    <t>OfficerAgency</t>
  </si>
  <si>
    <t>As-is Process.Agency</t>
  </si>
  <si>
    <t>An agency which employs an official officer.</t>
  </si>
  <si>
    <t>j:ArrestOfficial</t>
  </si>
  <si>
    <t>nc:OrganizationType</t>
  </si>
  <si>
    <t>/j:ArrestOfficial/</t>
  </si>
  <si>
    <t>/nola:BookingExchange/j:Booking/j:Arrest/j:ArrestOfficial[1]/j:EnforcementOfficialUnit/OrganizationName</t>
  </si>
  <si>
    <t>/nola:BookingExchange/j:Booking/j:Arrest/j:ArrestOfficial[2]/j:EnforcementOfficialUnit/OrganizationName</t>
  </si>
  <si>
    <t>OfficerType</t>
  </si>
  <si>
    <t>A kind of enforcement official.</t>
  </si>
  <si>
    <t xml:space="preserve">[{"db": "AS400_JMS",	"table": "IMARRD",	"fieldDesc": "ArrestingOfficer1BadgeNumber",	"field": "IDBADGAO"},
{"db": "AS400_JMS",	"table": "IMARRD",	"fieldDesc": "TransportingOfficer2BadgeNumber",	"field": "IDBADGTO"},
{"db": "AS400_JMS",	"table": "IMFLDR",	"fieldDesc": "ArrestingOfficer1BadgeNumber",	"field": "IFAO1B"},
{"db": "AS400_JMS",	"table": "IMFLDR",	"fieldDesc": "ArrestingOfficer2BadgeNumber",	"field": "IFAO2B"},
{"db": "EPR",		"table": "Reports",	"fieldDesc": "Officer1Badge",	"field": 	"Officer1Badge"},
{"db": "EPR",	"table": "Reports",	"fieldDesc": "Officer2Badge",	"field": "Officer2Badge"},
{"db": "EPR",	"table": "Reports",	"fieldDesc": "SupervisorBadge",	"field": "SupervisorBadge"},
{"db": "CASTNetDB",	"table": "ArrestOfficer",	"fieldDesc": "Officer",	"field": "Officer"},
{"db": "MC",	"table": "Digicourt_Orleans.dbview.vw_ArrestDetail",	"fieldDesc": "BadgeNumber",	"field": "   BADGE_NO"},
{"db": "MC",	"table": "Digicourt_Orleans.dbview.vw_ArrestDetail",	"fieldDesc": "OfficerID",	"field": "POLICE_ID"}]
</t>
  </si>
  <si>
    <t>j:EnforcementOfficialCategoryText</t>
  </si>
  <si>
    <t>/j:Arrest/j:ArrestOfficial/j:EnforcementOfficialCategoryText</t>
  </si>
  <si>
    <t>/nola:BookingExchange/j:Booking/j:Arrest/j:ArrestOfficial[1]/j:EnforcementOfficialCategoryText</t>
  </si>
  <si>
    <t>/nola:BookingExchange/j:Booking/j:Arrest/j:ArrestOfficial[2]/j:EnforcementOfficialCategoryText</t>
  </si>
  <si>
    <t>UnitName</t>
  </si>
  <si>
    <t>A name of an enforcement unit.</t>
  </si>
  <si>
    <t>"db": "AS400_JMS","table": "IMARRD","fieldDesc": "TransportingOfficer2Unit","field": "IDUNITTO"</t>
  </si>
  <si>
    <t>[{"db": "AS400_JMS",	"table": "IMARRD",	"fieldDesc": "TransportingOfficer2Unit",	"field": "IDUNITTO"</t>
  </si>
  <si>
    <t>[{"db": "AS400_JMS",	"table": "IMARRD",	"fieldDesc": "TransportingOfficer2Unit",	"field": "IDUNITTO"},
{"db": "AS400_JMS",	"table": "IMARRD",	"fieldDesc": "ArrestingOfficer1Unit",	"field": "IDUNITAO"},
{"db": "AS400_JMS",	"table": "IMFLDR",	"fieldDesc": "ArrestingOfficer2Unit",	"field": "IFAO2U"},
{"db": "AS400_JMS",	"table": "IMFLDR",	"fieldDesc": "ArrestingOfficer1Unit",	"field": "IFAO1U"},
{"db": "CASTNetDB",	"table": "ArrestOfficer",	"fieldDesc": "Unit",	"field": "Unit"}]</t>
  </si>
  <si>
    <t>j:EnforcementUnitName</t>
  </si>
  <si>
    <t>/j:ArrestOfficial/j:EnforcementOfficialUnit/j:EnforcementUnitName</t>
  </si>
  <si>
    <t>/nola:BookingExchange/j:Booking/j:Arrest/j:ArrestOfficial[1]/j:EnforcementOfficialUnit/j:EnforcementUnitName</t>
  </si>
  <si>
    <t>fieldDesc: "TransportingOfficer2Unit"</t>
  </si>
  <si>
    <t>field: "IDUNITTO"</t>
  </si>
  <si>
    <t>"db": "AS400_JMS","table": "IMARRD","fieldDesc": "ArrestingOfficer1Unit","field": "IDUNITAO"</t>
  </si>
  <si>
    <t xml:space="preserve">
{"db": "AS400_JMS",	"table": "IMARRD",	"fieldDesc": "ArrestingOfficer1Unit",	"field": "IDUNITAO"</t>
  </si>
  <si>
    <t>/nola:BookingExchange/j:Booking/j:Arrest/j:ArrestOfficial[2]/j:EnforcementOfficialUnit/j:EnforcementUnitName</t>
  </si>
  <si>
    <t>fieldDesc: "ArrestingOfficer1Unit"</t>
  </si>
  <si>
    <t>field: "IDUNITAO"</t>
  </si>
  <si>
    <t>"db": "AS400_JMS","table": "IMFLDR","fieldDesc": "ArrestingOfficer2Unit","field": "IFAO2U"</t>
  </si>
  <si>
    <t xml:space="preserve">
{"db": "AS400_JMS",	"table": "IMFLDR",	"fieldDesc": "ArrestingOfficer2Unit",	"field": "IFAO2U"</t>
  </si>
  <si>
    <t>fieldDesc: "ArrestingOfficer2Unit"</t>
  </si>
  <si>
    <t>field: "IFAO2U"</t>
  </si>
  <si>
    <t>"db": "AS400_JMS","table": "IMFLDR","fieldDesc": "ArrestingOfficer1Unit","field": "IFAO1U"</t>
  </si>
  <si>
    <t xml:space="preserve">
{"db": "AS400_JMS",	"table": "IMFLDR",	"fieldDesc": "ArrestingOfficer1Unit",	"field": "IFAO1U"</t>
  </si>
  <si>
    <t>field: "IFAO1U"</t>
  </si>
  <si>
    <t>PersonDemographics</t>
  </si>
  <si>
    <t>EyeColorCode</t>
  </si>
  <si>
    <t>As-is Process.EyeColorCodeList</t>
  </si>
  <si>
    <t>A code set identifying an eye color of a person.</t>
  </si>
  <si>
    <t>"db": "AS400_JMS","table": "IMARRD","fieldDesc": "EyeColorCode","field": "IDEYES"</t>
  </si>
  <si>
    <t>[{"db": "AS400_JMS",	"table": "IMARRD",	"fieldDesc": "EyeColorCode",	"field": "IDEYES"</t>
  </si>
  <si>
    <t>[{"db": "AS400_JMS",	"table": "IMARRD",	"fieldDesc": "EyeColorCode",	"field": "IDEYES"},
{"db": "AS400_JMS",	"table": "IMMSTR",	"fieldDesc": "EyeColor",	"field": "IMEYES"},
{"db": "AS400_JMS",	"table": "IMFLDR",	"fieldDesc": "EyeColor",	"field": "IFEYES"},
{"db": "AS400_CDC_CMS",	"table": "lu_Eyes",	"fieldDesc": "EyeColorCode",	"field": "ID_Key"},
{"db": "CASTNetDB",	"table": "PersonAlias",	"fieldDesc": "EyeColor",	"field": "EyeColor"},
{"db": "CASTNetDB",	"table": "vw_Person",	"fieldDesc": "EyeColor",	"field": "EyeColor"},
{"db": "CASTNetDB",	"table": "vw_Person",	"fieldDesc": "EyeColorCode",	"field": "EyeColorCode"},
{"db": "CASTNetDB",	"table": "PersonDemographic",	"fieldDesc": "EyeColorId",	"field": "EyeColorId"},
{"db": "MC",	"table": "Digicourt_Orleans.dbview.vw_ArrestDetail",	"fieldDesc": "EyeColorCode",	"field": "EYECOLOR"},	
{"db": "MC",	"table": "DigiCourt_Orleans.dbview.vw_AllWarrants",	"fieldDesc": "EyeColorCode",	"field": "EYECOLOR"}]</t>
  </si>
  <si>
    <t>j:PersonEyeColorCode</t>
  </si>
  <si>
    <t>j:PersonEyeColorCodeType</t>
  </si>
  <si>
    <t>/Person/j:PersonEyeColorCode</t>
  </si>
  <si>
    <t>https://jtmp.nola.gov/uniform-code-lists/v1.0/HairColorCode</t>
  </si>
  <si>
    <t>/nola:BookingExchange/j:Booking/j:BookingSubject/RoleOfPerson/j:PersonEyeColorCode</t>
  </si>
  <si>
    <t>fieldDesc: "EyeColorCode"</t>
  </si>
  <si>
    <t>field: "IDEYES"</t>
  </si>
  <si>
    <t>"db": "AS400_JMS","table": "IMFLDR","fieldDesc": "EyeColor","field": "IFEYES"</t>
  </si>
  <si>
    <t xml:space="preserve">
{"db": "AS400_JMS",	"table": "IMFLDR",	"fieldDesc": "EyeColor",	"field": "IFEYES"</t>
  </si>
  <si>
    <t>fieldDesc: "EyeColor"</t>
  </si>
  <si>
    <t>field: "IFEYES"</t>
  </si>
  <si>
    <t>GenderText</t>
  </si>
  <si>
    <t>A gender or sex of a person.</t>
  </si>
  <si>
    <t>"db": "AS400_JMS","table": "IMARRD","fieldDesc": "GenderCode","field": "IDSEXC"</t>
  </si>
  <si>
    <t>[{"db": "AS400_JMS",	"table": "IMARRD",	"fieldDesc": "GenderCode",	"field": "IDSEXC"</t>
  </si>
  <si>
    <t>[{"db": "AS400_JMS",	"table": "IMARRD",	"fieldDesc": "GenderCode",	"field": "IDSEXC"},
{"db": "AS400_JMS",	"table": "IMMSTR",	"fieldDesc": "GenderCode",	"field": "IMSEXC"},
{"db": "AS400_CDC_CMS",	"table": "DEFEND",	"fieldDesc": "GenderCode",	"field": "DESEX"},
{"db": "CASTNetDB",		"table": "vw_Person",	"fieldDesc": "GenderCode",	"field": "GenderCode"},
{"db": "EPR",	"table": "Offenders",	"fieldDesc": "GenderTypeID",	"field": "GenderTypeID"},
{"db": "EPR",	"table": "VictimPersons",	"fieldDesc": "GenderTypeID",	"field": "GenderTypeID"},
{"db": "EPR",	"table": "GenderTypes",	"fieldDesc": "MainframeCode",	"field": "MainframeCode"},
{"db": "CASTNetDB",	"table": "Person",	"fieldDesc": "GenderId",	"field": "GenderId"}]</t>
  </si>
  <si>
    <t>hs:PersonGenderIdentityText</t>
  </si>
  <si>
    <t>/RoleOfPerson/hs:PersonAugmentation/hs:PersonGenderIdentityText</t>
  </si>
  <si>
    <t>/nola:BookingExchange/j:Booking/j:BookingSubject/RoleOfPerson/hs:PersonAugmentation/hs:PersonGenderIdentityText</t>
  </si>
  <si>
    <t>fieldDesc: "GenderCode"</t>
  </si>
  <si>
    <t>field: "IDSEXC"</t>
  </si>
  <si>
    <t>HairColorCode</t>
  </si>
  <si>
    <t>As-is Process.HairColorCodeList</t>
  </si>
  <si>
    <t>A color of the hair of a person.</t>
  </si>
  <si>
    <t>"db": "AS400_JMS","table": "IMFLDR","fieldDesc": "HairColor","field": "IFHAIR"</t>
  </si>
  <si>
    <t xml:space="preserve">
{"db": "AS400_JMS",	"table": "IMFLDR",	"fieldDesc": "HairColor",	"field": "IFHAIR"</t>
  </si>
  <si>
    <t>[{"db": "AS400_JMS",	"table": "IMMSTR",	"fieldDesc": "HairColor",	"field": "IMHAIR"},
{"db": "AS400_JMS",	"table": "IMFLDR",	"fieldDesc": "HairColor",	"field": "IFHAIR"},
{"db": "CASTNetDB",	"table": "PersonAlias",	"fieldDesc": "HairColor",	"field": "HairColor"},
{"db": "CASTNetDB",	"table": "vw_Person",	"fieldDesc": "HairColor",	"field": "HairColor"},
{"db": "MC",	"table": "Digicourt_Orleans.dbview.vw_ArrestDetail",	"fieldDesc": "HairColorCode",	"field": "HAIRCOLOR"},
{"db": "MC",	"table": "DigiCourt_Orleans.dbview.vw_AllWarrants",	"fieldDesc": "HairColorCode",	"field": "HAIRCOLOR"},
{"db": "AS400_JMS",	"table": "IMARRD",	"fieldDesc": "HairColorCode",	"field": "IDHAIR"},
{"db": "CASTNetDB",	"table": "vw_Person",	"fieldDesc": "HairColorCode",	"field": "HairColorCode"},
{"db": "CASTNetDB",	"table": "PersonDemographic",	"fieldDesc": "HairColorId",	"field": "HairColorId"}]</t>
  </si>
  <si>
    <t>nc:PersonHairColorText</t>
  </si>
  <si>
    <t>/Person/PersonHairColorText
/RoleOfPerson/PersonHairColorText</t>
  </si>
  <si>
    <t>/nola:BookingExchange/j:Booking/j:BookingSubject/RoleOfPerson/PersonHairColorText</t>
  </si>
  <si>
    <t>fieldDesc: "HairColor"</t>
  </si>
  <si>
    <t>field: "IFHAIR"</t>
  </si>
  <si>
    <t>"db": "AS400_JMS","table": "IMARRD","fieldDesc": "HairColorCode","field": "IDHAIR"</t>
  </si>
  <si>
    <t xml:space="preserve">
{"db": "AS400_JMS",	"table": "IMARRD",	"fieldDesc": "HairColorCode",	"field": "IDHAIR"</t>
  </si>
  <si>
    <t>fieldDesc: "HairColorCode"</t>
  </si>
  <si>
    <t>field: "IDHAIR"</t>
  </si>
  <si>
    <t>Height</t>
  </si>
  <si>
    <t>A description of the height of a person.</t>
  </si>
  <si>
    <t>0..2</t>
  </si>
  <si>
    <t>"db": "AS400_JMS","table": "IMARRD","fieldDesc": "Height","field": "IDHGHT"</t>
  </si>
  <si>
    <t>[{"db": "AS400_JMS",	"table": "IMARRD",	"fieldDesc": "Height",	"field": "IDHGHT"</t>
  </si>
  <si>
    <t xml:space="preserve">[{"db": "AS400_JMS",	"table": "IMARRD",	"fieldDesc": "Height",	"field": "IDHGHT"},
{"db": "AS400_JMS",	"table": "IMMSTR",	"fieldDesc": "Height",	"field": "IMHGHT"},
{"db": "AS400_JMS",	"table": "IMFLDR",	"fieldDesc": "Height",	"field": "IFHGHT"},
{"db": "EPR",		"table": "Offenders",	"fieldDesc": "Height",	"field": "Height"},
{"db": "CASTNetDB",	"table": "PersonAlias",	"fieldDesc": "Height",	"field": "Height"},
{"db": "CASTNetDB",	"table": "PersonDemographic",	"fieldDesc": "Height",	"field": "Height"},
{"db": "CASTNetDB",	"table": "PersonAlias",	"fieldDesc": "Height",	"field": "Height"},
{"db": "CASTNetDB",	"table": "PersonDemographic",	"fieldDesc": "Height",	"field": "Height"},
{"db": "CASTNetDB",	"table": "vw_Person",	"fieldDesc": "Height",	"field": "Height"},
{"db": "CASTNetDB",	"table": "vw_Person",	"fieldDesc": "Height In Text",	"field": "Height In Text"},
{"db": "CASTNetDB",	"table": "PersonDemographic",	"fieldDesc": "HeightFeet",	"field": "HeightFeet"},
{"db": "CASTNetDB",	"table": "PersonDemographic",	"fieldDesc": "HeightInches",	"field": "HeightInches"},
{"db": "CASTNetDB",	"table": "PersonDemographic",	"fieldDesc": "HeightText",	"field": "HeightText"},
{"db": "CASTNetDB",	"table": "vw_Person",	"fieldDesc": "Height In Feet",	"field": "Height In Feet"},
{"db": "CASTNetDB",	"table": "vw_Person",	"fieldDesc": "Height In Inches",	"field": "Height In Inches"},
{"db": "CASTNetDB",	"table": "PersonDemographic",	"fieldDesc": "HeightFeet",	"field": "HeightFeet"},
{"db": "CASTNetDB",	"table": "PersonDemographic",	"fieldDesc": "HeightInches",	"field": "HeightInches"},
{"db": "MC",	"table": "Digicourt_Orleans.dbview.vw_ArrestDetail",	"fieldDesc": "HeightFeet",	"field": "HEIGHT_FT"},
{"db": "MC",	"table": "DigiCourt_Orleans.dbview.vw_AllWarrants",	"fieldDesc": "HeightFeet",	"field": "HEIGHT_FT"},
{"db": "MC",	"table": "Digicourt_Orleans.dbview.vw_ArrestDetail",	"fieldDesc": "HeightInches",	"field": "HEIGHT_IN"},
{"db": "MC",	"table": "DigiCourt_Orleans.dbview.vw_AllWarrants",	"fieldDesc": "HeightInches",	"field": "HEIGHT_IN"}]
</t>
  </si>
  <si>
    <t>nc:MeasureValueText</t>
  </si>
  <si>
    <t>/Person/PersonHeightDescriptionText</t>
  </si>
  <si>
    <t>First entry is assumed to be integer height value in feet while second entry is assumed to be in inches.
&lt;!-- total height here is implied to be 6 feet 2 inches --&gt;
&lt;PersonHeightDescriptionText&gt;6&lt;/PersonHeightDescriptionText&gt;
&lt;PersonHeightDescriptionText&gt;2&lt;/PersonHeightDescriptionText&gt;</t>
  </si>
  <si>
    <t>/nola:BookingExchange/j:Booking/j:BookingSubject/RoleOfPerson/PersonHeightMeasure[1]/MeasureValueText</t>
  </si>
  <si>
    <t>fieldDesc: "Height"</t>
  </si>
  <si>
    <t>field: "IDHGHT"</t>
  </si>
  <si>
    <t>/nola:BookingExchange/j:Booking/j:BookingSubject/RoleOfPerson/PersonHeightMeasure[2]/MeasureValueText</t>
  </si>
  <si>
    <t>"db": "AS400_JMS","table": "IMFLDR","fieldDesc": "Height","field": "IFHGHT"</t>
  </si>
  <si>
    <t xml:space="preserve">
{"db": "AS400_JMS",	"table": "IMFLDR",	"fieldDesc": "Height",	"field": "IFHGHT"</t>
  </si>
  <si>
    <t>field: "IFHGHT"</t>
  </si>
  <si>
    <t>Homosexual</t>
  </si>
  <si>
    <t>A target gender of the sexual interest of a person.</t>
  </si>
  <si>
    <t>"db": "AS400_JMS","table": "IMFLDR","fieldDesc": "Homosexual","field": "IFHOMO"</t>
  </si>
  <si>
    <t xml:space="preserve">
{"db": "AS400_JMS",	"table": "IMFLDR",	"fieldDesc": "Homosexual",	"field": "IFHOMO"}]</t>
  </si>
  <si>
    <t>[{"db": "AS400_JMS",	"table": "IMMSTR",	"fieldDesc": "Homosexual",	"field": "IMHOMO"},
{"db": "AS400_JMS",	"table": "IMFLDR",	"fieldDesc": "Homosexual",	"field": "IFHOMO"}]</t>
  </si>
  <si>
    <t>nc:PersonSexualOrientationText</t>
  </si>
  <si>
    <t>/Person/PersonSexualOrientationText</t>
  </si>
  <si>
    <t>/nola:BookingExchange/j:Booking/j:BookingSubject/RoleOfPerson/PersonSexualOrientationText</t>
  </si>
  <si>
    <t>fieldDesc: "Homosexual"</t>
  </si>
  <si>
    <t>field: "IFHOMO"</t>
  </si>
  <si>
    <t>Nationality</t>
  </si>
  <si>
    <t>A country of a person's citizenship or a country in which a person is deemed a national.</t>
  </si>
  <si>
    <t>"db": "AS400_JMS","table": "IMARRD","fieldDesc": "Nationality","field": "IDNATN"</t>
  </si>
  <si>
    <t>[{"db": "AS400_JMS",	"table": "IMARRD",	"fieldDesc": "Nationality",	"field": "IDNATN"</t>
  </si>
  <si>
    <t>[{"db": "AS400_JMS",	"table": "IMARRD",	"fieldDesc": "Nationality",	"field": "IDNATN"},
{"db": "AS400_JMS",	"table": "IMMSTR",	"fieldDesc": "CountryCode",	"field": "IMCNTY"},
{"db": "AS400_JMS",	"table": "IMFLDR",	"fieldDesc": "CountryCode",	"field": "IFCNTY"}]</t>
  </si>
  <si>
    <t>/Person/PersonNationality/PersonNationalityCountry/CountryName</t>
  </si>
  <si>
    <t>fieldDesc: "Nationality"</t>
  </si>
  <si>
    <t>field: "IDNATN"</t>
  </si>
  <si>
    <t>"db": "AS400_JMS","table": "IMFLDR","fieldDesc": "CountryCode","field": "IFCNTY"</t>
  </si>
  <si>
    <t xml:space="preserve">
{"db": "AS400_JMS",	"table": "IMFLDR",	"fieldDesc": "CountryCode",	"field": "IFCNTY"}]</t>
  </si>
  <si>
    <t>fieldDesc: "CountryCode"</t>
  </si>
  <si>
    <t>field: "IFCNTY"</t>
  </si>
  <si>
    <t>RaceText</t>
  </si>
  <si>
    <t>A classification of a person based on factors such as geographical locations and genetics.</t>
  </si>
  <si>
    <t>"db": "AS400_JMS","table": "IMARRD","fieldDesc": "RaceCode","field": "IDRACE"</t>
  </si>
  <si>
    <t>[{"db": "AS400_JMS",	"table": "IMARRD",	"fieldDesc": "RaceCode",	"field": "IDRACE"</t>
  </si>
  <si>
    <t xml:space="preserve">[{"db": "AS400_JMS",	"table": "IMARRD",	"fieldDesc": "RaceCode",	"field": "IDRACE"},
{"db": "AS400_JMS",	"table": "IMARRD",	"fieldDesc": "Witness1RaceCode",	"field": "IDRACEW1"},
{"db": "AS400_JMS",	"table": "IMARRD",	"fieldDesc": "Witness2RaceCode",	"field": "IDRACEW2"},
{"db": "AS400_JMS",	"table": "IMARRD_ChargesAll_w_Keys",	"fieldDesc": "Race",	"field": "Race"},
{"db": "AS400_JMS",	"table": "IMFLDR",	"fieldDesc": "Race",	"field": "IFRACE"},
{"db": "AS400_JMS",	"table": "IMMSTR",	"fieldDesc": "RaceCode",	"field": "IMRACE"},
{"db": "AS400_CDC_CMS","table": "DEFEND",	"fieldDesc": "RaceCode",	"field": "DERACE"},
{"db": "EPR",	"table": "Offenders",	"fieldDesc": "RaceTypeID",	"field": "RaceTypeID"},
{"db": "EPR",	"table": "VictimPersons",	"fieldDesc": "RaceTypeID",	"field": "RaceTypeID"},
{"db": "EPR",	"table": "RaceTypes",		"fieldDesc": "Description",	"field": "Description"},
{"db": "CASTNetDB",	"table": "vw_Person",	"fieldDesc": "RaceCode",	"field": "RaceCode"},
{"db": "CASTNetDB",	"table": "PersonAlias",		"fieldDesc": "Race",	"field": "Race"},
{"db": "CASTNetDB",	"table": "PersonNickName",	"fieldDesc": "Race",	"field": "Race"},
{"db": "CASTNetDB",	"table": "vw_Person",		"fieldDesc": "Race",	"field": "Race"},
{"db": "MC",	"table": "Digicourt_Orleans.dbview.vw_CriminalCaseFileDetail",	"fieldDesc": "Gender",	"field": "      RACE"},
{"db": "MC",	"table": "Digicourt_Orleans.dbview.vw_ArrestDetail",	"fieldDesc": "Race",	"field": "RACE"},
{"db": "MC",	"table": "DigiCourt_Orleans.dbview.vw_AllWarrants",	"fieldDesc": "Race",	"field": "RACE"},
{"db": "EPR",	"table": "RaceTypes",	"fieldDesc": "Description",	"field": "Description"}]
</t>
  </si>
  <si>
    <t>nc:PersonRaceText</t>
  </si>
  <si>
    <t>/Person/PersonRaceText</t>
  </si>
  <si>
    <t>https://jtmp.nola.gov/uniform-code-lists/v1.0/RaceCode</t>
  </si>
  <si>
    <t>/nola:BookingExchange/j:Booking/j:BookingSubject/RoleOfPerson/PersonRaceText</t>
  </si>
  <si>
    <t>fieldDesc: "RaceCode"</t>
  </si>
  <si>
    <t>field: "IDRACE"</t>
  </si>
  <si>
    <t>"db": "AS400_JMS","table": "IMARRD","fieldDesc": "Witness1RaceCode","field": "IDRACEW1"</t>
  </si>
  <si>
    <t xml:space="preserve">
{"db": "AS400_JMS",	"table": "IMARRD",	"fieldDesc": "Witness1RaceCode",	"field": "IDRACEW1"</t>
  </si>
  <si>
    <t>fieldDesc: "Witness1RaceCode"</t>
  </si>
  <si>
    <t>field: "IDRACEW1"</t>
  </si>
  <si>
    <t>"db": "AS400_JMS","table": "IMARRD","fieldDesc": "Witness2RaceCode","field": "IDRACEW2"</t>
  </si>
  <si>
    <t xml:space="preserve">
{"db": "AS400_JMS",	"table": "IMARRD",	"fieldDesc": "Witness2RaceCode",	"field": "IDRACEW2"</t>
  </si>
  <si>
    <t>fieldDesc: "Witness2RaceCode"</t>
  </si>
  <si>
    <t>field: "IDRACEW2"</t>
  </si>
  <si>
    <t>"db": "AS400_JMS","table": "IMFLDR","fieldDesc": "Race","field": "IFRACE"</t>
  </si>
  <si>
    <t xml:space="preserve">
{"db": "AS400_JMS",	"table": "IMFLDR",	"fieldDesc": "Race",	"field": "IFRACE"</t>
  </si>
  <si>
    <t>fieldDesc: "Race"</t>
  </si>
  <si>
    <t>field: "IFRACE"</t>
  </si>
  <si>
    <t>SexText</t>
  </si>
  <si>
    <t>SexCodeList</t>
  </si>
  <si>
    <t>"db": "AS400_JMS","table": "IMARRD","fieldDesc": "Witness1SexCode","field": "IDSEXCW1"</t>
  </si>
  <si>
    <t>[{"db": "AS400_JMS",	"table": "IMARRD",	"fieldDesc": "Witness1SexCode",	"field": "IDSEXCW1"</t>
  </si>
  <si>
    <t>[{"db": "AS400_JMS",	"table": "IMARRD",	"fieldDesc": "Witness1SexCode",	"field": "IDSEXCW1"},
{"db": "AS400_JMS",	"table": "IMARRD",	"fieldDesc": "Witness2SexCode",	"field": "IDSEXCW2"},
{"db": "AS400_JMS",	"table": "IMARRD_ChargesAll_w_Keys",	"fieldDesc": "Sex",	"field": "SEX"},
{"db": "AS400_JMS",	"table": "IMFLDR",	"fieldDesc": "Sex",	"field": "IFSEXC"},
{"db": "MC",	"table": "Digicourt_Orleans.dbview.vw_CriminalCaseFileDetail",	"fieldDesc": "DateofBirth",	"field": "      SEX"},
{"db": "MC",	"table": "Digicourt_Orleans.dbview.vw_ArrestDetail",	"fieldDesc": "Gender",	"field": "   SEX"}]</t>
  </si>
  <si>
    <t>nc:PersonSexText</t>
  </si>
  <si>
    <t>/Person/PersonSexText</t>
  </si>
  <si>
    <t>/nola:BookingExchange/j:Booking/j:BookingSubject/RoleOfPerson/PersonSexText</t>
  </si>
  <si>
    <t>fieldDesc: "Witness1SexCode"</t>
  </si>
  <si>
    <t>field: "IDSEXCW1"</t>
  </si>
  <si>
    <t>"db": "AS400_JMS","table": "IMARRD","fieldDesc": "Witness2SexCode","field": "IDSEXCW2"</t>
  </si>
  <si>
    <t xml:space="preserve">
{"db": "AS400_JMS",	"table": "IMARRD",	"fieldDesc": "Witness2SexCode",	"field": "IDSEXCW2"</t>
  </si>
  <si>
    <t>fieldDesc: "Witness2SexCode"</t>
  </si>
  <si>
    <t>field: "IDSEXCW2"</t>
  </si>
  <si>
    <t>"db": "AS400_JMS","table": "IMFLDR","fieldDesc": "Sex","field": "IFSEXC"</t>
  </si>
  <si>
    <t xml:space="preserve">
{"db": "AS400_JMS",	"table": "IMFLDR",	"fieldDesc": "Sex",	"field": "IFSEXC"</t>
  </si>
  <si>
    <t>fieldDesc: "Sex"</t>
  </si>
  <si>
    <t>field: "IFSEXC"</t>
  </si>
  <si>
    <t>USCitizenship</t>
  </si>
  <si>
    <t>boolean</t>
  </si>
  <si>
    <t>True if a person is a citizen of the United States; false otherwise.</t>
  </si>
  <si>
    <t>"db": "AS400_JMS","table": "IMFLDR","fieldDesc": "USCitizenship","field": "IFUSAC"</t>
  </si>
  <si>
    <t xml:space="preserve">
{"db": "AS400_JMS",	"table": "IMFLDR",	"fieldDesc": "USCitizenship",	"field": "IFUSAC"}]</t>
  </si>
  <si>
    <t>[{"db": "AS400_JMS",	"table": "IMMSTR",	"fieldDesc": "USCitizenship",	"field": "IMUSAC"},
{"db": "AS400_JMS",	"table": "IMFLDR",	"fieldDesc": "USCitizenship",	"field": "IFUSAC"}]</t>
  </si>
  <si>
    <t>nc:PersonUSCitizenIndicator</t>
  </si>
  <si>
    <t xml:space="preserve">niem-xs:boolean </t>
  </si>
  <si>
    <t>/Person/PersonUSCitizenIndicator</t>
  </si>
  <si>
    <t>/nola:BookingExchange/j:Booking/j:BookingSubject/RoleOfPerson/PersonUSCitizenIndicator</t>
  </si>
  <si>
    <t>fieldDesc: "USCitizenship"</t>
  </si>
  <si>
    <t>field: "IFUSAC"</t>
  </si>
  <si>
    <t>Weight</t>
  </si>
  <si>
    <t>A description of the weight of a person.</t>
  </si>
  <si>
    <t>"db": "AS400_JMS","table": "IMARRD","fieldDesc": "Weight","field": "IDWGHT"</t>
  </si>
  <si>
    <t>[{"db": "AS400_JMS",	"table": "IMARRD",	"fieldDesc": "Weight",	"field": "IDWGHT"</t>
  </si>
  <si>
    <t xml:space="preserve">[{"db": "AS400_JMS",	"table": "IMARRD",	"fieldDesc": "Weight",	"field": "IDWGHT"},
{"db": "AS400_JMS",	"table": "IMMSTR",	"fieldDesc": "Weight",	"field": "IMWGHT"},
{"db": "AS400_JMS",	"table": "IMFLDR",	"fieldDesc": "Weight",	"field": "IFWGHT"},
{"db": "EPR",		"table": "Offenders",	"fieldDesc": "Weight",	"field": "Weight"},
{"db": "CASTNetDB",	"table": "PersonAlias",	"fieldDesc": "Weight",	"field": "Weight"},
{"db": "CASTNetDB",	"table": "PersonDemographic",	"fieldDesc": "Weight",	"field": "Weight"},
{"db": "MC",	"table": "Digicourt_Orleans.dbview.vw_ArrestDetail",	"fieldDesc": "Weight",	"field": "WEIGHT"},
{"db": "MC",	"table": "DigiCourt_Orleans.dbview.vw_AllWarrants",	"fieldDesc": "Weight",	"field": "WEIGHT"}]
</t>
  </si>
  <si>
    <t>nc:PersonWeightDescriptionText</t>
  </si>
  <si>
    <t>/Person/PersonWeightDescriptionText</t>
  </si>
  <si>
    <t>/nola:BookingExchange/j:Booking/j:BookingSubject/RoleOfPerson/PersonWeightDescriptionText</t>
  </si>
  <si>
    <t>fieldDesc: "Weight"</t>
  </si>
  <si>
    <t>field: "IDWGHT"</t>
  </si>
  <si>
    <t>"db": "AS400_JMS","table": "IMFLDR","fieldDesc": "Weight","field": "IFWGHT"</t>
  </si>
  <si>
    <t xml:space="preserve">
{"db": "AS400_JMS",	"table": "IMFLDR",	"fieldDesc": "Weight",	"field": "IFWGHT"</t>
  </si>
  <si>
    <t>field: "IFWGHT"</t>
  </si>
  <si>
    <t>PersonIdentifiers</t>
  </si>
  <si>
    <t>AlienIdentificationNumber</t>
  </si>
  <si>
    <t>An identification for a foreign-born person.</t>
  </si>
  <si>
    <t>"db": "AS400_JMS","table": "IMFLDR","fieldDesc": "AlienIdentificationNumber","field": "IFALIN"</t>
  </si>
  <si>
    <t xml:space="preserve">
{"db": "AS400_JMS",	"table": "IMFLDR",	"fieldDesc": "AlienIdentificationNumber",	"field": "IFALIN"}]</t>
  </si>
  <si>
    <t>[{"db": "AS400_JMS",	"table": "IMMSTR",	"fieldDesc": "AlienIdentificationNumber",	"field": "IMALIN"},
{"db": "AS400_JMS",	"table": "IMFLDR",	"fieldDesc": "AlienIdentificationNumber",	"field": "IFALIN"}]</t>
  </si>
  <si>
    <t>/Person/hs:PersonAugmentation/hs:AlienIdentification/IdentificationID</t>
  </si>
  <si>
    <t>/nola:BookingExchange/j:Booking/j:BookingSubject/RoleOfPerson/hs:PersonAugmentation/hs:AlienIdentification/IdentificationID</t>
  </si>
  <si>
    <t>fieldDesc: "AlienIdentificationNumber"</t>
  </si>
  <si>
    <t>field: "IFALIN"</t>
  </si>
  <si>
    <t>DateOfBirth</t>
  </si>
  <si>
    <t>A date a person was born.</t>
  </si>
  <si>
    <t>"db": "AS400_JMS","table": "IMARRD","fieldDesc": "DateofBirth","field": "IDDOBD"</t>
  </si>
  <si>
    <t>[{"db": "AS400_JMS",	"table": "IMARRD",	"fieldDesc": "DateofBirth",	"field": "IDDOBD"</t>
  </si>
  <si>
    <t xml:space="preserve">[{"db": "AS400_JMS",	"table": "IMARRD",	"fieldDesc": "DateofBirth",	"field": "IDDOBD"},
{"db": "AS400_JMS",	"table": "IMARRD",	"fieldDesc": "Witness1DateofBirth",	"field": "IDDOBDW1"},
{"db": "AS400_JMS",	"table": "IMARRD",	"fieldDesc": "Witness2DateofBirth",	"field": "IDDOBDW2"},
{"db": "AS400_JMS",	"table": "IMARRD_ChargesAll_w_Keys",	"fieldDesc": "DateofBirth",	"field": "Date_of_Birth"},
{"db": "AS400_JMS",	"table": "IMMSTR",	"fieldDesc": "DateofBirth",	"field": "IMDOBD"},
{"db": "AS400_JMS",	"table": "IMFLDR",	"fieldDesc": "DateofBirth",	"field": "IFDOBD"},
{"db": "AS400_CDC_CMS",	"table": "DEFEND",	"fieldDesc": "DateofBirth",	"field": "DEDOB"},
{"db": "EPR",	"table": "Offenders",	"fieldDesc": "DateOfBirth",	"field": "DateOfBirth"},
{"db": "EPR",	"table": "VictimPersons",	"fieldDesc": "DateOfBirth",	"field": "DateOfBirth"},
{"db": "MC",	"table": "Digicourt_Orleans.dbview.vw_ArrestDetail",	"fieldDesc": "DateofBirth",	"field": "   DOB"},
{"db": "MC",	"table": "[DigiCourt_Orleans].[dbview].vw_AllWarrants",	"fieldDesc": "DateofBirth",	"field": "      DOB"},
{"db": "MC",	"table": "Digicourt_Orleans.dbview.vw_CriminalCaseFileDetail",	"fieldDesc": "Race",	"field": "DOB"}]
</t>
  </si>
  <si>
    <t>/Person/PersonBirthDate/Date</t>
  </si>
  <si>
    <t>/nola:BookingExchange/j:Booking/j:BookingSubject/RoleOfPerson/PersonBirthDate/Date</t>
  </si>
  <si>
    <t>fieldDesc: "DateofBirth"</t>
  </si>
  <si>
    <t>field: "IDDOBD"</t>
  </si>
  <si>
    <t>"db": "AS400_JMS","table": "IMARRD","fieldDesc": "Witness1DateofBirth","field": "IDDOBDW1"</t>
  </si>
  <si>
    <t xml:space="preserve">
{"db": "AS400_JMS",	"table": "IMARRD",	"fieldDesc": "Witness1DateofBirth",	"field": "IDDOBDW1"</t>
  </si>
  <si>
    <t>fieldDesc: "Witness1DateofBirth"</t>
  </si>
  <si>
    <t>field: "IDDOBDW1"</t>
  </si>
  <si>
    <t>"db": "AS400_JMS","table": "IMARRD","fieldDesc": "Witness2DateofBirth","field": "IDDOBDW2"</t>
  </si>
  <si>
    <t xml:space="preserve">
{"db": "AS400_JMS",	"table": "IMARRD",	"fieldDesc": "Witness2DateofBirth",	"field": "IDDOBDW2"</t>
  </si>
  <si>
    <t>fieldDesc: "Witness2DateofBirth"</t>
  </si>
  <si>
    <t>field: "IDDOBDW2"</t>
  </si>
  <si>
    <t>"db": "AS400_JMS","table": "IMFLDR","fieldDesc": "DateofBirth","field": "IFDOBD"</t>
  </si>
  <si>
    <t xml:space="preserve">
{"db": "AS400_JMS",	"table": "IMFLDR",	"fieldDesc": "DateofBirth",	"field": "IFDOBD"</t>
  </si>
  <si>
    <t>field: "IFDOBD"</t>
  </si>
  <si>
    <t>FBINumber</t>
  </si>
  <si>
    <t>A number issued by the FBI's Automated Fingerprint Identification System (AFIS) based on submitted fingerprints.</t>
  </si>
  <si>
    <t>"db": "AS400_JMS","table": "IMARRD","fieldDesc": "FBINumber","field": "IDFBIN"</t>
  </si>
  <si>
    <t>[{"db": "AS400_JMS",	"table": "IMARRD",	"fieldDesc": "FBINumber",	"field": "IDFBIN"</t>
  </si>
  <si>
    <t xml:space="preserve">[{"db": "AS400_JMS",	"table": "IMARRD",	"fieldDesc": "FBINumber",	"field": "IDFBIN"},
{"db": "AS400_JMS",	"table": "IMMSTR",	"fieldDesc": "FBINumber",	"field": "IMFBIN"},
{"db": "AS400_JMS",	"table": "IMFLDR",	"fieldDesc": "FBINumber",	"field": "IFFBIN"},
{"db": "CASTNetDB",	"table": "Charge",	"fieldDesc": "FbiCode",	"field": "FbiCode"},
{"db": "CASTNetDB",	"table": "PersonFbi",	"fieldDesc": "FbiNumber",	"field": "FbiNumber"},
{"db": "CASTNetDB",	"table": "vw_Person",	"fieldDesc": "FbiNumber",	"field": "FbiNumber"}]
</t>
  </si>
  <si>
    <t>/Person/j:PersonAugmentation/j:PersonFBIIdentification/IdentificationID</t>
  </si>
  <si>
    <t>/nola:BookingExchange/j:Booking/j:BookingSubject/RoleOfPerson/j:PersonAugmentation/j:PersonFBIIdentification/IdentificationID</t>
  </si>
  <si>
    <t>fieldDesc: "FBINumber"</t>
  </si>
  <si>
    <t>field: "IDFBIN"</t>
  </si>
  <si>
    <t>"db": "AS400_JMS","table": "IMFLDR","fieldDesc": "FBINumber","field": "IFFBIN"</t>
  </si>
  <si>
    <t xml:space="preserve">
{"db": "AS400_JMS",	"table": "IMFLDR",	"fieldDesc": "FBINumber",	"field": "IFFBIN"</t>
  </si>
  <si>
    <t>field: "IFFBIN"</t>
  </si>
  <si>
    <t>PersonComputerControlIdentifier</t>
  </si>
  <si>
    <t>Computer Control Number - A new Computer Control Number (CCN) is generated at JMS at Pre-Booking process if subject does not have a prior arrest record in JMS OPSO. Otherwise, an existing CCN is assigned if prior arrests exist. Unique lifetime person ID used by NOPD and Sheriff, otherwise known as the Computer Control Number (CCN). An individual retains the same CCN no matter how many times they are arrested (as opposed to Folder Number, which changes with each new incarceration period). Only used in Orleans Parish.</t>
  </si>
  <si>
    <t>"db": "AS400_JMS","table": "IMFLDR","fieldDesc": "CCN","field": "IFCCNO"</t>
  </si>
  <si>
    <t xml:space="preserve">
{"db": "AS400_JMS",	"table": "IMFLDR",	"fieldDesc": "CCN",	"field": "IFCCNO"</t>
  </si>
  <si>
    <t>[{"db": "AS400_JMS",	"table": "IMARRD_ChargesAll_w_Keys",	"fieldDesc": "CCN",	"field": "CCN"},
{"db": "AS400_JMS",	"table": "IMMSTR",	"fieldDesc": "CCN",	"field": "IMCCNO"},
{"db": "AS400_JMS",	"table": "IMFLDR",	"fieldDesc": "CCN",	"field": "IFCCNO"},
{"db": "AS400_JMS",	"table": "IMARRD",	"fieldDesc": "CCN",	"field": "IDCCNO"},
{"db": "AS400_CDC_CMS",	"table": "CASEVT_CASEVD_UNION",	"fieldDesc": "Cancelled Flag",	"field": "Cancelled"},
{"db": "AS400_CDC_CMS",	"table": "DEFEND",	"fieldDesc": "CCN",	"field": "DECCN"},
{"db": "AS400_CDC_CMS",	"table": "MAGDOCK",	"fieldDesc": "CCN",	"field": "MDCCN"},
{"db": "AS400_CDC_CMS",	"table": "MAGLST",	"fieldDesc": "CCN",	"field": "MLCCN"},
{"db": "CASTNetDB",	"table": "PersonArrest",	"fieldDesc": "Ccn",	"field": "Ccn"},
{"db": "CASTNetDB",	"table": "PersonCcn",	"fieldDesc": "Ccn",	"field": "Ccn"},
{"db": "CASTNetDB",	"table": "Vehicle",	"fieldDesc": "CCN",	"field": "CCN"},
{"db": "CASTNetDB",	"table": "vw_Person",	"fieldDesc": "Ccn",	"field": "Ccn"},
{"db": "MC",	"table": "Digicourt_Orleans.dbview.vw_ArrestDetail",	"fieldDesc": "CCN",	"field": "CCN"},
{"db": "MC",	"table": "DigiCourt_Orleans.dbview.vw_AllWarrants",	"fieldDesc": "CCN",	"field": "CCN"}]</t>
  </si>
  <si>
    <t>nola-ext:PersonComputerControlIdentifier</t>
  </si>
  <si>
    <t>/nola:BookingExchange/j:Booking/j:BookingSubject/RoleOfPerson/nola-ext:PersonAugmentation/nola-ext:PersonComputerControlIdentifier</t>
  </si>
  <si>
    <t>IdentificationID is the actual CCN value number where the IdentificationCategoryText has to be equal to "CCN"</t>
  </si>
  <si>
    <t>fieldDesc: "CCN"</t>
  </si>
  <si>
    <t>field: "IFCCNO"</t>
  </si>
  <si>
    <t>"db": "AS400_JMS","table": "IMARRD","fieldDesc": "CCN","field": "IDCCNO"</t>
  </si>
  <si>
    <t xml:space="preserve">
{"db": "AS400_JMS",	"table": "IMARRD",	"fieldDesc": "CCN",	"field": "IDCCNO"</t>
  </si>
  <si>
    <t>field: "IDCCNO"</t>
  </si>
  <si>
    <t>SIDNumber</t>
  </si>
  <si>
    <t>State ID. An identification number that ties directly to a person based on fingerprint identification in the State's AFIS (automated fingerprint identification system). Historically, individuals charged only with municipal / traffic offenses do not receive an SID number.</t>
  </si>
  <si>
    <t>"db": "AS400_JMS","table": "IMARRD","fieldDesc": "SIDNumber","field": "IDSIDN"</t>
  </si>
  <si>
    <t>[{"db": "AS400_JMS",	"table": "IMARRD",	"fieldDesc": "SIDNumber",	"field": "IDSIDN"</t>
  </si>
  <si>
    <t>[{"db": "AS400_JMS",	"table": "IMARRD",	"fieldDesc": "SIDNumber",	"field": "IDSIDN"},
{"db": "AS400_JMS",	"table": "IMMSTR",	"fieldDesc": "SIDNumber",	"field": "IMSIDN"},
{"db": "AS400_JMS",	"table": "IMFLDR",	"fieldDesc": "SIDNumber",	"field": "IFSIDN"},
{"db": "AS400_CDC_CMS",	"table": "DEFEND",	"fieldDesc": "SIDNumber",	"field": "DESIDN"},
{"db": "CASTNetDB",	"table": "PersonSid",	"fieldDesc": "Sid",	"field": "Sid"}]</t>
  </si>
  <si>
    <t>/j:BookingSubject/RoleOfPerson/PersonStateIdentification/IdentificationID</t>
  </si>
  <si>
    <t>/nola:BookingExchange/j:Booking/j:BookingSubject/RoleOfPerson/PersonStateIdentification/IdentificationID</t>
  </si>
  <si>
    <t>fieldDesc: "SIDNumber"</t>
  </si>
  <si>
    <t>field: "IDSIDN"</t>
  </si>
  <si>
    <t>"db": "AS400_JMS","table": "IMFLDR","fieldDesc": "SIDNumber","field": "IFSIDN"</t>
  </si>
  <si>
    <t xml:space="preserve">
{"db": "AS400_JMS",	"table": "IMFLDR",	"fieldDesc": "SIDNumber",	"field": "IFSIDN"</t>
  </si>
  <si>
    <t>field: "IFSIDN"</t>
  </si>
  <si>
    <t>SocialSecurityNumber</t>
  </si>
  <si>
    <t>A unique identification reference to a living person; assigned by the United States Social Security Administration.</t>
  </si>
  <si>
    <t>"db": "AS400_JMS","table": "IMARRD","fieldDesc": "SocialSecurityNumber","field": "IDSSNO"</t>
  </si>
  <si>
    <t>[{"db": "AS400_JMS",	"table": "IMARRD",	"fieldDesc": "SocialSecurityNumber",	"field": "IDSSNO"</t>
  </si>
  <si>
    <t xml:space="preserve">[{"db": "AS400_JMS",	"table": "IMARRD",	"fieldDesc": "SocialSecurityNumber",	"field": "IDSSNO"},
{"db": "AS400_JMS",	"table": "IMMSTR",	"fieldDesc": "SocialSecurityNumber",	"field": "IMSSNO"},
{"db": "AS400_JMS",	"table": "IMFLDR",	"fieldDesc": "SocialSecurityNumber",	"field": "IFSSNO"},
{"db": "EPR",	"table": 	"Offenders",		"fieldDesc": "SocialSecurityNumber",	"field": "SocialSecurityNumber"},
{"db": "EPR",	"table": 	"VictimPersons",	"fieldDesc": "SocialSecurityNumber",	"field": "SocialSecurityNumber"},
{"db": "CASTNetDB",	"table": "PersonSsn",	"fieldDesc": "Ssn",		"field": "Ssn"},
{"db": "CASTNetDB",	"table": "vw_Person",	"fieldDesc": "Ssn",		"field": "Ssn"},
{"db": "MC",	"table": "Digicourt_Orleans.dbview.vw_ArrestDetail",	"fieldDesc": "SocialSecurityNumber",	"field": "SSN"},
{"db": "MC",	"table": "Digicourt_Orleans.dbview.vw_CriminalCaseFileDetail",	"fieldDesc": "SocialSecurityNumber",	"field": "SSN"},
{"db": "MC",	"table": "DigiCourt_Orleans.dbview.vw_AllWarrants",	"fieldDesc": "SocialSecurityNumber",	"field": "SSN"}]
</t>
  </si>
  <si>
    <t>/Person/PersonSSNIdentification/IdentificationID</t>
  </si>
  <si>
    <t>/nola:BookingExchange/j:Booking/j:BookingSubject/RoleOfPerson/PersonSSNIdentification/IdentificationID</t>
  </si>
  <si>
    <t>fieldDesc: "SocialSecurityNumber"</t>
  </si>
  <si>
    <t>field: "IDSSNO"</t>
  </si>
  <si>
    <t>"db": "AS400_JMS","table": "IMFLDR","fieldDesc": "SocialSecurityNumber","field": "IFSSNO"</t>
  </si>
  <si>
    <t xml:space="preserve">
{"db": "AS400_JMS",	"table": "IMFLDR",	"fieldDesc": "SocialSecurityNumber",	"field": "IFSSNO"</t>
  </si>
  <si>
    <t>field: "IFSSNO"</t>
  </si>
  <si>
    <t>StateOfBirth</t>
  </si>
  <si>
    <t>A location where a person was born.</t>
  </si>
  <si>
    <t>"db": "AS400_JMS","table": "IMARRD","fieldDesc": "StateofBirth","field": "IDSTCDB"</t>
  </si>
  <si>
    <t>[{"db": "AS400_JMS",	"table": "IMARRD",	"fieldDesc": "StateofBirth",	"field": "IDSTCDB"</t>
  </si>
  <si>
    <t>[{"db": "AS400_JMS",	"table": "IMARRD",	"fieldDesc": "StateofBirth",	"field": "IDSTCDB"},
{"db": "AS400_JMS",	"table": "IMMSTR",	"fieldDesc": "SocialSecurityNumber",	"field": "IMSTCDB"},
{"db": "AS400_JMS",	"table": "IMFLDR",	"fieldDesc": "StateCode",	"field": "IFSTCDB"},
{"db": "CASTNetDB",	"table": "PersonDemographic",	"fieldDesc": "BirthState",	"field": "BirthState"},
{"db": "CASTNetDB",	"table": "vw_Person",	"fieldDesc": "BirthState",	"field": "BirthState"}]</t>
  </si>
  <si>
    <t>/RoleOfPerson/PersonBirthLocation/Address/AddressState/StateName</t>
  </si>
  <si>
    <t>fieldDesc: "StateofBirth"</t>
  </si>
  <si>
    <t>field: "IDSTCDB"</t>
  </si>
  <si>
    <t>"db": "AS400_JMS","table": "IMFLDR","fieldDesc": "StateCode","field": "IFSTCDB"</t>
  </si>
  <si>
    <t xml:space="preserve">
{"db": "AS400_JMS",	"table": "IMFLDR",	"fieldDesc": "StateCode",	"field": "IFSTCDB"</t>
  </si>
  <si>
    <t>field: "IFSTCDB"</t>
  </si>
  <si>
    <t>PersonName</t>
  </si>
  <si>
    <t>FirstName</t>
  </si>
  <si>
    <t>The first name of a person.</t>
  </si>
  <si>
    <t>"db": "AS400_JMS","table": "IMARRD","fieldDesc": "FirstName","field": "IDFNAM"</t>
  </si>
  <si>
    <t>[{"db": "AS400_JMS",	"table": "IMARRD",	"fieldDesc": "FirstName",	"field": "IDFNAM"</t>
  </si>
  <si>
    <t>[{"db": "AS400_JMS",	"table": "IMARRD",	"fieldDesc": "FirstName",	"field": "IDFNAM"},
{"db": "AS400_JMS",	"table": "IMARRD",	"fieldDesc": "ArrestingOfficer1FirstName",	"field": "IDFNAMAO"},
{"db": "AS400_JMS",	"table": "IMARRD",	"fieldDesc": "TransportingOfficer2FirstName",	"field": "IDFNAMTO"},
{"db": "AS400_JMS",	"table": "IMARRD",	"fieldDesc": "Witness1FirstName",	"field": "IDFNAMW1"},
{"db": "AS400_JMS",	"table": "IMARRD",	"fieldDesc": "Witness2FirstName",	"field": "IDFNAMW2"},
{"db": "AS400_JMS",	"table": "IMARRD",	"fieldDesc": "AliasFirstName",	"field": "IDALFN"},
{"db": "AS400_JMS",	"table": "IMARRD_ChargesAll_w_Keys",	"fieldDesc": "FirstName",	"field": "First_Name"},
{"db": "AS400_JMS",	"table": "IMMSTR",	"fieldDesc": "FirstName",	"field": "IMFNAM"},
{"db": "AS400_JMS",	"table": "IMFLDR",	"fieldDesc": "FirstName",	"field": "IFFNAM"},
{"db": "AS400_JMS",	"table": "IMFLDR",	"fieldDesc": "ArrestingOfficer1FirstName",	"field": "IFAO1F"},
{"db": "AS400_JMS",	"table": "IMFLDR",	"fieldDesc": "ArrestingOfficer2FirstName",	"field": "IFAO2F"},
{"db": "AS400_CDC_CMS",	"table": "DEFEND",	"fieldDesc": "FirstName",	"field": "DEFNAM"},
{"db": "AS400_CDC_CMS",	"table": "JUDGE",	"fieldDesc": "FirstName",	"field": "JT_JUDGE_FIRST_NAME"},
{"db": "EPR",	"table": "Offenders",	"fieldDesc": "FirstName",	"field": "FirstName"},
{"db": "EPR",	"table": "VictimPersons",	"fieldDesc": "FirstName",	"field": "FirstName"},
{"db": "CASTNetDB",	"table": "ArrestOfficer",	"fieldDesc": "FirstName",	"field": "FirstName"},
{"db": "CASTNetDB",	"table": "Person",	"fieldDesc": "FirstName",	"field": "FirstName"},
{"db": "CASTNetDB",	"table": "PersonAlias",	"fieldDesc": "FirstName",	"field": "FirstName"},
{"db": "CASTNetDB",	"table": "SpecialOfficerAlias",	"fieldDesc": "FirstName",	"field": "FirstName"},
{"db": "CASTNetDB",	"table": "vw_Person",	"fieldDesc": "FirstName",	"field": "FirstName"},
{"db": "CASTNetDB",	"table": "Person",	"fieldDesc": "SoundexFirstName",	"field": "SoundexFirstName"},
{"db": "CASTNetDB",	"table": "PersonAlias",	"fieldDesc": "SoundexFirstName",	"field": "SoundexFirstName"}]</t>
  </si>
  <si>
    <t>nc:PersonGivenName</t>
  </si>
  <si>
    <t>nc:PersonNameTextType</t>
  </si>
  <si>
    <t>Person</t>
  </si>
  <si>
    <t>/Person/PersonName/PersonGivenName
/nc:RoleOfPerson/nc:PersonName/nc:GivenName</t>
  </si>
  <si>
    <t>/nola:BookingExchange/j:Booking/j:BookingSubject/RoleOfPerson/PersonName/PersonGivenName</t>
  </si>
  <si>
    <t>fieldDesc: "FirstName"</t>
  </si>
  <si>
    <t>field: "IDFNAM"</t>
  </si>
  <si>
    <t>/nola:BookingExchange/j:Booking/j:BookingSubject/RoleOfPerson/PersonName/nola-ext:PersonNameAugmentation/nola-ext:PersonNameSoundex/PersonGivenName</t>
  </si>
  <si>
    <t>/nola:BookingExchange/j:Booking/j:Arrest/j:ArrestOfficial/RoleOfPerson/PersonName/PersonGivenName</t>
  </si>
  <si>
    <t>"db": "AS400_JMS","table": "IMARRD","fieldDesc": "ArrestingOfficer1FirstName","field": "IDFNAMAO"</t>
  </si>
  <si>
    <t xml:space="preserve">
{"db": "AS400_JMS",	"table": "IMARRD",	"fieldDesc": "ArrestingOfficer1FirstName",	"field": "IDFNAMAO"</t>
  </si>
  <si>
    <t>/nola:BookingExchange/j:Booking/j:Arrest/j:ArrestOfficial[1]/RoleOfPerson/PersonName/PersonGivenName</t>
  </si>
  <si>
    <t>fieldDesc: "ArrestingOfficer1FirstName"</t>
  </si>
  <si>
    <t>field: "IDFNAMAO"</t>
  </si>
  <si>
    <t>"db": "AS400_JMS","table": "IMARRD","fieldDesc": "TransportingOfficer2FirstName","field": "IDFNAMTO"</t>
  </si>
  <si>
    <t xml:space="preserve">
{"db": "AS400_JMS",	"table": "IMARRD",	"fieldDesc": "TransportingOfficer2FirstName",	"field": "IDFNAMTO"</t>
  </si>
  <si>
    <t>/nola:BookingExchange/j:Booking/j:Arrest/j:ArrestOfficial[2]/RoleOfPerson/PersonName/PersonGivenName</t>
  </si>
  <si>
    <t>fieldDesc: "TransportingOfficer2FirstName"</t>
  </si>
  <si>
    <t>field: "IDFNAMTO"</t>
  </si>
  <si>
    <t>"db": "AS400_JMS","table": "IMARRD","fieldDesc": "Witness1FirstName","field": "IDFNAMW1"</t>
  </si>
  <si>
    <t xml:space="preserve">
{"db": "AS400_JMS",	"table": "IMARRD",	"fieldDesc": "Witness1FirstName",	"field": "IDFNAMW1"</t>
  </si>
  <si>
    <t>fieldDesc: "Witness1FirstName"</t>
  </si>
  <si>
    <t>field: "IDFNAMW1"</t>
  </si>
  <si>
    <t>"db": "AS400_JMS","table": "IMARRD","fieldDesc": "Witness2FirstName","field": "IDFNAMW2"</t>
  </si>
  <si>
    <t xml:space="preserve">
{"db": "AS400_JMS",	"table": "IMARRD",	"fieldDesc": "Witness2FirstName",	"field": "IDFNAMW2"</t>
  </si>
  <si>
    <t>fieldDesc: "Witness2FirstName"</t>
  </si>
  <si>
    <t>field: "IDFNAMW2"</t>
  </si>
  <si>
    <t>"db": "AS400_JMS","table": "IMARRD","fieldDesc": "AliasFirstName","field": "IDALFN"</t>
  </si>
  <si>
    <t xml:space="preserve">
{"db": "AS400_JMS",	"table": "IMARRD",	"fieldDesc": "AliasFirstName",	"field": "IDALFN"</t>
  </si>
  <si>
    <t>em:PersonAlternateName</t>
  </si>
  <si>
    <t>/nola:BookingExchange/j:Booking/j:BookingSubject/RoleOfPerson/PersonName/nola-ext:PersonNameAugmentation/em:PersonAlternateName</t>
  </si>
  <si>
    <t>fieldDesc: "AliasFirstName"</t>
  </si>
  <si>
    <t>field: "IDALFN"</t>
  </si>
  <si>
    <t>"db": "AS400_JMS","table": "IMFLDR","fieldDesc": "FirstName","field": "IFFNAM"</t>
  </si>
  <si>
    <t xml:space="preserve">
{"db": "AS400_JMS",	"table": "IMFLDR",	"fieldDesc": "FirstName",	"field": "IFFNAM"</t>
  </si>
  <si>
    <t>field: "IFFNAM"</t>
  </si>
  <si>
    <t>j</t>
  </si>
  <si>
    <t>"db": "AS400_JMS","table": "IMFLDR","fieldDesc": "ArrestingOfficer1FirstName","field": "IFAO1F"</t>
  </si>
  <si>
    <t xml:space="preserve">
{"db": "AS400_JMS",	"table": "IMFLDR",	"fieldDesc": "ArrestingOfficer1FirstName",	"field": "IFAO1F"</t>
  </si>
  <si>
    <t>field: "IFAO1F"</t>
  </si>
  <si>
    <t>k</t>
  </si>
  <si>
    <t>"db": "AS400_JMS","table": "IMFLDR","fieldDesc": "ArrestingOfficer2FirstName","field": "IFAO2F"</t>
  </si>
  <si>
    <t xml:space="preserve">
{"db": "AS400_JMS",	"table": "IMFLDR",	"fieldDesc": "ArrestingOfficer2FirstName",	"field": "IFAO2F"</t>
  </si>
  <si>
    <t>fieldDesc: "ArrestingOfficer2FirstName"</t>
  </si>
  <si>
    <t>field: "IFAO2F"</t>
  </si>
  <si>
    <t>FullName</t>
  </si>
  <si>
    <t>A complete name of a person.</t>
  </si>
  <si>
    <t>"db": "AS400_JMS","table": "IMARRD","fieldDesc": "ArrestingOfficerName","field": "IDNAMEAO"</t>
  </si>
  <si>
    <t>[{"db": "AS400_JMS",	"table": "IMARRD",	"fieldDesc": "ArrestingOfficerName",	"field": "IDNAMEAO"</t>
  </si>
  <si>
    <t>[{"db": "AS400_JMS",	"table": "IMARRD",	"fieldDesc": "ArrestingOfficerName",	"field": "IDNAMEAO"},
{"db": "AS400_JMS",	"table": "IMARRD",	"fieldDesc": "TransportingOfficerName",	"field": "IDNAMETO"},
{"db": "AS400_JMS",	"table": "IMARRD",	"fieldDesc": "WitnessName1",	"field": "IDNAMEW1"},
{"db": "AS400_JMS",	"table": "IMARRD",	"fieldDesc": "WitnessName2",	"field": "IDNAMEW2"},
{"db": "EPR",	"table": "Gists",	"fieldDesc": "ArrestingOfficerName",	"field": "ArrestingOfficerName"},
{"db": "EPR",	"table": "Reports",	"fieldDesc": "DetectiveName",	"field": "DetectiveName"},
{"db": "EPR",	"table": "ChargePrefixTypes",	"fieldDesc": "Name",	"field": "Name"},
{"db": "EPR",	"table": "Reports",	"fieldDesc": "Officer1Name",	"field": "Officer1Name"},
{"db": "EPR",	"table": "Reports",	"fieldDesc": "Officer2Name",	"field": "Officer2Name"},
{"db": "EPR",	"table": "Reports",	"fieldDesc": "SupervisorName",	"field": "SupervisorName"},
{"db": "CASTNetDB",	"table": "ArrestOfficer",	"fieldDesc": "FirstName",	"field": "FirstName"},
{"db": "CASTNetDB",	"table": "SpecialOfficerWeapon",	"fieldDesc": "name",	"field": "name"},
{"db": "MC",	"table": "DigiCourt_Orleans.dbview.vw_AllWarrants",	"fieldDesc": "JudgeName",	"field": "judge"}]</t>
  </si>
  <si>
    <t>nc:PersonFullName</t>
  </si>
  <si>
    <t>/Person/PersonName/PersonFullName</t>
  </si>
  <si>
    <t>/nola:BookingExchange/j:Booking/j:Arrest/j:ArrestOfficial[1]/RoleOfPerson/PersonName/PersonFullName</t>
  </si>
  <si>
    <t>fieldDesc: "ArrestingOfficerName"</t>
  </si>
  <si>
    <t>field: "IDNAMEAO"</t>
  </si>
  <si>
    <t>/nola:BookingExchange/j:Booking/j:BookingSubject/RoleOfPerson/PersonName/nola-ext:PersonNameAugmentation/nola-ext:PersonNameSoundex/PersonFullName</t>
  </si>
  <si>
    <t>/nola:BookingExchange/j:Booking/j:Arrest/j:ArrestOfficial/RoleOfPerson/PersonName/PersonFullName</t>
  </si>
  <si>
    <t>"db": "AS400_JMS","table": "IMARRD","fieldDesc": "TransportingOfficerName","field": "IDNAMETO"</t>
  </si>
  <si>
    <t xml:space="preserve">
{"db": "AS400_JMS",	"table": "IMARRD",	"fieldDesc": "TransportingOfficerName",	"field": "IDNAMETO"</t>
  </si>
  <si>
    <t>/nola:BookingExchange/j:Booking/j:Arrest/j:ArrestOfficial[2]/RoleOfPerson/PersonName/PersonFullName</t>
  </si>
  <si>
    <t>fieldDesc: "TransportingOfficerName"</t>
  </si>
  <si>
    <t>field: "IDNAMETO"</t>
  </si>
  <si>
    <t>"db": "AS400_JMS","table": "IMARRD","fieldDesc": "WitnessName1","field": "IDNAMEW1"</t>
  </si>
  <si>
    <t xml:space="preserve">
{"db": "AS400_JMS",	"table": "IMARRD",	"fieldDesc": "WitnessName1",	"field": "IDNAMEW1"</t>
  </si>
  <si>
    <t>/nola:BookingExchange/j:Booking/j:BookingSubject/RoleOfPerson/PersonName/PersonFullName</t>
  </si>
  <si>
    <t>fieldDesc: "WitnessName1"</t>
  </si>
  <si>
    <t>field: "IDNAMEW1"</t>
  </si>
  <si>
    <t>"db": "AS400_JMS","table": "IMARRD","fieldDesc": "WitnessName2","field": "IDNAMEW2"</t>
  </si>
  <si>
    <t xml:space="preserve">
{"db": "AS400_JMS",	"table": "IMARRD",	"fieldDesc": "WitnessName2",	"field": "IDNAMEW2"</t>
  </si>
  <si>
    <t>fieldDesc: "WitnessName2"</t>
  </si>
  <si>
    <t>field: "IDNAMEW2"</t>
  </si>
  <si>
    <t>LastName</t>
  </si>
  <si>
    <t>A last name of a person.</t>
  </si>
  <si>
    <t>"db": "AS400_JMS","table": "IMARRD","fieldDesc": "LastName","field": "IDLNAM"</t>
  </si>
  <si>
    <t>[{"db": "AS400_JMS",	"table": "IMARRD",	"fieldDesc": "LastName",	"field": "IDLNAM"</t>
  </si>
  <si>
    <t>[{"db": "AS400_JMS",	"table": "IMARRD",	"fieldDesc": "LastName",	"field": "IDLNAM"},
{"db": "AS400_JMS",	"table": "IMARRD",	"fieldDesc": "AliasLastName",	"field": "IDALLN"},
{"db": "AS400_JMS",	"table": "IMARRD",	"fieldDesc": "ArrestingOfficer1LastName",	"field": "IDLNAMAO"},
{"db": "AS400_JMS",	"table": "IMARRD",	"fieldDesc": "TransportingOfficer2LastName",	"field": "IDLNAMTO"},
{"db": "AS400_JMS",	"table": "IMARRD",	"fieldDesc": "Witness1LastName",	"field": "IDLNAMW1"},
{"db": "AS400_JMS",	"table": "IMARRD",	"fieldDesc": "Witness2LastName",	"field": "IDLNAMW2"},
{"db": "AS400_JMS",	"table": "IMARRD_ChargesAll_w_Keys",	"fieldDesc": "LastName",	"field": "Last_Name"},
{"db": "AS400_JMS",	"table": "IMMSTR",	"fieldDesc": "LastName",	"field": "IMLNAM"},
{"db": "AS400_JMS",	"table": "IMFLDR",	"fieldDesc": "Lastname",	"field": "IFLNAM"},
{"db": "AS400_JMS",	"table": "IMFLDR",	"fieldDesc": "ArrestingOfficer1LastName",	"field": "IFAO1L"},
{"db": "AS400_JMS",	"table": "IMFLDR",	"fieldDesc": "ArrestingOfficer2LastName",	"field": "IFAO2L"},
{"db": "AS400_CDC_CMS",	"table": "DEFEND",	"fieldDesc": "LastName",	"field": "DELNAM"},
{"db": "AS400_CDC_CMS",	"table": "JUDGE",	"fieldDesc": "LastName",	"field": "JT_JUDGE_LAST_NAME"},
{"db": "EPR",	"table": "Offenders",	"fieldDesc": "LastName",	"field": "LastName"},
{"db": "EPR",	"table": "VictimPersons",	"fieldDesc": "LastName",	"field": "LastName"},
{"db": "CASTNetDB",	"table": "Person",	"fieldDesc": "SoundexLastName",	"field": "SoundexLastName"},
{"db": "CASTNetDB",	"table": "PersonAlias",	"fieldDesc": "SoundexLastName",	"field": "SoundexLastName"}]</t>
  </si>
  <si>
    <t>nc:PersonSurName</t>
  </si>
  <si>
    <t>/Person/PersonName/PersonSurName</t>
  </si>
  <si>
    <t>/nola:BookingExchange/j:Booking/j:BookingSubject/RoleOfPerson/PersonName/PersonSurName</t>
  </si>
  <si>
    <t>fieldDesc: "LastName"</t>
  </si>
  <si>
    <t>field: "IDLNAM"</t>
  </si>
  <si>
    <t>/nola:BookingExchange/j:Booking/j:BookingSubject/RoleOfPerson/PersonName/nola-ext:PersonNameAugmentation/nola-ext:PersonNameSoundex/PersonSurName</t>
  </si>
  <si>
    <t>/nola:BookingExchange/j:Booking/j:Arrest/j:ArrestOfficial/RoleOfPerson/PersonName/PersonSurName</t>
  </si>
  <si>
    <t>"db": "AS400_JMS","table": "IMARRD","fieldDesc": "AliasLastName","field": "IDALLN"</t>
  </si>
  <si>
    <t xml:space="preserve">
{"db": "AS400_JMS",	"table": "IMARRD",	"fieldDesc": "AliasLastName",	"field": "IDALLN"</t>
  </si>
  <si>
    <t>fieldDesc: "AliasLastName"</t>
  </si>
  <si>
    <t>field: "IDALLN"</t>
  </si>
  <si>
    <t>"db": "AS400_JMS","table": "IMARRD","fieldDesc": "ArrestingOfficer1LastName","field": "IDLNAMAO"</t>
  </si>
  <si>
    <t xml:space="preserve">
{"db": "AS400_JMS",	"table": "IMARRD",	"fieldDesc": "ArrestingOfficer1LastName",	"field": "IDLNAMAO"</t>
  </si>
  <si>
    <t>/nola:BookingExchange/j:Booking/j:Arrest/j:ArrestOfficial[1]/RoleOfPerson/PersonName/PersonSurName</t>
  </si>
  <si>
    <t>fieldDesc: "ArrestingOfficer1LastName"</t>
  </si>
  <si>
    <t>field: "IDLNAMAO"</t>
  </si>
  <si>
    <t>"db": "AS400_JMS","table": "IMARRD","fieldDesc": "TransportingOfficer2LastName","field": "IDLNAMTO"</t>
  </si>
  <si>
    <t xml:space="preserve">
{"db": "AS400_JMS",	"table": "IMARRD",	"fieldDesc": "TransportingOfficer2LastName",	"field": "IDLNAMTO"</t>
  </si>
  <si>
    <t>/nola:BookingExchange/j:Booking/j:Arrest/j:ArrestOfficial[2]/RoleOfPerson/PersonName/PersonSurName</t>
  </si>
  <si>
    <t>fieldDesc: "TransportingOfficer2LastName"</t>
  </si>
  <si>
    <t>field: "IDLNAMTO"</t>
  </si>
  <si>
    <t>"db": "AS400_JMS","table": "IMARRD","fieldDesc": "Witness1LastName","field": "IDLNAMW1"</t>
  </si>
  <si>
    <t xml:space="preserve">
{"db": "AS400_JMS",	"table": "IMARRD",	"fieldDesc": "Witness1LastName",	"field": "IDLNAMW1"</t>
  </si>
  <si>
    <t>fieldDesc: "Witness1LastName"</t>
  </si>
  <si>
    <t>field: "IDLNAMW1"</t>
  </si>
  <si>
    <t>"db": "AS400_JMS","table": "IMARRD","fieldDesc": "Witness2LastName","field": "IDLNAMW2"</t>
  </si>
  <si>
    <t xml:space="preserve">
{"db": "AS400_JMS",	"table": "IMARRD",	"fieldDesc": "Witness2LastName",	"field": "IDLNAMW2"</t>
  </si>
  <si>
    <t>fieldDesc: "Witness2LastName"</t>
  </si>
  <si>
    <t>field: "IDLNAMW2"</t>
  </si>
  <si>
    <t>"db": "AS400_JMS","table": "IMFLDR","fieldDesc": "Lastname","field": "IFLNAM"</t>
  </si>
  <si>
    <t xml:space="preserve">
{"db": "AS400_JMS",	"table": "IMFLDR",	"fieldDesc": "Lastname",	"field": "IFLNAM"</t>
  </si>
  <si>
    <t>fieldDesc: "Lastname"</t>
  </si>
  <si>
    <t>field: "IFLNAM"</t>
  </si>
  <si>
    <t>"db": "AS400_JMS","table": "IMFLDR","fieldDesc": "ArrestingOfficer1LastName","field": "IFAO1L"</t>
  </si>
  <si>
    <t xml:space="preserve">
{"db": "AS400_JMS",	"table": "IMFLDR",	"fieldDesc": "ArrestingOfficer1LastName",	"field": "IFAO1L"</t>
  </si>
  <si>
    <t>field: "IFAO1L"</t>
  </si>
  <si>
    <t>"db": "AS400_JMS","table": "IMFLDR","fieldDesc": "ArrestingOfficer2LastName","field": "IFAO2L"</t>
  </si>
  <si>
    <t xml:space="preserve">
{"db": "AS400_JMS",	"table": "IMFLDR",	"fieldDesc": "ArrestingOfficer2LastName",	"field": "IFAO2L"</t>
  </si>
  <si>
    <t>fieldDesc: "ArrestingOfficer2LastName"</t>
  </si>
  <si>
    <t>field: "IFAO2L"</t>
  </si>
  <si>
    <t>MiddleName</t>
  </si>
  <si>
    <t>A middle name or initial of a person.</t>
  </si>
  <si>
    <t>"db": "AS400_JMS","table": "IMARRD","fieldDesc": "MiddleInitial","field": "IDMINI"</t>
  </si>
  <si>
    <t>[{"db": "AS400_JMS",	"table": "IMARRD",	"fieldDesc": "MiddleInitial",	"field": "IDMINI"</t>
  </si>
  <si>
    <t xml:space="preserve">[{"db": "AS400_JMS",	"table": "IMARRD",	"fieldDesc": "MiddleInitial",	"field": "IDMINI"},
{"db": "AS400_JMS",	"table": "IMMSTR",	"fieldDesc": "MiddleInitial",	"field": "IMMINI"},
{"db": "AS400_JMS",	"table": "IMFLDR",	"fieldDesc": "MiddleInitial",	"field": "IFMINI"},
{"db": "AS400_CDC_CMS",	"table": "DEFEND",	"fieldDesc": "MiddleInitial",	"field": "DEMNAM"},
{"db": "AS400_CDC_CMS",	"table": "JUDGE",	"fieldDesc": "MiddleInitial",	"field": "JT_MIDDLE_INITIAL"},
{"db": "CASTNetDB",	"table": "Person",	"fieldDesc": "MiddleInitial",	"field": "MiddleInitial"},
{"db": "CASTNetDB",	"table": "PersonAlias",	"fieldDesc": "MiddleInitial",	"field": "MiddleInitial"},
{"db": "CASTNetDB",	"table": "vw_Person",	"fieldDesc": "MiddleInitial",	"field": "MiddleInitial"},
{"db": "MC",	"table": "Digicourt_Orleans.dbview.vw_ArrestDetail", "fieldDesc": "MiddleInitial", "field": "MI"},
{"db": "MC",	"table": "Digicourt_Orleans.dbview.vw_CriminalCaseFileDetail", "fieldDesc": "MiddleInitial",	"field": "MI"},
{"db": "MC",	"table": "DigiCourt_Orleans.dbview.vw_AllWarrants",	"fieldDesc": "MiddleInitial",	"field": "MI"},
{"db": "MC",	"table": "Digicourt_Orleans.dbview.vw_ArrestDetail",	"fieldDesc": "OfficerMiddleInitial",	"field": "officer_mi"}]
</t>
  </si>
  <si>
    <t>nc:PersonMiddleName</t>
  </si>
  <si>
    <t>/Person/PersonName/PersonMiddleName</t>
  </si>
  <si>
    <t>/nola:BookingExchange/j:Booking/j:BookingSubject/RoleOfPerson/PersonName/PersonMiddleName</t>
  </si>
  <si>
    <t>fieldDesc: "MiddleInitial"</t>
  </si>
  <si>
    <t>field: "IDMINI"</t>
  </si>
  <si>
    <t>/nola:BookingExchange/j:Booking/j:BookingSubject/RoleOfPerson/PersonName/nola-ext:PersonNameAugmentation/nola-ext:PersonNameSoundex/PersonMiddleName</t>
  </si>
  <si>
    <t>/nola:BookingExchange/j:Booking/j:Arrest/j:ArrestOfficial/RoleOfPerson/PersonName/PersonMiddleName</t>
  </si>
  <si>
    <t>"db": "AS400_JMS","table": "IMFLDR","fieldDesc": "MiddleInitial","field": "IFMINI"</t>
  </si>
  <si>
    <t xml:space="preserve">
{"db": "AS400_JMS",	"table": "IMFLDR",	"fieldDesc": "MiddleInitial",	"field": "IFMINI"</t>
  </si>
  <si>
    <t>field: "IFMINI"</t>
  </si>
  <si>
    <t>NameSuffix</t>
  </si>
  <si>
    <t>A term appended after the family name that qualifies the name. E.g., Sr, Jr, III.</t>
  </si>
  <si>
    <t>"db": "AS400_JMS","table": "IMARRD","fieldDesc": "NameSuffix","field": "IDNAMS"</t>
  </si>
  <si>
    <t>[{"db": "AS400_JMS",		"table": "IMARRD",	"fieldDesc": "NameSuffix",	"field": "IDNAMS"</t>
  </si>
  <si>
    <t xml:space="preserve">[{"db": "AS400_JMS",		"table": "IMARRD",	"fieldDesc": "NameSuffix",	"field": "IDNAMS"},
{"db": "AS400_JMS",		"table": "IMMSTR",	"fieldDesc": "NameSuffix",	"field": "IMNAMS"},
{"db": "AS400_JMS",		"table": "IMFLDR",	"fieldDesc": "NameSuffix",	"field": "IFNAMS"},
{"db": "AS400_CDC_CMS",	"table": "DEFEND",	"fieldDesc": "NameSuffix",	"field": "DEJRSR"},
{"db": "CASTNetDB",		"table": "Person",	"fieldDesc": "Suffix",	"field": "Suffix"},
{"db": "CASTNetDB",		"table": "PersonAlias",	"fieldDesc": "Suffix",	"field": "Suffix"},
{"db": "MC",	"table": "Digicourt_Orleans.dbview.vw_ArrestDetail",	"fieldDesc": "NameSuffix",	"field": "SUFFIX"},
{"db": "MC",	"table": "Digicourt_Orleans.dbview.vw_CriminalCaseFileDetail", "fieldDesc": "NameSuffix",	"field": "SUFFIX"},
{"db": "MC",	"table": "DigiCourt_Orleans.dbview.vw_AllWarrants",	"fieldDesc": "NameSuffix",	"field": "SUFFIX"}]
</t>
  </si>
  <si>
    <t>nc:PersonNameSuffixText</t>
  </si>
  <si>
    <t>/Person/PersonName/PersonNameSuffixText</t>
  </si>
  <si>
    <t>/nola:BookingExchange/j:Booking/j:BookingSubject/RoleOfPerson/PersonName/PersonNameSuffixText</t>
  </si>
  <si>
    <t>fieldDesc: "NameSuffix"</t>
  </si>
  <si>
    <t>field: "IDNAMS"</t>
  </si>
  <si>
    <t>/nola:BookingExchange/j:Booking/j:BookingSubject/RoleOfPerson/PersonName/nola-ext:PersonNameAugmentation/nola-ext:PersonNameSoundex/PersonNameSuffixText</t>
  </si>
  <si>
    <t>/nola:BookingExchange/j:Booking/j:Arrest/j:ArrestOfficial/RoleOfPerson/PersonName/PersonNameSuffixText</t>
  </si>
  <si>
    <t>"db": "AS400_JMS","table": "IMFLDR","fieldDesc": "NameSuffix","field": "IFNAMS"</t>
  </si>
  <si>
    <t xml:space="preserve">
{"db": "AS400_JMS",		"table": "IMFLDR",	"fieldDesc": "NameSuffix",	"field": "IFNAMS"</t>
  </si>
  <si>
    <t>field: "IFNAMS"</t>
  </si>
  <si>
    <t>Release</t>
  </si>
  <si>
    <t>ReasonforRelease</t>
  </si>
  <si>
    <t>An event or activity of review for the purpose of determining the release of a subject.</t>
  </si>
  <si>
    <t>"db": "AS400_JMS","table": "IMFLDR","fieldDesc": "ReasonforRelease","field": "IFRLRT"</t>
  </si>
  <si>
    <t>[{"db": "AS400_JMS",	"table": "IMFLDR",	"fieldDesc": "ReasonforRelease",	"field": "IFRLRT"</t>
  </si>
  <si>
    <t>[{"db": "AS400_JMS",	"table": "IMFLDR",	"fieldDesc": "ReasonforRelease",	"field": "IFRLRT"},
{"db": "AS400_JMS",	"table": "IMDSPL",	"fieldDesc": "ReleaseReason",	"field": "DLTRSN"}]</t>
  </si>
  <si>
    <t>nc:CommentText</t>
  </si>
  <si>
    <t>/j:BookingRelease/ActivityComment/CommentText</t>
  </si>
  <si>
    <t>/nola:BookingExchange/j:Booking/j:BookingRelease/ActivityComment/CommentText</t>
  </si>
  <si>
    <t>fieldDesc: "ReasonforRelease"</t>
  </si>
  <si>
    <t>field: "IFRLRT"</t>
  </si>
  <si>
    <t>ReleaseDate</t>
  </si>
  <si>
    <t>A release date of a subject from booking or from booking detention.</t>
  </si>
  <si>
    <t>"db": "AS400_JMS","table": "IMFLDR","fieldDesc": "ReleaseDate","field": "IFRLDT"</t>
  </si>
  <si>
    <t>[{"db": "AS400_JMS",	"table": "IMFLDR",	"fieldDesc": "ReleaseDate",	"field": "IFRLDT"</t>
  </si>
  <si>
    <t xml:space="preserve">[{"db": "AS400_JMS",	"table": "IMFLDR",	"fieldDesc": "ReleaseDate",	"field": "IFRLDT"},
{"db": "AS400_JMS",	"table": "IMFLDR",	"fieldDesc": "ReleaseAMPM",	"field": "IFRLTM"},
{"db": "AS400_JMS",	"table": "IMFLDR",	"fieldDesc": "ReleaseTime",	"field": "IFRLPN"},
{"db": "AS400_JMS",	"table": "IMDSPL",	"fieldDesc": "ReleaseDate",	"field": "DLTRLDT"},
{"db": "AS400_JMS",	"table": "IMTYPH",	"fieldDesc": "ReleasedDate",	"field": "ITERLDT"},
{"db": "CASTNetDB",	"table": "PersonProbation",	"fieldDesc": "ReleaseDate",	"field": "ReleaseDate"},
{"db": "MC",	"table": "Digicourt_Orleans.dbview.vw_ArrestDetail",	"fieldDesc": "ReleaseDate",	"field": "RELEASEDATE"}]
</t>
  </si>
  <si>
    <t>/j:BookingRelease/ActivityDate/DateTime</t>
  </si>
  <si>
    <t>/nola:BookingExchange/j:Booking/j:BookingRelease/ActivityDate/DateTime</t>
  </si>
  <si>
    <t>fieldDesc: "ReleaseDate"</t>
  </si>
  <si>
    <t>field: "IFRLDT"</t>
  </si>
  <si>
    <t>"db": "AS400_JMS","table": "IMFLDR","fieldDesc": "ReleaseAMPM","field": "IFRLTM"</t>
  </si>
  <si>
    <t xml:space="preserve">
{"db": "AS400_JMS",	"table": "IMFLDR",	"fieldDesc": "ReleaseAMPM",	"field": "IFRLTM"</t>
  </si>
  <si>
    <t>fieldDesc: "ReleaseAMPM"</t>
  </si>
  <si>
    <t>field: "IFRLTM"</t>
  </si>
  <si>
    <t>"db": "AS400_JMS","table": "IMFLDR","fieldDesc": "ReleaseTime","field": "IFRLPN"</t>
  </si>
  <si>
    <t xml:space="preserve">
{"db": "AS400_JMS",	"table": "IMFLDR",	"fieldDesc": "ReleaseTime",	"field": "IFRLPN"</t>
  </si>
  <si>
    <t>fieldDesc: "ReleaseTime"</t>
  </si>
  <si>
    <t>field: "IFRLPN"</t>
  </si>
  <si>
    <t>ScheduledReleaseDate</t>
  </si>
  <si>
    <t>A scheduled released date of a subject from booking or from booking detention.</t>
  </si>
  <si>
    <t>"db": "AS400_JMS","table": "IMFLDR","fieldDesc": "ScheduledReleaseDate","field": "IFSCRD"</t>
  </si>
  <si>
    <t>[{"db": "AS400_JMS",	"table": "IMFLDR",	"fieldDesc": "ScheduledReleaseDate",	"field": "IFSCRD"}]</t>
  </si>
  <si>
    <t>/j:BookingRelease/ActivityScheduledDate/DateTime</t>
  </si>
  <si>
    <t>/nola:BookingExchange/j:Booking/j:BookingRelease/ActivityScheduledDate/DateTime</t>
  </si>
  <si>
    <t>fieldDesc: "ScheduledReleaseDate"</t>
  </si>
  <si>
    <t>field: "IFSCRD"</t>
  </si>
  <si>
    <t>Statute</t>
  </si>
  <si>
    <t>ChargeStatute</t>
  </si>
  <si>
    <t>The text of the offense identified in the State statute or section of a statute.</t>
  </si>
  <si>
    <t>"db": "AS400_JMS","table": "IMARRD","fieldDesc": "ChargeStatute","field": "IDSTA1"</t>
  </si>
  <si>
    <t>[{"db": "AS400_JMS",	"table": "IMARRD",	"fieldDesc": "ChargeStatute",	"field": "IDSTA1"</t>
  </si>
  <si>
    <t xml:space="preserve">[{"db": "AS400_JMS",	"table": "IMARRD",	"fieldDesc": "ChargeStatute",	"field": "IDSTA1"},
{"db": "AS400_JMS",	"table": "IMARRD",	"fieldDesc": "ChargeStatute",	"field": "IDSTA2"},
{"db": "AS400_JMS",	"table": "IMARRD",	"fieldDesc": "ChargeStatute",	"field": "IDSTA3"},
{"db": "AS400_JMS",	"table": "IMARRD",	"fieldDesc": "ChargeStatute",	"field": "IDSTA4"},
{"db": "AS400_JMS",	"table": "IMARRD",	"fieldDesc": "ChargeStatute",	"field": "IDSTA5"},
{"db": "AS400_JMS",	"table": "IMARRD",	"fieldDesc": "ChargeStatute",	"field": "IDSTA6"},
{"db": "AS400_JMS",	"table": "IMCHGT",	"fieldDesc": "ChargeStatute",	"field": "CTSTAT"},
{"db": "AS400_CDC_CMS",	"table": "CHRGLOG",	"fieldDesc": "ChargeStatute",	"field": "CXSTAT"},
{"db": "AS400_CDC_CMS",	"table": "DEFCHG",	"fieldDesc": "ChargeStatusFlag", "field": "DCCFLG"},
{"db": "CASTNetDB",	"table": "Charge",	"fieldDesc": "Statute",	"field": "Statute"},
{"db": "CASTNetDB",	"table": "PersonCharge",	"fieldDesc": "Statute",	"field": "Statute"},
{"db": "CASTNetDB",	"table": "Charge",	"fieldDesc": "Charge",	"field": "Charge"},
{"db": "CASTNetDB",	"table": "PersonChargeDisposition", "fieldDesc": "Charge",	"field": "Charge"},
{"db": "CASTNetDB",	"table": "Warrant",	"fieldDesc": "Charge",	"field": "Charge"},
{"db": "CASTNetDB",	"table": "Warrant_bak20190801", "fieldDesc": "Charge",	"field": "Charge"},
{"db": "CASTNetDB",	"table": "Warrant_Staging",	"fieldDesc": "Charge",	"field": "Charge"},
{"db": "CASTNetDB",	"table": "Warrant_bak20190801", "fieldDesc": "Charge",	"field": "Charge"},
{"db": "CASTNetDB",	"table": "Warrant_Staging",	"fieldDesc": "Charge",	"field": "Charge"},
{"db": "MC",	"table": "Digicourt_Orleans.dbview.vw_CriminalCaseFileDetail", "fieldDesc": "ChargeDescription", "field": "      statute_description"},
{"db": "MC",	"table": "Digicourt_Orleans.dbview.vw_CriminalCaseFileDetail",	"fieldDesc": "ChargeStatute",	"field": "statute_code"},
{"db": "MC",	"table": "Digicourt_Orleans.dbview.vw_CriminalCaseFileDetail",	"fieldDesc": "ChargeStatuteID",	"field": "STATUTE_ID"},
{"db": "EPR",	"table": "OffenderCharges",	"fieldDesc": "OffenderChargeID",	"field": "OffenderChargeID"},
{"db": "AS400_CDC_CMS",	"table": "LookUp_IMCHGD_Dispositions",	"fieldDesc": "ChargeStatus",	"field": "CHARGESTATUS"},
{"db": "MC",	"table": "Digicourt_Orleans.dbview.vw_CriminalCaseFileDetail",	"fieldDesc": "UserCode",	"field": "USER_CODE"}]
</t>
  </si>
  <si>
    <t>/j:ChargeStatute/j:StatuteCodeIdentification/IdentificationID</t>
  </si>
  <si>
    <t>/nola:BookingExchange/j:Booking/j:Arrest/j:ArrestCharge/j:ChargeStatute/j:StatuteCodeIdentification/IdentificationID</t>
  </si>
  <si>
    <t>fieldDesc: "ChargeStatute"</t>
  </si>
  <si>
    <t>field: "IDSTA1"</t>
  </si>
  <si>
    <t>"db": "AS400_JMS","table": "IMARRD","fieldDesc": "ChargeStatute","field": "IDSTA2"</t>
  </si>
  <si>
    <t xml:space="preserve">
{"db": "AS400_JMS",	"table": "IMARRD",	"fieldDesc": "ChargeStatute",	"field": "IDSTA2"</t>
  </si>
  <si>
    <t>field: "IDSTA2"</t>
  </si>
  <si>
    <t>"db": "AS400_JMS","table": "IMARRD","fieldDesc": "ChargeStatute","field": "IDSTA3"</t>
  </si>
  <si>
    <t xml:space="preserve">
{"db": "AS400_JMS",	"table": "IMARRD",	"fieldDesc": "ChargeStatute",	"field": "IDSTA3"</t>
  </si>
  <si>
    <t>field: "IDSTA3"</t>
  </si>
  <si>
    <t>"db": "AS400_JMS","table": "IMARRD","fieldDesc": "ChargeStatute","field": "IDSTA4"</t>
  </si>
  <si>
    <t xml:space="preserve">
{"db": "AS400_JMS",	"table": "IMARRD",	"fieldDesc": "ChargeStatute",	"field": "IDSTA4"</t>
  </si>
  <si>
    <t>field: "IDSTA4"</t>
  </si>
  <si>
    <t>"db": "AS400_JMS","table": "IMARRD","fieldDesc": "ChargeStatute","field": "IDSTA5"</t>
  </si>
  <si>
    <t xml:space="preserve">
{"db": "AS400_JMS",	"table": "IMARRD",	"fieldDesc": "ChargeStatute",	"field": "IDSTA5"</t>
  </si>
  <si>
    <t>field: "IDSTA5"</t>
  </si>
  <si>
    <t>"db": "AS400_JMS","table": "IMARRD","fieldDesc": "ChargeStatute","field": "IDSTA6"</t>
  </si>
  <si>
    <t xml:space="preserve">
{"db": "AS400_JMS",	"table": "IMARRD",	"fieldDesc": "ChargeStatute",	"field": "IDSTA6"</t>
  </si>
  <si>
    <t>field: "IDSTA6"</t>
  </si>
  <si>
    <t>ChargeSubparagraph</t>
  </si>
  <si>
    <t>A legal or formal description of a charge.</t>
  </si>
  <si>
    <t>"db": "AS400_JMS","table": "IMARRD","fieldDesc": "ChargeSubparagraph","field": "IDSUB1"</t>
  </si>
  <si>
    <t>[{"db": "AS400_JMS",	"table": "IMARRD",	"fieldDesc": "ChargeSubparagraph",	"field": "IDSUB1"</t>
  </si>
  <si>
    <t xml:space="preserve">[{"db": "AS400_JMS",	"table": "IMARRD",	"fieldDesc": "ChargeSubparagraph",	"field": "IDSUB1"},
{"db": "AS400_JMS",	"table": "IMARRD",	"fieldDesc": "ChargeSubparagraph",	"field": "IDSUB2"},
{"db": "AS400_JMS",	"table": "IMARRD",	"fieldDesc": "ChargeSubparagraph",	"field": "IDSUB3"},
{"db": "AS400_JMS",	"table": "IMARRD",	"fieldDesc": "ChargeSubparagraph",	"field": "IDSUB4"},
{"db": "AS400_JMS",	"table": "IMARRD",	"fieldDesc": "ChargeSubparagraph",	"field": "IDSUB5"},
{"db": "AS400_JMS",	"table": "IMARRD",	"fieldDesc": "ChargeSubparagraph",	"field": "IDSUB6"},
{"db": "AS400_JMS",	"table": "IMARRD_ChargesAll_w_Keys",	"fieldDesc": "ChargeSubparagraph",	"field": "Subparagraph"},
{"db": "AS400_JMS",	"table": "IMCHGT",	"fieldDesc": "ChargeSubparagraph",	"field": "CTSUBP"},
{"db": "AS400_JMS",	"table": "IMDSPL",	"fieldDesc": "ChargeSubparagraph",	"field": "DLVIOC"},
{"db": "AS400_CDC_CMS",	"table": "CHRGLOG",	"fieldDesc": "ChargeSubparagraph",	"field": "CXSUBP"},
{"db": "AS400_CDC_CMS",	"table": "DEFCHG",	"fieldDesc": "ChargeType",	"field": "DCTYPE"},
{"db": "CASTNetDB",	"table": "Charge",	"fieldDesc": "Subparagraph",	"field": "Subparagraph"},
{"db": "CASTNetDB",	"table": "PersonCharge",	"fieldDesc": "Subparagraph",	"field": "Subparagraph"}]
</t>
  </si>
  <si>
    <t>/j:ArrestCharge/j:ChargeStatute/nola-ext:ChargeStatuteAugmentation/nola-ext:StatuteCodeSectionSubparagraphIdentification</t>
  </si>
  <si>
    <t>/nola:BookingExchange/j:Booking/j:Arrest/j:ArrestCharge/j:ChargeStatute/nola-ext:ChargeStatuteAugmentation/nola-ext:StatuteCodeSectionSubparagraphIdentification/IdentificationID</t>
  </si>
  <si>
    <t>fieldDesc: "ChargeSubparagraph"</t>
  </si>
  <si>
    <t>field: "IDSUB1"</t>
  </si>
  <si>
    <t>"db": "AS400_JMS","table": "IMARRD","fieldDesc": "ChargeSubparagraph","field": "IDSUB2"</t>
  </si>
  <si>
    <t xml:space="preserve">
{"db": "AS400_JMS",	"table": "IMARRD",	"fieldDesc": "ChargeSubparagraph",	"field": "IDSUB2"</t>
  </si>
  <si>
    <t>field: "IDSUB2"</t>
  </si>
  <si>
    <t>"db": "AS400_JMS","table": "IMARRD","fieldDesc": "ChargeSubparagraph","field": "IDSUB3"</t>
  </si>
  <si>
    <t xml:space="preserve">
{"db": "AS400_JMS",	"table": "IMARRD",	"fieldDesc": "ChargeSubparagraph",	"field": "IDSUB3"</t>
  </si>
  <si>
    <t>field: "IDSUB3"</t>
  </si>
  <si>
    <t>"db": "AS400_JMS","table": "IMARRD","fieldDesc": "ChargeSubparagraph","field": "IDSUB4"</t>
  </si>
  <si>
    <t xml:space="preserve">
{"db": "AS400_JMS",	"table": "IMARRD",	"fieldDesc": "ChargeSubparagraph",	"field": "IDSUB4"</t>
  </si>
  <si>
    <t>field: "IDSUB4"</t>
  </si>
  <si>
    <t>"db": "AS400_JMS","table": "IMARRD","fieldDesc": "ChargeSubparagraph","field": "IDSUB5"</t>
  </si>
  <si>
    <t xml:space="preserve">
{"db": "AS400_JMS",	"table": "IMARRD",	"fieldDesc": "ChargeSubparagraph",	"field": "IDSUB5"</t>
  </si>
  <si>
    <t>field: "IDSUB5"</t>
  </si>
  <si>
    <t>"db": "AS400_JMS","table": "IMARRD","fieldDesc": "ChargeSubparagraph","field": "IDSUB6"</t>
  </si>
  <si>
    <t xml:space="preserve">
{"db": "AS400_JMS",	"table": "IMARRD",	"fieldDesc": "ChargeSubparagraph",	"field": "IDSUB6"</t>
  </si>
  <si>
    <t>field: "IDSUB6"</t>
  </si>
  <si>
    <t>ChargeViolation</t>
  </si>
  <si>
    <t>A description of a statute.</t>
  </si>
  <si>
    <t>"db": "AS400_JMS","table": "IMARRD","fieldDesc": "ChargeViolation","field": "IDVIO1"</t>
  </si>
  <si>
    <t>[{"db": "AS400_JMS",	"table": "IMARRD",	"fieldDesc": "ChargeViolation",	"field": "IDVIO1"</t>
  </si>
  <si>
    <t>[{"db": "AS400_JMS",	"table": "IMARRD",	"fieldDesc": "ChargeViolation",	"field": "IDVIO1"},
{"db": "AS400_JMS",	"table": "IMARRD",	"fieldDesc": "ChargeViolation",	"field": "IDVIO2"},
{"db": "AS400_JMS",	"table": "IMARRD",	"fieldDesc": "ChargeViolation",	"field": "IDVIO3"},
{"db": "AS400_JMS",	"table": "IMARRD",	"fieldDesc": "ChargeViolation",	"field": "IDVIO4"},
{"db": "AS400_JMS",	"table": "IMARRD",	"fieldDesc": "ChargeViolation",	"field": "IDVIO5"},
{"db": "AS400_JMS",	"table": "IMARRD",	"fieldDesc": "ChargeViolation",	"field": "IDVIO6"},
{"db": "AS400_JMS",	"table": "IMARRD_ChargesAll_w_Keys",	"fieldDesc": "ChargeViolation",	"field": "Violation"},
{"db": "AS400_JMS",	"table": "IMCHGT",	"fieldDesc": "ChargeViolation",	"field": "CTVIOL"},
{"db": "AS400_JMS",	"table": "IMDSPL",	"fieldDesc": "ChargeViolation",	"field": "DLSTAT"},
{"db": "AS400_CDC_CMS",	"table": "CHRGLOG",	"fieldDesc": "ChargeViolation",	"field": "CXVIOL"},
{"db": "CASTNetDB",	"table": "Charge",	"fieldDesc": "Violation",	"field": "Violation"},
{"db": "CASTNetDB",	"table": "PersonCharge",	"fieldDesc": "Violation",	"field": "Violation"}]</t>
  </si>
  <si>
    <t xml:space="preserve"> nc:IdentificationID</t>
  </si>
  <si>
    <t>/j:ArrestCharge/j:ChargeStatute/j:StatuteCodeSectionIdentification/IdentificationID</t>
  </si>
  <si>
    <t>/nola:BookingExchange/j:Booking/j:Arrest/j:ArrestCharge/j:ChargeStatute/j:StatuteCodeSectionIdentification/IdentificationID</t>
  </si>
  <si>
    <t>fieldDesc: "ChargeViolation"</t>
  </si>
  <si>
    <t>field: "IDVIO1"</t>
  </si>
  <si>
    <t>"db": "AS400_JMS","table": "IMARRD","fieldDesc": "ChargeViolation","field": "IDVIO2"</t>
  </si>
  <si>
    <t xml:space="preserve">
{"db": "AS400_JMS",	"table": "IMARRD",	"fieldDesc": "ChargeViolation",	"field": "IDVIO2"</t>
  </si>
  <si>
    <t>field: "IDVIO2"</t>
  </si>
  <si>
    <t>"db": "AS400_JMS","table": "IMARRD","fieldDesc": "ChargeViolation","field": "IDVIO3"</t>
  </si>
  <si>
    <t xml:space="preserve">
{"db": "AS400_JMS",	"table": "IMARRD",	"fieldDesc": "ChargeViolation",	"field": "IDVIO3"</t>
  </si>
  <si>
    <t>field: "IDVIO3"</t>
  </si>
  <si>
    <t>"db": "AS400_JMS","table": "IMARRD","fieldDesc": "ChargeViolation","field": "IDVIO4"</t>
  </si>
  <si>
    <t xml:space="preserve">
{"db": "AS400_JMS",	"table": "IMARRD",	"fieldDesc": "ChargeViolation",	"field": "IDVIO4"</t>
  </si>
  <si>
    <t>field: "IDVIO4"</t>
  </si>
  <si>
    <t>"db": "AS400_JMS","table": "IMARRD","fieldDesc": "ChargeViolation","field": "IDVIO5"</t>
  </si>
  <si>
    <t xml:space="preserve">
{"db": "AS400_JMS",	"table": "IMARRD",	"fieldDesc": "ChargeViolation",	"field": "IDVIO5"</t>
  </si>
  <si>
    <t>field: "IDVIO5"</t>
  </si>
  <si>
    <t>"db": "AS400_JMS","table": "IMARRD","fieldDesc": "ChargeViolation","field": "IDVIO6"</t>
  </si>
  <si>
    <t xml:space="preserve">
{"db": "AS400_JMS",	"table": "IMARRD",	"fieldDesc": "ChargeViolation",	"field": "IDVIO6"</t>
  </si>
  <si>
    <t>field: "IDVIO6"</t>
  </si>
  <si>
    <t>Table of Contents</t>
  </si>
  <si>
    <t>Expanded_ROWS</t>
  </si>
  <si>
    <t>Expanded Booking Mapping Spreadsheet</t>
  </si>
  <si>
    <t>A summary of the 1:1 mapping of XPATH:DataBase table for both the IMMARD and IMFLDR table.</t>
  </si>
  <si>
    <t>A 1:1 mapping of XPATH:DataBase table for the IMMARD table.</t>
  </si>
  <si>
    <t>Booking Message</t>
  </si>
  <si>
    <t>Release Message</t>
  </si>
  <si>
    <r>
      <t xml:space="preserve">This is the expanded version of the booking mapping spreadsheet used to create a booking and release XML message by showing the 1:1 mapping between the </t>
    </r>
    <r>
      <rPr>
        <b/>
        <u/>
        <sz val="11"/>
        <color rgb="FF002060"/>
        <rFont val="Calibri"/>
        <family val="2"/>
        <scheme val="minor"/>
      </rPr>
      <t>xml Xpath</t>
    </r>
    <r>
      <rPr>
        <sz val="11"/>
        <color rgb="FF000000"/>
        <rFont val="Calibri"/>
        <family val="2"/>
        <scheme val="minor"/>
      </rPr>
      <t xml:space="preserve"> and the </t>
    </r>
    <r>
      <rPr>
        <b/>
        <u/>
        <sz val="11"/>
        <color rgb="FF002060"/>
        <rFont val="Calibri"/>
        <family val="2"/>
        <scheme val="minor"/>
      </rPr>
      <t>legacy database table</t>
    </r>
    <r>
      <rPr>
        <sz val="11"/>
        <color indexed="8"/>
        <rFont val="Calibri"/>
        <family val="2"/>
        <scheme val="minor"/>
      </rPr>
      <t>.</t>
    </r>
  </si>
  <si>
    <r>
      <t>To create a xml message from legacy nola database tables, start by using the</t>
    </r>
    <r>
      <rPr>
        <b/>
        <sz val="11"/>
        <color rgb="FF000000"/>
        <rFont val="Calibri"/>
        <family val="2"/>
        <scheme val="minor"/>
      </rPr>
      <t xml:space="preserve"> IMFLDR</t>
    </r>
    <r>
      <rPr>
        <sz val="11"/>
        <color indexed="8"/>
        <rFont val="Calibri"/>
        <family val="2"/>
        <scheme val="minor"/>
      </rPr>
      <t xml:space="preserve"> 1:1 mapping sheet to create a Release message.</t>
    </r>
  </si>
  <si>
    <r>
      <t>To create a xml message from legacy nola database tables, start by using the</t>
    </r>
    <r>
      <rPr>
        <b/>
        <sz val="11"/>
        <color rgb="FF000000"/>
        <rFont val="Calibri"/>
        <family val="2"/>
        <scheme val="minor"/>
      </rPr>
      <t xml:space="preserve"> IMMARD</t>
    </r>
    <r>
      <rPr>
        <sz val="11"/>
        <color indexed="8"/>
        <rFont val="Calibri"/>
        <family val="2"/>
        <scheme val="minor"/>
      </rPr>
      <t xml:space="preserve"> 1:1 mapping sheet to create a Booking message.</t>
    </r>
  </si>
  <si>
    <r>
      <t xml:space="preserve">Use </t>
    </r>
    <r>
      <rPr>
        <b/>
        <sz val="11"/>
        <color rgb="FF000000"/>
        <rFont val="Calibri"/>
        <family val="2"/>
        <scheme val="minor"/>
      </rPr>
      <t>column W</t>
    </r>
    <r>
      <rPr>
        <sz val="11"/>
        <color indexed="8"/>
        <rFont val="Calibri"/>
        <family val="2"/>
        <scheme val="minor"/>
      </rPr>
      <t xml:space="preserve"> &lt;&lt;NOLA_Exchange&gt;&gt; Booking XPATH and </t>
    </r>
    <r>
      <rPr>
        <b/>
        <sz val="11"/>
        <color rgb="FF000000"/>
        <rFont val="Calibri"/>
        <family val="2"/>
        <scheme val="minor"/>
      </rPr>
      <t>column AB</t>
    </r>
    <r>
      <rPr>
        <sz val="11"/>
        <color indexed="8"/>
        <rFont val="Calibri"/>
        <family val="2"/>
        <scheme val="minor"/>
      </rPr>
      <t xml:space="preserve"> field name</t>
    </r>
  </si>
  <si>
    <t>Table Columns</t>
  </si>
  <si>
    <t>&lt;&lt;NOLA_Exchange&gt;&gt;
Booking</t>
  </si>
  <si>
    <t>"db": "EPR","table": "Offenders","fieldDesc": "ArrestLocation","field": "ArrestLocation"</t>
  </si>
  <si>
    <t xml:space="preserve">
{"db": "EPR",		"table": "Offenders",	"fieldDesc": "ArrestLocation",		"field": "ArrestLocation"</t>
  </si>
  <si>
    <t>db: "EPR"</t>
  </si>
  <si>
    <t>table: "Offenders"</t>
  </si>
  <si>
    <t>fieldDesc: "ArrestLocation"</t>
  </si>
  <si>
    <t>field: "ArrestLocation"</t>
  </si>
  <si>
    <t>"db": "EPR","table": "Offenders","fieldDesc": "StreetAddress","field": "StreetAddress"</t>
  </si>
  <si>
    <t xml:space="preserve">
{"db": "EPR",		"table": "Offenders",	"fieldDesc": "StreetAddress",		"field": "StreetAddress"</t>
  </si>
  <si>
    <t>fieldDesc: "StreetAddress"</t>
  </si>
  <si>
    <t>field: "StreetAddress"</t>
  </si>
  <si>
    <t>"db": "EPR","table": "VictimPersons","fieldDesc": "StreetAddress","field": "StreetAddress"</t>
  </si>
  <si>
    <t xml:space="preserve">
{"db": "EPR",		"table": "VictimPersons",	"fieldDesc": "StreetAddress",		"field": "StreetAddress"</t>
  </si>
  <si>
    <t>table: "VictimPersons"</t>
  </si>
  <si>
    <t>h</t>
  </si>
  <si>
    <t>"db": "EPR","table": "VictimPersons","fieldDesc": "WorkStreetAddress","field": "WorkStreetAddress"</t>
  </si>
  <si>
    <t xml:space="preserve">
{"db": "EPR",		"table": "VictimPersons",	"fieldDesc": "WorkStreetAddress",	"field": "WorkStreetAddress"</t>
  </si>
  <si>
    <t>fieldDesc: "WorkStreetAddress"</t>
  </si>
  <si>
    <t>field: "WorkStreetAddress"</t>
  </si>
  <si>
    <t>"db": "CASTNetDB","table": "PersonAddress","fieldDesc": "StreetAddress","field": "StreetAddress"</t>
  </si>
  <si>
    <t xml:space="preserve">
{"db": "CASTNetDB",	"table": "PersonAddress",	"fieldDesc": "StreetAddress",		"field": "StreetAddress"</t>
  </si>
  <si>
    <t>db: "CASTNetDB"</t>
  </si>
  <si>
    <t>table: "PersonAddress"</t>
  </si>
  <si>
    <t>"db": "CASTNetDB","table": "PersonAddress","fieldDesc": "DigiCourtAddress","field": "DigiCourtAddress"</t>
  </si>
  <si>
    <t xml:space="preserve">
{"db": "CASTNetDB",	"table": "PersonAddress",	"fieldDesc": "DigiCourtAddress",	"field": "DigiCourtAddress"}]</t>
  </si>
  <si>
    <t>fieldDesc: "DigiCourtAddress"</t>
  </si>
  <si>
    <t>field: "DigiCourtAddress"</t>
  </si>
  <si>
    <t>"db": "AS400_JMS","table": "IMMSTR","fieldDesc": "City","field": "IMCITY"</t>
  </si>
  <si>
    <t xml:space="preserve">
{"db": "AS400_JMS",	"table": "IMMSTR",	"fieldDesc": "City",	"field": "IMCITY"</t>
  </si>
  <si>
    <t>table: "IMMSTR"</t>
  </si>
  <si>
    <t>field: "IMCITY"</t>
  </si>
  <si>
    <t>"db": "EPR","table": "Offenders","fieldDesc": "City","field": "City"</t>
  </si>
  <si>
    <t xml:space="preserve">
{"db": "EPR",	"table": "Offenders",	"fieldDesc": "City",	"field": "City"</t>
  </si>
  <si>
    <t>field: "City"</t>
  </si>
  <si>
    <t>"db": "EPR","table": "VictimPersons","fieldDesc": "City","field": "City"</t>
  </si>
  <si>
    <t xml:space="preserve">
{"db": "EPR",	"table": "VictimPersons",	"fieldDesc": "City",	"field": "City"</t>
  </si>
  <si>
    <t>"db": "EPR","table": "VictimPersons","fieldDesc": "WorkCity","field": "WorkCity"</t>
  </si>
  <si>
    <t xml:space="preserve">
{"db": "EPR",	"table": "VictimPersons",	"fieldDesc": "WorkCity",	"field": "WorkCity"</t>
  </si>
  <si>
    <t>fieldDesc: "WorkCity"</t>
  </si>
  <si>
    <t>field: "WorkCity"</t>
  </si>
  <si>
    <t>"db": "CASTNetDB","table": "ArrestLocation","fieldDesc": "ArrestCity","field": "City"</t>
  </si>
  <si>
    <t xml:space="preserve">
{"db": "CASTNetDB",	"table": "ArrestLocation",	"fieldDesc": "ArrestCity",	"field": "City"</t>
  </si>
  <si>
    <t>table: "ArrestLocation"</t>
  </si>
  <si>
    <t>fieldDesc: "ArrestCity"</t>
  </si>
  <si>
    <t>l</t>
  </si>
  <si>
    <t>"db": "CASTNetDB","table": "CityState","fieldDesc": "City","field": "City"</t>
  </si>
  <si>
    <t xml:space="preserve">
{"db": "CASTNetDB",	"table": "CityState",	"fieldDesc": "City",	"field": "City"</t>
  </si>
  <si>
    <t>table: "CityState"</t>
  </si>
  <si>
    <t>m</t>
  </si>
  <si>
    <t>"db": "CASTNetDB","table": "PersonAddress","fieldDesc": "City","field": "City"</t>
  </si>
  <si>
    <t xml:space="preserve">
{"db": "CASTNetDB",	"table": "PersonAddress",	"fieldDesc": "City",	"field": "City"</t>
  </si>
  <si>
    <t>n</t>
  </si>
  <si>
    <t>"db": "CASTNetDB","table": "PersonOccupation","fieldDesc": "City","field": "City"</t>
  </si>
  <si>
    <t xml:space="preserve">
{"db": "CASTNetDB",	"table": "PersonOccupation",	"fieldDesc": "City",	"field": "City"</t>
  </si>
  <si>
    <t>table: "PersonOccupation"</t>
  </si>
  <si>
    <t>o</t>
  </si>
  <si>
    <t>"db": "CASTNetDB","table": "vw_Person","fieldDesc": "City","field": "City"</t>
  </si>
  <si>
    <t xml:space="preserve">
{"db": "CASTNetDB",	"table": "vw_Person",	"fieldDesc": "City",	"field": "City"</t>
  </si>
  <si>
    <t>table: "vw_Person"</t>
  </si>
  <si>
    <t>p</t>
  </si>
  <si>
    <t>"db": "MC","table": "Digicourt_Orleans.dbview.vw_ArrestDetail","fieldDesc": "City","field": "CITY"</t>
  </si>
  <si>
    <t xml:space="preserve">
{"db": "MC",	"table": "Digicourt_Orleans.dbview.vw_ArrestDetail",	"fieldDesc": "City",	"field": "CITY"</t>
  </si>
  <si>
    <t>db: "MC"</t>
  </si>
  <si>
    <t>table: "Digicourt_Orleans.dbview.vw_ArrestDetail"</t>
  </si>
  <si>
    <t>field: "CITY"</t>
  </si>
  <si>
    <t>q</t>
  </si>
  <si>
    <t>"db": "MC","table": "DigiCourt_Orleans.dbview.vw_AllWarrants","fieldDesc": "City","field": "CITY"</t>
  </si>
  <si>
    <t xml:space="preserve">
{"db": "MC",	"table": "DigiCourt_Orleans.dbview.vw_AllWarrants",	"fieldDesc": "City",	"field": "CITY"}]
</t>
  </si>
  <si>
    <t>table: "DigiCourt_Orleans.dbview.vw_AllWarrants"</t>
  </si>
  <si>
    <t>"db": "EPR","table": "Offenders","fieldDesc": "State","field": "State"</t>
  </si>
  <si>
    <t xml:space="preserve">
{"db": "EPR",		"table": "Offenders",	"fieldDesc": "State",	"field": "State"</t>
  </si>
  <si>
    <t>fieldDesc: "State"</t>
  </si>
  <si>
    <t>field: "State"</t>
  </si>
  <si>
    <t>"db": "EPR","table": "VictimPersons","fieldDesc": "State","field": "State"</t>
  </si>
  <si>
    <t xml:space="preserve">
{"db": "EPR",		"table": "VictimPersons",	"fieldDesc": "State",	"field": "State"</t>
  </si>
  <si>
    <t>"db": "EPR","table": "VictimPersons","fieldDesc": "WorkState","field": "WorkState"</t>
  </si>
  <si>
    <t xml:space="preserve">
{"db": "EPR",		"table": "VictimPersons",	"fieldDesc": "WorkState",	"field": "WorkState"</t>
  </si>
  <si>
    <t>fieldDesc: "WorkState"</t>
  </si>
  <si>
    <t>field: "WorkState"</t>
  </si>
  <si>
    <t>"db": "CASTNetDB","table": "CityState","fieldDesc": "State","field": "State"</t>
  </si>
  <si>
    <t xml:space="preserve">
{"db": "CASTNetDB",	"table": "CityState",	"fieldDesc": "State",	"field": "State"</t>
  </si>
  <si>
    <t>"db": "CASTNetDB","table": "GunOwner","fieldDesc": "State","field": "State"</t>
  </si>
  <si>
    <t xml:space="preserve">
{"db": "CASTNetDB",	"table": "GunOwner",	"fieldDesc": "State",	"field": "State"</t>
  </si>
  <si>
    <t>table: "GunOwner"</t>
  </si>
  <si>
    <t>"db": "CASTNetDB","table": "PersonOccupation","fieldDesc": "State","field": "State"</t>
  </si>
  <si>
    <t xml:space="preserve">
{"db": "CASTNetDB",	"table": "PersonOccupation",	"fieldDesc": "State",	"field": "State"</t>
  </si>
  <si>
    <t>"db": "MC","table": "Digicourt_Orleans.dbview.vw_ArrestDetail", "fieldDesc": "State", "field": "STATE"</t>
  </si>
  <si>
    <t xml:space="preserve">
{"db": "MC",	"table": "Digicourt_Orleans.dbview.vw_ArrestDetail", "fieldDesc": "State", "field": "STATE"</t>
  </si>
  <si>
    <t xml:space="preserve"> "fieldDesc": "State"</t>
  </si>
  <si>
    <t xml:space="preserve"> "field": "STATE"</t>
  </si>
  <si>
    <t>"db": "MC","table": "DigiCourt_Orleans.dbview.vw_AllWarrants", "fieldDesc": "State", "field": "STATE"</t>
  </si>
  <si>
    <t xml:space="preserve">
{"db": "MC",	"table": "DigiCourt_Orleans.dbview.vw_AllWarrants", "fieldDesc": "State", "field": "STATE"}]
</t>
  </si>
  <si>
    <t>"db": "AS400_JMS","table": "IMMSTR","fieldDesc": "ApartmentNumber","field": "IMABRN"</t>
  </si>
  <si>
    <t xml:space="preserve">
{"db": "AS400_JMS",	"table": "IMMSTR",	"fieldDesc": "ApartmentNumber",	"field": "IMABRN"</t>
  </si>
  <si>
    <t>field: "IMABRN"</t>
  </si>
  <si>
    <t>"db": "CASTNetDB","table": "PersonAddress","fieldDesc": "ApartmentNumber","field": "ApartmentNumber"</t>
  </si>
  <si>
    <t xml:space="preserve">
{"db": "CASTNetDB",	"table": "PersonAddress",	"fieldDesc": "ApartmentNumber",	"field": "ApartmentNumber"</t>
  </si>
  <si>
    <t>field: "ApartmentNumber"</t>
  </si>
  <si>
    <t>"db": "CASTNetDB","table": "vw_Person","fieldDesc": "ApartmentNumber","field": "ApartmentNumber"</t>
  </si>
  <si>
    <t xml:space="preserve">
{"db": "CASTNetDB",	"table": "vw_Person",	"fieldDesc": "ApartmentNumber",	"field": "ApartmentNumber"</t>
  </si>
  <si>
    <t>"db": "CASTNetDB","table": "ArrestLocation","fieldDesc": "ArrestApartmentNumber","field": "ApartmentNumber"</t>
  </si>
  <si>
    <t xml:space="preserve">
{"db": "CASTNetDB",	"table": "ArrestLocation",	"fieldDesc": "ArrestApartmentNumber",	"field": "ApartmentNumber"}]</t>
  </si>
  <si>
    <t>fieldDesc: "ArrestApartmentNumber"</t>
  </si>
  <si>
    <t>"db": "AS400_JMS","table": "IMMSTR","fieldDesc": "BoxRouteCode","field": "IMABRC"</t>
  </si>
  <si>
    <t xml:space="preserve">
{"db": "AS400_JMS",	"table": "IMMSTR",	"fieldDesc": "BoxRouteCode",	"field": "IMABRC"</t>
  </si>
  <si>
    <t>field: "IMABRC"</t>
  </si>
  <si>
    <t>"db": "CASTNetDB","table": "PersonAddress","fieldDesc": "BoxRouteCode","field": "BoxRouteCode"</t>
  </si>
  <si>
    <t xml:space="preserve">
{"db": "CASTNetDB",	"table": "PersonAddress",	"fieldDesc": "BoxRouteCode",	"field": "BoxRouteCode"</t>
  </si>
  <si>
    <t>field: "BoxRouteCode"</t>
  </si>
  <si>
    <t>"db": "CASTNetDB","table": "vw_Person","fieldDesc": "BoxRouteCode","field": "BoxRouteCode"</t>
  </si>
  <si>
    <t xml:space="preserve">
{"db": "CASTNetDB",	"table": "vw_Person",	"fieldDesc": "BoxRouteCode",	"field": "BoxRouteCode"</t>
  </si>
  <si>
    <t>"db": "CASTNetDB","table": "ArrestLocation","fieldDesc": "ArrestBoxCode","field": "BoxCode"</t>
  </si>
  <si>
    <t xml:space="preserve">
{"db": "CASTNetDB",	"table": "ArrestLocation",	"fieldDesc": "ArrestBoxCode",	"field": "BoxCode"}]
</t>
  </si>
  <si>
    <t>fieldDesc: "ArrestBoxCode"</t>
  </si>
  <si>
    <t>field: "BoxCode"</t>
  </si>
  <si>
    <t>"db": "AS400_JMS","table": "IMMSTR","fieldDesc": "StateCode","field": "IMSTCD"</t>
  </si>
  <si>
    <t xml:space="preserve">
{"db": "AS400_JMS",	"table": "IMMSTR",	"fieldDesc": "StateCode",	"field": "IMSTCD"</t>
  </si>
  <si>
    <t>field: "IMSTCD"</t>
  </si>
  <si>
    <t>"db": "CASTNetDB","table": "PersonAddress","fieldDesc": "StreetDirection","field": "StreetDirection"</t>
  </si>
  <si>
    <t xml:space="preserve">
{"db": "CASTNetDB",	"table": "PersonAddress",	"fieldDesc": "StreetDirection",	"field": "StreetDirection"</t>
  </si>
  <si>
    <t>field: "StreetDirection"</t>
  </si>
  <si>
    <t>"db": "CASTNetDB","table": "PersonOccupation","fieldDesc": "StreetDirection","field": "StreetDirection"</t>
  </si>
  <si>
    <t xml:space="preserve">
{"db": "CASTNetDB",	"table": "PersonOccupation",	"fieldDesc": "StreetDirection",	"field": "StreetDirection"}]</t>
  </si>
  <si>
    <t>"db": "AS400_JMS","table": "IMMSTR","fieldDesc": "StreetName","field": "IMSTNM"</t>
  </si>
  <si>
    <t xml:space="preserve">
{"db": "AS400_JMS",	"table": "IMMSTR",	"fieldDesc": "StreetName",		"field": "IMSTNM"</t>
  </si>
  <si>
    <t>field: "IMSTNM"</t>
  </si>
  <si>
    <t>"db": "CASTNetDB","table": "ArrestLocation","fieldDesc": "ArrestStreetName","field": "StreetName"</t>
  </si>
  <si>
    <t xml:space="preserve">
{"db": "CASTNetDB",	"table": "ArrestLocation",	"fieldDesc": "ArrestStreetName",	"field": "StreetName"</t>
  </si>
  <si>
    <t>fieldDesc: "ArrestStreetName"</t>
  </si>
  <si>
    <t>field: "StreetName"</t>
  </si>
  <si>
    <t>"db": "CASTNetDB","table": "PersonAddress","fieldDesc": "StreetName","field": "StreetName"</t>
  </si>
  <si>
    <t xml:space="preserve">
{"db": "CASTNetDB",	"table": "PersonAddress",	"fieldDesc": "StreetName",		"field": "StreetName"</t>
  </si>
  <si>
    <t>"db": "CASTNetDB","table": "PersonOccupation","fieldDesc": "StreetName","field": "StreetName"</t>
  </si>
  <si>
    <t xml:space="preserve">
{"db": "CASTNetDB",	"table": "PersonOccupation",	"fieldDesc": "StreetName",		"field": "StreetName"}]</t>
  </si>
  <si>
    <t>"db": "AS400_JMS","table": "IMMSTR","fieldDesc": "StreetNumber","field": "IMSTNO"</t>
  </si>
  <si>
    <t xml:space="preserve">
{"db": "AS400_JMS",	"table": "IMMSTR",	"fieldDesc": "StreetNumber",	"field": "IMSTNO"</t>
  </si>
  <si>
    <t>field: "IMSTNO"</t>
  </si>
  <si>
    <t>"db": "CASTNetDB","table": "ArrestLocation","fieldDesc": "ArrestStreetNumber","field": "StreetNumber"</t>
  </si>
  <si>
    <t xml:space="preserve">
{"db": "CASTNetDB",	"table": "ArrestLocation",	"fieldDesc": "ArrestStreetNumber",	"field": "StreetNumber"</t>
  </si>
  <si>
    <t>fieldDesc: "ArrestStreetNumber"</t>
  </si>
  <si>
    <t>field: "StreetNumber"</t>
  </si>
  <si>
    <t>"db": "CASTNetDB","table": "PersonAddress","fieldDesc": "StreetNumber","field": "StreetNumber"</t>
  </si>
  <si>
    <t xml:space="preserve">
{"db": "CASTNetDB",	"table": "PersonAddress",	"fieldDesc": "StreetNumber",	"field": "StreetNumber"</t>
  </si>
  <si>
    <t>"db": "CASTNetDB","table": "PersonOccupation","fieldDesc": "StreetNumber","field": "StreetNumber"</t>
  </si>
  <si>
    <t xml:space="preserve">
{"db": "CASTNetDB",	"table": "PersonOccupation",	"fieldDesc": "StreetNumber",	"field": "StreetNumber"}]</t>
  </si>
  <si>
    <t>"db": "AS400_JMS","table": "IMMSTR","fieldDesc": "StreetPrefix","field": "IMSTPF"</t>
  </si>
  <si>
    <t xml:space="preserve">
{"db": "AS400_JMS",	"table": "IMMSTR",	"fieldDesc": "StreetPrefix",	"field": "IMSTPF"</t>
  </si>
  <si>
    <t>field: "IMSTPF"</t>
  </si>
  <si>
    <t>"db": "CASTNetDB","table": "ArrestLocation","fieldDesc": "ArrestStreetPrefixId","field": "StreetPrefixId"</t>
  </si>
  <si>
    <t xml:space="preserve">
{"db": "CASTNetDB",	"table": "ArrestLocation",	"fieldDesc": "ArrestStreetPrefixId",	"field": "StreetPrefixId"</t>
  </si>
  <si>
    <t>fieldDesc: "ArrestStreetPrefixId"</t>
  </si>
  <si>
    <t>field: "StreetPrefixId"</t>
  </si>
  <si>
    <t>"db": "CASTNetDB","table": "PersonAddress","fieldDesc": "StreetPrefixId","field": "StreetPrefixId"</t>
  </si>
  <si>
    <t xml:space="preserve">
{"db": "CASTNetDB",	"table": "PersonAddress",	"fieldDesc": "StreetPrefixId",		"field": "StreetPrefixId"}]</t>
  </si>
  <si>
    <t>fieldDesc: "StreetPrefixId"</t>
  </si>
  <si>
    <t>"db": "AS400_JMS","table": "IMMSTR","fieldDesc": "StreetSuffix","field": "IMSTSF"</t>
  </si>
  <si>
    <t xml:space="preserve">
{"db": "AS400_JMS",	"table": "IMMSTR",	"fieldDesc": "StreetSuffix",	"field": "IMSTSF"</t>
  </si>
  <si>
    <t>field: "IMSTSF"</t>
  </si>
  <si>
    <t>"db": "CASTNetDB","table": "PersonOccupation","fieldDesc": "StreetSuffix","field": "StreetSuffix"</t>
  </si>
  <si>
    <t xml:space="preserve">
{"db": "CASTNetDB",	"table": "PersonOccupation",	"fieldDesc": "StreetSuffix",	"field": "StreetSuffix"}]</t>
  </si>
  <si>
    <t>field: "StreetSuffix"</t>
  </si>
  <si>
    <t>"db": "AS400_JMS","table": "IMMSTR","fieldDesc": "ZIPCode","field": "IMZIPC"</t>
  </si>
  <si>
    <t>[{"db": "AS400_JMS",	"table": "IMMSTR",	"fieldDesc": "ZIPCode",	"field": "IMZIPC"</t>
  </si>
  <si>
    <t>field: "IMZIPC"</t>
  </si>
  <si>
    <t>"db": "EPR","table": "Offenders","fieldDesc": "ZipCode","field": "ZipCode"</t>
  </si>
  <si>
    <t xml:space="preserve">
{"db": "EPR",		"table": "Offenders",	"fieldDesc": "ZipCode",	"field": "ZipCode"</t>
  </si>
  <si>
    <t>fieldDesc: "ZipCode"</t>
  </si>
  <si>
    <t>field: "ZipCode"</t>
  </si>
  <si>
    <t>"db": "EPR","table": "VictimPersons","fieldDesc": "ZipCode","field": "ZipCode"</t>
  </si>
  <si>
    <t xml:space="preserve">
{"db": "EPR",		"table": "VictimPersons",	"fieldDesc": "ZipCode",	"field": "ZipCode"</t>
  </si>
  <si>
    <t>"db": "CASTNetDB","table": "ArrestLocation","fieldDesc": "ArrestZipCode","field": "ZipCode"</t>
  </si>
  <si>
    <t xml:space="preserve">
{"db": "CASTNetDB",	"table": "ArrestLocation",	"fieldDesc": "ArrestZipCode",	"field": "ZipCode"</t>
  </si>
  <si>
    <t>fieldDesc: "ArrestZipCode"</t>
  </si>
  <si>
    <t>"db": "CASTNetDB","table": "CityState","fieldDesc": "ZipCode","field": "ZipCode"</t>
  </si>
  <si>
    <t xml:space="preserve">
{"db": "CASTNetDB",	"table": "CityState",	"fieldDesc": "ZipCode",	"field": "ZipCode"</t>
  </si>
  <si>
    <t>"db": "CASTNetDB","table": "PersonAddress","fieldDesc": "Zipcode","field": "Zipcode"</t>
  </si>
  <si>
    <t xml:space="preserve">
{"db": "CASTNetDB",	"table": "PersonAddress",	"fieldDesc": "Zipcode",	"field": "Zipcode"</t>
  </si>
  <si>
    <t>fieldDesc: "Zipcode"</t>
  </si>
  <si>
    <t>field: "Zipcode"</t>
  </si>
  <si>
    <t>"db": "CASTNetDB","table": "PersonOccupation","fieldDesc": "ZipCode","field": "ZipCode"</t>
  </si>
  <si>
    <t xml:space="preserve">
{"db": "CASTNetDB",	"table": "PersonOccupation",	"fieldDesc": "ZipCode",	"field": "ZipCode"</t>
  </si>
  <si>
    <t>"db": "MC","table": "Digicourt_Orleans.dbview.vw_ArrestDetail","fieldDesc": "ZIPCode","field": "ZIP"</t>
  </si>
  <si>
    <t xml:space="preserve">
{"db": "MC",	"table": "Digicourt_Orleans.dbview.vw_ArrestDetail",	"fieldDesc": "ZIPCode",	"field": "ZIP"</t>
  </si>
  <si>
    <t>field: "ZIP"</t>
  </si>
  <si>
    <t>"db": "MC","table": "DigiCourt_Orleans.dbview.vw_AllWarrants","fieldDesc": "ZIPCode","field": "ZIP"</t>
  </si>
  <si>
    <t xml:space="preserve">
{"db": "MC",	"table": "DigiCourt_Orleans.dbview.vw_AllWarrants",	"fieldDesc": "ZIPCode",	"field": "ZIP"}]</t>
  </si>
  <si>
    <t>"db": "AS400_JMS","table": "IMDSPL","fieldDesc": "Agency","field": "DLAGCY"</t>
  </si>
  <si>
    <t xml:space="preserve">
{"db": "AS400_JMS",	"table": "IMDSPL",	"fieldDesc": "Agency",	"field": "DLAGCY"</t>
  </si>
  <si>
    <t>table: "IMDSPL"</t>
  </si>
  <si>
    <t>field: "DLAGCY"</t>
  </si>
  <si>
    <t>"db": "AS400_JMS","table": "IMTYPH","fieldDesc": "Agency","field": "ITAGCY"</t>
  </si>
  <si>
    <t xml:space="preserve">
{"db": "AS400_JMS",	"table": "IMTYPH",	"fieldDesc": "Agency",	"field": "ITAGCY"}]</t>
  </si>
  <si>
    <t>table: "IMTYPH"</t>
  </si>
  <si>
    <t>field: "ITAGCY"</t>
  </si>
  <si>
    <t>AgencyORI</t>
  </si>
  <si>
    <t>A records management system identification of the originating case agency for an arrest. A unique nine character NCIC identification (ORI) assigned to a justice-related organization by the FBI CJIS Division.</t>
  </si>
  <si>
    <t>"db": "AS400_JMS","table": "IMCHGD","fieldDesc": "ORI","field": "ICORIN"</t>
  </si>
  <si>
    <t>[{"db": "AS400_JMS",	"table": "IMCHGD",	"fieldDesc": "ORI",	"field": "ICORIN"</t>
  </si>
  <si>
    <t xml:space="preserve">[{"db": "AS400_JMS",	"table": "IMCHGD",	"fieldDesc": "ORI",	"field": "ICORIN"},
{"db": "AS400_JMS",	"table": "IMCHGT",	"fieldDesc": "ORI",	"field": "CTORIF"},
{"db": "AS400_JMS",	"table": "IMDSPL",	"fieldDesc": "ORI",	"field": "DLORIN"},
{"db": "CASTNetDB",	"table": "PersonAlias",	"fieldDesc": "Ori",	"field": "Ori"},
{"db": "CASTNetDB",	"table": "PersonNickName",	"fieldDesc": "Ori",	"field": "Ori"},
{"db": "CASTNetDB",	"table": "PersonOccupation",	"fieldDesc": "Ori",	"field": "Ori"},
{"db": "CASTNetDB",	"table": "SpecialOfficer",		"fieldDesc": "Ori",	"field": "Ori"},
{"db": "CASTNetDB",	"table": "ArrestLocation",		"fieldDesc": "OriAgencyId",	"field": "OriAgencyId"},
{"db": "CASTNetDB",	"table": "ArrestOfficer",		"fieldDesc": "OriAgencyId",	"field": "OriAgencyId"},
{"db": "CASTNetDB",	"table": "PersonArrest",		"fieldDesc": "OriAgencyId",	"field": "OriAgencyId"},
{"db": "CASTNetDB",	"table": "PersonCharge",		"fieldDesc": "OriAgencyId",	"field": "OriAgencyId"},
{"db": "CASTNetDB",	"table": "PersonProbation",	"fieldDesc": "OriAgencyId",	"field": "OriAgencyId"},
{"db": "CASTNetDB",	"table": "Charge",	"fieldDesc": "OriUsed",	"field": "OriUsed"}]
</t>
  </si>
  <si>
    <t>/nola:BookingExchange/j:Booking/j:BookingAgency/j:OrganizationAugmentation/j:OrganizationORIIdentification/IdentificationID</t>
  </si>
  <si>
    <t>table: "IMCHGD"</t>
  </si>
  <si>
    <t>fieldDesc: "ORI"</t>
  </si>
  <si>
    <t>field: "ICORIN"</t>
  </si>
  <si>
    <t>/nola:BookingExchange/j:Booking/j:Arrest/j:ArrestAgency/j:OrganizationAugmentation/j:OrganizationORIIdentification/IdentificationID</t>
  </si>
  <si>
    <t>/nola:BookingExchange/j:Booking/j:Arrest/j:ArrestOfficial[1]/j:EnforcementOfficialUnit/j:OrganizationAugmentation/j:OrganizationORIIdentification/IdentificationID</t>
  </si>
  <si>
    <t>/nola:BookingExchange/j:Booking/j:Arrest/j:ArrestOfficial[2]/j:EnforcementOfficialUnit/j:OrganizationAugmentation/j:OrganizationORIIdentification/IdentificationID</t>
  </si>
  <si>
    <t>/nola:BookingExchange/Case/j:CaseAugmentation/j:CaseCourt/j:OrganizationAugmentation/j:OrganizationORIIdentification/IdentificationID</t>
  </si>
  <si>
    <t>"db": "AS400_JMS","table": "IMCHGT","fieldDesc": "ORI","field": "CTORIF"</t>
  </si>
  <si>
    <t xml:space="preserve">
{"db": "AS400_JMS",	"table": "IMCHGT",	"fieldDesc": "ORI",	"field": "CTORIF"</t>
  </si>
  <si>
    <t>table: "IMCHGT"</t>
  </si>
  <si>
    <t>field: "CTORIF"</t>
  </si>
  <si>
    <t>"db": "AS400_JMS","table": "IMDSPL","fieldDesc": "ORI","field": "DLORIN"</t>
  </si>
  <si>
    <t xml:space="preserve">
{"db": "AS400_JMS",	"table": "IMDSPL",	"fieldDesc": "ORI",	"field": "DLORIN"</t>
  </si>
  <si>
    <t>field: "DLORIN"</t>
  </si>
  <si>
    <t>"db": "CASTNetDB","table": "PersonAlias","fieldDesc": "Ori","field": "Ori"</t>
  </si>
  <si>
    <t xml:space="preserve">
{"db": "CASTNetDB",	"table": "PersonAlias",	"fieldDesc": "Ori",	"field": "Ori"</t>
  </si>
  <si>
    <t>table: "PersonAlias"</t>
  </si>
  <si>
    <t>fieldDesc: "Ori"</t>
  </si>
  <si>
    <t>field: "Ori"</t>
  </si>
  <si>
    <t>"db": "CASTNetDB","table": "PersonNickName","fieldDesc": "Ori","field": "Ori"</t>
  </si>
  <si>
    <t xml:space="preserve">
{"db": "CASTNetDB",	"table": "PersonNickName",	"fieldDesc": "Ori",	"field": "Ori"</t>
  </si>
  <si>
    <t>table: "PersonNickName"</t>
  </si>
  <si>
    <t>"db": "CASTNetDB","table": "PersonOccupation","fieldDesc": "Ori","field": "Ori"</t>
  </si>
  <si>
    <t xml:space="preserve">
{"db": "CASTNetDB",	"table": "PersonOccupation",	"fieldDesc": "Ori",	"field": "Ori"</t>
  </si>
  <si>
    <t>"db": "CASTNetDB","table": "SpecialOfficer","fieldDesc": "Ori","field": "Ori"</t>
  </si>
  <si>
    <t xml:space="preserve">
{"db": "CASTNetDB",	"table": "SpecialOfficer",		"fieldDesc": "Ori",	"field": "Ori"</t>
  </si>
  <si>
    <t>table: "SpecialOfficer"</t>
  </si>
  <si>
    <t>"db": "CASTNetDB","table": "ArrestLocation","fieldDesc": "OriAgencyId","field": "OriAgencyId"</t>
  </si>
  <si>
    <t xml:space="preserve">
{"db": "CASTNetDB",	"table": "ArrestLocation",		"fieldDesc": "OriAgencyId",	"field": "OriAgencyId"</t>
  </si>
  <si>
    <t>fieldDesc: "OriAgencyId"</t>
  </si>
  <si>
    <t>field: "OriAgencyId"</t>
  </si>
  <si>
    <t>"db": "CASTNetDB","table": "ArrestOfficer","fieldDesc": "OriAgencyId","field": "OriAgencyId"</t>
  </si>
  <si>
    <t xml:space="preserve">
{"db": "CASTNetDB",	"table": "ArrestOfficer",		"fieldDesc": "OriAgencyId",	"field": "OriAgencyId"</t>
  </si>
  <si>
    <t>table: "ArrestOfficer"</t>
  </si>
  <si>
    <t>"db": "CASTNetDB","table": "PersonArrest","fieldDesc": "OriAgencyId","field": "OriAgencyId"</t>
  </si>
  <si>
    <t xml:space="preserve">
{"db": "CASTNetDB",	"table": "PersonArrest",		"fieldDesc": "OriAgencyId",	"field": "OriAgencyId"</t>
  </si>
  <si>
    <t>table: "PersonArrest"</t>
  </si>
  <si>
    <t>"db": "CASTNetDB","table": "PersonCharge","fieldDesc": "OriAgencyId","field": "OriAgencyId"</t>
  </si>
  <si>
    <t xml:space="preserve">
{"db": "CASTNetDB",	"table": "PersonCharge",		"fieldDesc": "OriAgencyId",	"field": "OriAgencyId"</t>
  </si>
  <si>
    <t>table: "PersonCharge"</t>
  </si>
  <si>
    <t>"db": "CASTNetDB","table": "PersonProbation","fieldDesc": "OriAgencyId","field": "OriAgencyId"</t>
  </si>
  <si>
    <t xml:space="preserve">
{"db": "CASTNetDB",	"table": "PersonProbation",	"fieldDesc": "OriAgencyId",	"field": "OriAgencyId"</t>
  </si>
  <si>
    <t>table: "PersonProbation"</t>
  </si>
  <si>
    <t>"db": "CASTNetDB","table": "Charge","fieldDesc": "OriUsed","field": "OriUsed"</t>
  </si>
  <si>
    <t xml:space="preserve">
{"db": "CASTNetDB",	"table": "Charge",	"fieldDesc": "OriUsed",	"field": "OriUsed"}]
</t>
  </si>
  <si>
    <t>table: "Charge"</t>
  </si>
  <si>
    <t>fieldDesc: "OriUsed"</t>
  </si>
  <si>
    <t>field: "OriUsed"</t>
  </si>
  <si>
    <t>ArrestTrackingNumber</t>
  </si>
  <si>
    <t>The State's Police Automated Fingerprint Inforamtion System (AFIS) generates an ATN to uniquely identify each booking event, often referred to as an Arrest Cycle. The ATN must be communicated from the Sheriff to the Court at a minimum, in order to effectively update the State computerized criminal history (CCH) with dispositions of arrest charges. The ATN is a 12 digit identifier used to track an arrest. ATN is a person-arrest-charge tracking number (combines ATN + ATN Charge Seq #) The ATN is a 12 digit number with an additional 3 digit “charge sequence number”. (Therefore the “15 digit ATN” is unique to Folder#+charge, but the 12 digit ATN is unique only to Folder#.) The 15 digit ATN can be used to track the disposition of each charge associated with a given booking. The Louisiana State Police use a statewide ATN number, but it does not match the ATNs used in Orleans.</t>
  </si>
  <si>
    <t>/nola:BookingExchange/j:Booking/j:Arrest/j:ArrestCharge[1]/nola-ext:ChargeAugmentation/nola-ext:StatewideArrestTrackingNumber</t>
  </si>
  <si>
    <t>/nola:BookingExchange/j:Booking/j:Arrest/j:ArrestCharge[2]/nola-ext:ChargeAugmentation/nola-ext:StatewideArrestTrackingNumber</t>
  </si>
  <si>
    <t>/nola:BookingExchange/j:Booking/j:Arrest/j:ArrestCharge[3]/nola-ext:ChargeAugmentation/nola-ext:StatewideArrestTrackingNumber</t>
  </si>
  <si>
    <t>/nola:BookingExchange/j:Booking/j:Arrest/j:ArrestCharge[4]/nola-ext:ChargeAugmentation/nola-ext:StatewideArrestTrackingNumber</t>
  </si>
  <si>
    <t>/nola:BookingExchange/j:Booking/j:Arrest/j:ArrestCharge[5]/nola-ext:ChargeAugmentation/nola-ext:StatewideArrestTrackingNumber</t>
  </si>
  <si>
    <t>/nola:BookingExchange/j:Booking/j:Arrest/j:ArrestCharge[6]/nola-ext:ChargeAugmentation/nola-ext:StatewideArrestTrackingNumber</t>
  </si>
  <si>
    <t>"db": "AS400_JMS","table": "IMARRD_ChargesAll_w_Keys","fieldDesc": "ATN","field": "ATN"</t>
  </si>
  <si>
    <t xml:space="preserve">
{"db": "AS400_JMS",	"table": "IMARRD_ChargesAll_w_Keys",	"fieldDesc": "ATN",	"field": "ATN"</t>
  </si>
  <si>
    <t>table: "IMARRD_ChargesAll_w_Keys"</t>
  </si>
  <si>
    <t>field: "ATN"</t>
  </si>
  <si>
    <t>"db": "AS400_JMS","table": "IMCHGD","fieldDesc": "ATN","field": "ICATNO"</t>
  </si>
  <si>
    <t xml:space="preserve">
{"db": "AS400_JMS",	"table": "IMCHGD",	"fieldDesc": "ATN",	"field": "ICATNO"</t>
  </si>
  <si>
    <t>field: "ICATNO"</t>
  </si>
  <si>
    <t>"db": "AS400_JMS","table": "IMDSPL","fieldDesc": "ATN","field": "DLATNO"</t>
  </si>
  <si>
    <t xml:space="preserve">
{"db": "AS400_JMS",	"table": "IMDSPL",	"fieldDesc": "ATN",	"field": "DLATNO"}]</t>
  </si>
  <si>
    <t>field: "DLATNO"</t>
  </si>
  <si>
    <t>ATNChargeSequenceID</t>
  </si>
  <si>
    <t>A sequential identifier number assigned to the arrest of a subject i.e ATN. The State's Police Automated Fingerprint Inforamtion System (AFIS) generates an ATN to uniquely identify each booking event, often referred to as an Arrest Cycle. The ATN must be communicated from the Sheriff to the Court at a minimum, in order to effectively update the State computerized criminal history (CCH) with dispositions of arrest charges.</t>
  </si>
  <si>
    <t>"db": "AS400_JMS","table": "CHRGLOG","fieldDesc": "ATNChargeSequenceNumber","field": "CXCHRGSEQ"</t>
  </si>
  <si>
    <t>[{"db": "AS400_JMS",	"table": "CHRGLOG",	"fieldDesc": "ATNChargeSequenceNumber",	"field": "CXCHRGSEQ"</t>
  </si>
  <si>
    <t xml:space="preserve">[{"db": "AS400_JMS",	"table": "CHRGLOG",	"fieldDesc": "ATNChargeSequenceNumber",	"field": "CXCHRGSEQ"},	
{"db": "AS400_JMS",	"table": "DEFCHG",	"fieldDesc": "ATNChargeSequenceNumber",	"field": "DCCHRGSEQ"},	
{"db": "AS400_JMS",	"table": "IMARRD",	"fieldDesc": "ATNChargeSequenceNumber",	"field": "IDATS1"},
{"db": "AS400_JMS",	"table": "IMARRD",	"fieldDesc": "ATNChargeSequenceNumber",	"field": "IDATS2"},
{"db": "AS400_JMS",	"table": "IMARRD",	"fieldDesc": "ChargeATNSequenceNumber",	"field": "IDATS3"},
{"db": "AS400_JMS",	"table": "IMARRD",	"fieldDesc": "ATNChargeSequenceNumber",	"field": "IDATS4"},
{"db": "AS400_JMS",	"table": "IMARRD",	"fieldDesc": "ChargeATNSequenceNumber",	"field": "IDATS5"},
{"db": "AS400_JMS",	"table": "IMARRD",	"fieldDesc": "ATNChargeSequenceNumber",	"field": "IDATS6"},	
{"db": "AS400_JMS",	"table": "IMARRD_ChargesAll_w_Keys",	"fieldDesc": "ATNSequenceNumber",	"field": "ATN_Seq_No"},
{"db": "AS400_JMS",	"table": "IMCHGD",	"fieldDesc": "ATNSequenceNumber",	"field": "ICATNS"},
{"db": "AS400_JMS",	"table": "IMDSPL",	"fieldDesc": "ATNChargeSequenceNumber",	"field": "DLATNS"},
{"db": "AS400_CDC_CMS",	"table": "CHRGLOG",	"fieldDesc": "ATNChargeSequenceNumber",	"field": "CXCHRGSEQ"},
{"db": "AS400_CDC_CMS",	"table": "DEFCHG",	"fieldDesc": "ATNChargeSequenceNumber",	"field": "DCCHRGSEQ"},
{"db": "CASTNetDB",	"table": "PersonProbation",	"fieldDesc": "SequenceNumber",	"field": "SequenceNumber"}]
</t>
  </si>
  <si>
    <t>nola-ext:StatewideATNChargeSequenceID</t>
  </si>
  <si>
    <t>/nola:BookingExchange/j:Booking/j:Arrest/j:ArrestCharge[1]/nola-ext:ChargeAugmentation/nola-ext:StatewideATNChargeSequenceID</t>
  </si>
  <si>
    <t>table: "CHRGLOG"</t>
  </si>
  <si>
    <t>fieldDesc: "ATNChargeSequenceNumber"</t>
  </si>
  <si>
    <t>field: "CXCHRGSEQ"</t>
  </si>
  <si>
    <t>/nola:BookingExchange/j:Booking/j:Arrest/j:ArrestCharge[2]/nola-ext:ChargeAugmentation/nola-ext:StatewideATNChargeSequenceID</t>
  </si>
  <si>
    <t>/nola:BookingExchange/j:Booking/j:Arrest/j:ArrestCharge[3]/nola-ext:ChargeAugmentation/nola-ext:StatewideATNChargeSequenceID</t>
  </si>
  <si>
    <t>/nola:BookingExchange/j:Booking/j:Arrest/j:ArrestCharge[4]/nola-ext:ChargeAugmentation/nola-ext:StatewideATNChargeSequenceID</t>
  </si>
  <si>
    <t>/nola:BookingExchange/j:Booking/j:Arrest/j:ArrestCharge[5]/nola-ext:ChargeAugmentation/nola-ext:StatewideATNChargeSequenceID</t>
  </si>
  <si>
    <t>/nola:BookingExchange/j:Booking/j:Arrest/j:ArrestCharge[6]/nola-ext:ChargeAugmentation/nola-ext:StatewideATNChargeSequenceID</t>
  </si>
  <si>
    <t>"db": "AS400_JMS","table": "DEFCHG","fieldDesc": "ATNChargeSequenceNumber","field": "DCCHRGSEQ"</t>
  </si>
  <si>
    <t xml:space="preserve">	
{"db": "AS400_JMS",	"table": "DEFCHG",	"fieldDesc": "ATNChargeSequenceNumber",	"field": "DCCHRGSEQ"</t>
  </si>
  <si>
    <t>table: "DEFCHG"</t>
  </si>
  <si>
    <t>field: "DCCHRGSEQ"</t>
  </si>
  <si>
    <t>"db": "AS400_JMS","table": "IMARRD","fieldDesc": "ATNChargeSequenceNumber","field": "IDATS1"</t>
  </si>
  <si>
    <t xml:space="preserve">	
{"db": "AS400_JMS",	"table": "IMARRD",	"fieldDesc": "ATNChargeSequenceNumber",	"field": "IDATS1"</t>
  </si>
  <si>
    <t>field: "IDATS1"</t>
  </si>
  <si>
    <t>"db": "AS400_JMS","table": "IMARRD","fieldDesc": "ATNChargeSequenceNumber","field": "IDATS2"</t>
  </si>
  <si>
    <t xml:space="preserve">
{"db": "AS400_JMS",	"table": "IMARRD",	"fieldDesc": "ATNChargeSequenceNumber",	"field": "IDATS2"</t>
  </si>
  <si>
    <t>field: "IDATS2"</t>
  </si>
  <si>
    <t>"db": "AS400_JMS","table": "IMARRD","fieldDesc": "ChargeATNSequenceNumber","field": "IDATS3"</t>
  </si>
  <si>
    <t xml:space="preserve">
{"db": "AS400_JMS",	"table": "IMARRD",	"fieldDesc": "ChargeATNSequenceNumber",	"field": "IDATS3"</t>
  </si>
  <si>
    <t>fieldDesc: "ChargeATNSequenceNumber"</t>
  </si>
  <si>
    <t>field: "IDATS3"</t>
  </si>
  <si>
    <t>"db": "AS400_JMS","table": "IMARRD","fieldDesc": "ATNChargeSequenceNumber","field": "IDATS4"</t>
  </si>
  <si>
    <t xml:space="preserve">
{"db": "AS400_JMS",	"table": "IMARRD",	"fieldDesc": "ATNChargeSequenceNumber",	"field": "IDATS4"</t>
  </si>
  <si>
    <t>field: "IDATS4"</t>
  </si>
  <si>
    <t>"db": "AS400_JMS","table": "IMARRD","fieldDesc": "ChargeATNSequenceNumber","field": "IDATS5"</t>
  </si>
  <si>
    <t xml:space="preserve">
{"db": "AS400_JMS",	"table": "IMARRD",	"fieldDesc": "ChargeATNSequenceNumber",	"field": "IDATS5"</t>
  </si>
  <si>
    <t>field: "IDATS5"</t>
  </si>
  <si>
    <t>"db": "AS400_JMS","table": "IMARRD","fieldDesc": "ATNChargeSequenceNumber","field": "IDATS6"</t>
  </si>
  <si>
    <t xml:space="preserve">
{"db": "AS400_JMS",	"table": "IMARRD",	"fieldDesc": "ATNChargeSequenceNumber",	"field": "IDATS6"</t>
  </si>
  <si>
    <t>field: "IDATS6"</t>
  </si>
  <si>
    <t>"db": "AS400_JMS","table": "IMARRD_ChargesAll_w_Keys","fieldDesc": "ATNSequenceNumber","field": "ATN_Seq_No"</t>
  </si>
  <si>
    <t xml:space="preserve">	
{"db": "AS400_JMS",	"table": "IMARRD_ChargesAll_w_Keys",	"fieldDesc": "ATNSequenceNumber",	"field": "ATN_Seq_No"</t>
  </si>
  <si>
    <t>fieldDesc: "ATNSequenceNumber"</t>
  </si>
  <si>
    <t>field: "ATN_Seq_No"</t>
  </si>
  <si>
    <t>"db": "AS400_JMS","table": "IMCHGD","fieldDesc": "ATNSequenceNumber","field": "ICATNS"</t>
  </si>
  <si>
    <t xml:space="preserve">
{"db": "AS400_JMS",	"table": "IMCHGD",	"fieldDesc": "ATNSequenceNumber",	"field": "ICATNS"</t>
  </si>
  <si>
    <t>field: "ICATNS"</t>
  </si>
  <si>
    <t>"db": "AS400_JMS","table": "IMDSPL","fieldDesc": "ATNChargeSequenceNumber","field": "DLATNS"</t>
  </si>
  <si>
    <t xml:space="preserve">
{"db": "AS400_JMS",	"table": "IMDSPL",	"fieldDesc": "ATNChargeSequenceNumber",	"field": "DLATNS"</t>
  </si>
  <si>
    <t>field: "DLATNS"</t>
  </si>
  <si>
    <t>"db": "AS400_CDC_CMS","table": "CHRGLOG","fieldDesc": "ATNChargeSequenceNumber","field": "CXCHRGSEQ"</t>
  </si>
  <si>
    <t xml:space="preserve">
{"db": "AS400_CDC_CMS",	"table": "CHRGLOG",	"fieldDesc": "ATNChargeSequenceNumber",	"field": "CXCHRGSEQ"</t>
  </si>
  <si>
    <t>db: "AS400_CDC_CMS"</t>
  </si>
  <si>
    <t>"db": "AS400_CDC_CMS","table": "DEFCHG","fieldDesc": "ATNChargeSequenceNumber","field": "DCCHRGSEQ"</t>
  </si>
  <si>
    <t xml:space="preserve">
{"db": "AS400_CDC_CMS",	"table": "DEFCHG",	"fieldDesc": "ATNChargeSequenceNumber",	"field": "DCCHRGSEQ"</t>
  </si>
  <si>
    <t>"db": "CASTNetDB","table": "PersonProbation","fieldDesc": "SequenceNumber","field": "SequenceNumber"</t>
  </si>
  <si>
    <t xml:space="preserve">
{"db": "CASTNetDB",	"table": "PersonProbation",	"fieldDesc": "SequenceNumber",	"field": "SequenceNumber"}]
</t>
  </si>
  <si>
    <t>fieldDesc: "SequenceNumber"</t>
  </si>
  <si>
    <t>field: "SequenceNumber"</t>
  </si>
  <si>
    <t>j:BookingDocumentControlIdentification</t>
  </si>
  <si>
    <t>nc:IdentificationType</t>
  </si>
  <si>
    <t>"db": "As400_JMS","table": "IMEVND","fieldDesc": "FolderNumber","field": "EDACTV"</t>
  </si>
  <si>
    <t xml:space="preserve">
{"db": "As400_JMS",	"table": "IMEVND",	"fieldDesc": "FolderNumber",	"field": "EDACTV"</t>
  </si>
  <si>
    <t>table: "IMEVND"</t>
  </si>
  <si>
    <t>field: "EDACTV"</t>
  </si>
  <si>
    <t>"db": "As400_JMS","table": "IMBPYD","fieldDesc": "FolderNumber","field": "BDFLDR"</t>
  </si>
  <si>
    <t xml:space="preserve">
{"db": "As400_JMS",	"table": "IMBPYD",	"fieldDesc": "FolderNumber",	"field": "BDFLDR"</t>
  </si>
  <si>
    <t>table: "IMBPYD"</t>
  </si>
  <si>
    <t>field: "BDFLDR"</t>
  </si>
  <si>
    <t>"db": "As400_JMS","table": "IMCHGD","fieldDesc": "FolderNumber","field": "ICFLDR"</t>
  </si>
  <si>
    <t xml:space="preserve">
{"db": "As400_JMS",	"table": "IMCHGD",	"fieldDesc": "FolderNumber",	"field": "ICFLDR"</t>
  </si>
  <si>
    <t>field: "ICFLDR"</t>
  </si>
  <si>
    <t>"db": "As400_JMS","table": "IMDSPL","fieldDesc": "FolderNumber","field": "DLFLDR"</t>
  </si>
  <si>
    <t xml:space="preserve">
{"db": "As400_JMS",	"table": "IMDSPL",	"fieldDesc": "FolderNumber",	"field": "DLFLDR"</t>
  </si>
  <si>
    <t>field: "DLFLDR"</t>
  </si>
  <si>
    <t>"db": "As400_JMS","table": "IMLOCH","fieldDesc": "FolderNumber","field": "LHFLDR"</t>
  </si>
  <si>
    <t xml:space="preserve">
{"db": "As400_JMS",	"table": "IMLOCH",	"fieldDesc": "FolderNumber",	"field": "LHFLDR"</t>
  </si>
  <si>
    <t>table: "IMLOCH"</t>
  </si>
  <si>
    <t>field: "LHFLDR"</t>
  </si>
  <si>
    <t>"db": "As400_JMS","table": "IMMISC","fieldDesc": "FolderNumber","field": "MSFLDR"</t>
  </si>
  <si>
    <t xml:space="preserve">
{"db": "As400_JMS",	"table": "IMMISC",	"fieldDesc": "FolderNumber",	"field": "MSFLDR"</t>
  </si>
  <si>
    <t>table: "IMMISC"</t>
  </si>
  <si>
    <t>field: "MSFLDR"</t>
  </si>
  <si>
    <t>"db": "As400_JMS","table": "IMSMTF","fieldDesc": "FolderNumber","field": "ISFLDR"</t>
  </si>
  <si>
    <t xml:space="preserve">
{"db": "As400_JMS",	"table": "IMSMTF",	"fieldDesc": "FolderNumber",	"field": "ISFLDR"</t>
  </si>
  <si>
    <t>table: "IMSMTF"</t>
  </si>
  <si>
    <t>field: "ISFLDR"</t>
  </si>
  <si>
    <t>"db": "As400_JMS","table": "IMTYPH","fieldDesc": "FolderNumber","field": "ITFLDR"</t>
  </si>
  <si>
    <t xml:space="preserve">
{"db": "As400_JMS",	"table": "IMTYPH",	"fieldDesc": "FolderNumber",	"field": "ITFLDR"</t>
  </si>
  <si>
    <t>field: "ITFLDR"</t>
  </si>
  <si>
    <t>"db": "AS400_CDC_CMS","table": "DEFCHG","fieldDesc": "FolderNumber","field": "DCFLDR"</t>
  </si>
  <si>
    <t xml:space="preserve">
{"db": "AS400_CDC_CMS",	"table": "DEFCHG",	"fieldDesc": "FolderNumber",	"field": "DCFLDR"</t>
  </si>
  <si>
    <t>field: "DCFLDR"</t>
  </si>
  <si>
    <t>"db": "CASTNetDB","table": "ArrestLocation","fieldDesc": "FolderNumber","field": "FolderNumber"</t>
  </si>
  <si>
    <t xml:space="preserve">
{"db": "CASTNetDB",	"table": "ArrestLocation",	"fieldDesc": "FolderNumber",	"field": "FolderNumber"</t>
  </si>
  <si>
    <t>field: "FolderNumber"</t>
  </si>
  <si>
    <t>"db": "CASTNetDB","table": "ArrestOfficer","fieldDesc": "FolderNumber","field": "FolderNumber"</t>
  </si>
  <si>
    <t xml:space="preserve">
{"db": "CASTNetDB",	"table": "ArrestOfficer",	"fieldDesc": "FolderNumber",	"field": "FolderNumber"</t>
  </si>
  <si>
    <t>"db": "CASTNetDB","table": "PersonArrest","fieldDesc": "FolderNumber","field": "FolderNumber"</t>
  </si>
  <si>
    <t xml:space="preserve">
{"db": "CASTNetDB",	"table": "PersonArrest",	"fieldDesc": "FolderNumber",	"field": "FolderNumber"</t>
  </si>
  <si>
    <t>r</t>
  </si>
  <si>
    <t>"db": "MC","table": "Digicourt_Orleans.dbview.vw_ArrestDetail","fieldDesc": "FolderNumber","field": "ARREST_FOLDER"</t>
  </si>
  <si>
    <t xml:space="preserve">
{"db": "MC",		"table": "Digicourt_Orleans.dbview.vw_ArrestDetail",	"fieldDesc": "FolderNumber",	"field": "ARREST_FOLDER"}]
</t>
  </si>
  <si>
    <t>field: "ARREST_FOLDER"</t>
  </si>
  <si>
    <t>/nola:BookingExchange/j:Booking/j:Arrest/j:ArrestCharge[1]/hs:ChargeAugmentation/j:BailBond/j:BailBondAmount/Amount</t>
  </si>
  <si>
    <t>"db": "AS400_JMS","table": "IMDSPL","fieldDesc": "ChargeBondAmount","field": "DLBAMT"</t>
  </si>
  <si>
    <t xml:space="preserve">
{"db": "AS400_JMS",	"table": "IMDSPL",	"fieldDesc": "ChargeBondAmount",	"field": "DLBAMT"</t>
  </si>
  <si>
    <t>fieldDesc: "ChargeBondAmount"</t>
  </si>
  <si>
    <t>field: "DLBAMT"</t>
  </si>
  <si>
    <t>"db": "AS400_JMS","table": "IMCHGD","fieldDesc": "BondAmount","field": "ICBAMT"</t>
  </si>
  <si>
    <t xml:space="preserve">
{"db": "AS400_JMS",	"table": "IMCHGD",	"fieldDesc": "BondAmount",	"field": "ICBAMT"</t>
  </si>
  <si>
    <t>fieldDesc: "BondAmount"</t>
  </si>
  <si>
    <t>field: "ICBAMT"</t>
  </si>
  <si>
    <t>"db": "AS400_JMS","table": "IMCHGT","fieldDesc": "ChargeBond","field": "CTBOND"</t>
  </si>
  <si>
    <t xml:space="preserve">
{"db": "AS400_JMS",	"table": "IMCHGT",	"fieldDesc": "ChargeBond",	"field": "CTBOND"</t>
  </si>
  <si>
    <t>fieldDesc: "ChargeBond"</t>
  </si>
  <si>
    <t>field: "CTBOND"</t>
  </si>
  <si>
    <t>"db": "AS400_CDC_CMS","table": "BNDHST","fieldDesc": "BondAmount","field": "BH_BOND_AMOUNT"</t>
  </si>
  <si>
    <t xml:space="preserve">
{"db": "AS400_CDC_CMS",	"table": "BNDHST",	"fieldDesc": "BondAmount",	"field": "BH_BOND_AMOUNT"</t>
  </si>
  <si>
    <t>table: "BNDHST"</t>
  </si>
  <si>
    <t>field: "BH_BOND_AMOUNT"</t>
  </si>
  <si>
    <t>"db": "AS400_CDC_CMS","table": "DEFCHG","fieldDesc": "BondAmount","field": "DCBND"</t>
  </si>
  <si>
    <t xml:space="preserve">
{"db": "AS400_CDC_CMS",	"table": "DEFCHG",	"fieldDesc": "BondAmount",	"field": "DCBND"</t>
  </si>
  <si>
    <t>field: "DCBND"</t>
  </si>
  <si>
    <t>"db": "CASTNetDB","table": "Charge","fieldDesc": "BondAmount","field": "BondAmount"</t>
  </si>
  <si>
    <t xml:space="preserve">
{"db": "CASTNetDB",	"table": "Charge",	"fieldDesc": "BondAmount",	"field": "BondAmount"</t>
  </si>
  <si>
    <t>field: "BondAmount"</t>
  </si>
  <si>
    <t>"db": "CASTNetDB","table": "Warrant","fieldDesc": "BondAmount","field": "BondAmount"</t>
  </si>
  <si>
    <t xml:space="preserve">
{"db": "CASTNetDB",	"table": "Warrant",	"fieldDesc": "BondAmount",	"field": "BondAmount"</t>
  </si>
  <si>
    <t>table: "Warrant"</t>
  </si>
  <si>
    <t>"db": "CASTNetDB","table": "Warrant_bak20190801","fieldDesc": "BondAmount","field": "BondAmount"</t>
  </si>
  <si>
    <t xml:space="preserve">
{"db": "CASTNetDB",	"table": "Warrant_bak20190801",	"fieldDesc": "BondAmount",	"field": "BondAmount"</t>
  </si>
  <si>
    <t>table: "Warrant_bak20190801"</t>
  </si>
  <si>
    <t>"db": "MC","table": "DigiCourt_Orleans.dbview.vw_AllWarrants", "fieldDesc": "InitialBondAmount", "field": "INITIAL_BONDAMOUNT"</t>
  </si>
  <si>
    <t xml:space="preserve">
{"db": "MC",	"table": "DigiCourt_Orleans.dbview.vw_AllWarrants", "fieldDesc": "InitialBondAmount", "field": "INITIAL_BONDAMOUNT"}]
</t>
  </si>
  <si>
    <t xml:space="preserve"> "fieldDesc": "InitialBondAmount"</t>
  </si>
  <si>
    <t xml:space="preserve"> "field": "INITIAL_BONDAMOUNT"</t>
  </si>
  <si>
    <t>"db": "AS400_JMS","table": "IMCHGD","fieldDesc": "BookedAMPM","field": "ICBKPN"</t>
  </si>
  <si>
    <t xml:space="preserve">
{"db": "AS400_JMS",	"table": "IMCHGD",	"fieldDesc": "BookedAMPM",	"field": "ICBKPN"</t>
  </si>
  <si>
    <t>field: "ICBKPN"</t>
  </si>
  <si>
    <t>"db": "AS400_JMS","table": "IMCHGD","fieldDesc": "BookedDate","field": "ICBKDT"</t>
  </si>
  <si>
    <t xml:space="preserve">
{"db": "AS400_JMS",	"table": "IMCHGD",	"fieldDesc": "BookedDate",	"field": "ICBKDT"</t>
  </si>
  <si>
    <t>field: "ICBKDT"</t>
  </si>
  <si>
    <t>"db": "AS400_JMS","table": "IMTYPH","fieldDesc": "BookedDate","field": "ITEBKDT"</t>
  </si>
  <si>
    <t xml:space="preserve">
{"db": "AS400_JMS",	"table": "IMTYPH",	"fieldDesc": "BookedDate",	"field": "ITEBKDT"</t>
  </si>
  <si>
    <t>field: "ITEBKDT"</t>
  </si>
  <si>
    <t>"db": "AS400_JMS","table": "IMCHGD","fieldDesc": "BookedTime","field": "ICBKTM"</t>
  </si>
  <si>
    <t xml:space="preserve">
{"db": "AS400_JMS",	"table": "IMCHGD",	"fieldDesc": "BookedTime",	"field": "ICBKTM"</t>
  </si>
  <si>
    <t>field: "ICBKTM"</t>
  </si>
  <si>
    <t>"db": "AS400_JMS","table": "IMDSPL","fieldDesc": "DateBooked","field": "DLTBKDT"</t>
  </si>
  <si>
    <t xml:space="preserve">
{"db": "AS400_JMS",	"table": "IMDSPL",	"fieldDesc": "DateBooked",	"field": "DLTBKDT"</t>
  </si>
  <si>
    <t>fieldDesc: "DateBooked"</t>
  </si>
  <si>
    <t>field: "DLTBKDT"</t>
  </si>
  <si>
    <t>"db": "AS400_JMS","table": "IMDSPL","fieldDesc": "DateBooked","field": "DLBKDT"</t>
  </si>
  <si>
    <t xml:space="preserve">
{"db": "AS400_JMS",	"table": "IMDSPL",	"fieldDesc": "DateBooked",	"field": "DLBKDT"</t>
  </si>
  <si>
    <t>field: "DLBKDT"</t>
  </si>
  <si>
    <t>"db": "AS400_JMS","table": "IMDSPL","fieldDesc": "DateTime","field": "DLBKTM"</t>
  </si>
  <si>
    <t xml:space="preserve">
{"db": "AS400_JMS",	"table": "IMDSPL",	"fieldDesc": "DateTime",	"field": "DLBKTM"</t>
  </si>
  <si>
    <t>fieldDesc: "DateTime"</t>
  </si>
  <si>
    <t>field: "DLBKTM"</t>
  </si>
  <si>
    <t>"db": "AS400_JMS","table": "IMDSPL","fieldDesc": "DateAMPM","field": "DLBKPN"</t>
  </si>
  <si>
    <t xml:space="preserve">
{"db": "AS400_JMS",	"table": "IMDSPL",	"fieldDesc": "DateAMPM",	"field": "DLBKPN"</t>
  </si>
  <si>
    <t>fieldDesc: "DateAMPM"</t>
  </si>
  <si>
    <t>field: "DLBKPN"</t>
  </si>
  <si>
    <t>"db": "MC","table": "Digicourt_Orleans.dbview.vw_ArrestDetail","fieldDesc": "BookingDate","field": " DATEBOOKED"</t>
  </si>
  <si>
    <t xml:space="preserve">
{"db": "MC",	"table": "Digicourt_Orleans.dbview.vw_ArrestDetail",	"fieldDesc": "BookingDate",	"field": "   DATEBOOKED"}]]</t>
  </si>
  <si>
    <t>fieldDesc: "BookingDate"</t>
  </si>
  <si>
    <t>field: " DATEBOOKED"</t>
  </si>
  <si>
    <t>BookingEventResult</t>
  </si>
  <si>
    <t>A description of the outcomes of an appointment.</t>
  </si>
  <si>
    <t>"db": "AS400_JMS","table": "IMEVND","fieldDesc": "BookingEventResult","field": "EDCMNT"</t>
  </si>
  <si>
    <t>[{"db": "AS400_JMS",	"table": "IMEVND",	"fieldDesc": "BookingEventResult",	"field": "EDCMNT"}]</t>
  </si>
  <si>
    <t>j:AppointmentResultsText</t>
  </si>
  <si>
    <t>/nola:BookingExchange/j:Booking/j:BookingSubject/j:SubjectAppointment/j:AppointmentResultsText</t>
  </si>
  <si>
    <t>fieldDesc: "BookingEventResult"</t>
  </si>
  <si>
    <t>field: "EDCMNT"</t>
  </si>
  <si>
    <t>"db": "AS400_JMS","table": "IMARRD_ChargesAll_w_Keys","fieldDesc": "SCN","field": "SCN"</t>
  </si>
  <si>
    <t xml:space="preserve">
{"db": "AS400_JMS",	"table": "IMARRD_ChargesAll_w_Keys",	"fieldDesc": "SCN",	"field": "SCN"</t>
  </si>
  <si>
    <t>field: "SCN"</t>
  </si>
  <si>
    <t>"db": "AS400_JMS","table": "IMMSTR","fieldDesc": "SCN","field": "IMSCNO"</t>
  </si>
  <si>
    <t xml:space="preserve">
{"db": "AS400_JMS",	"table": "IMMSTR",	"fieldDesc": "SCN",	"field": "IMSCNO"</t>
  </si>
  <si>
    <t>field: "IMSCNO"</t>
  </si>
  <si>
    <t>"db": "AS400_JMS","table": "IMCHGD","fieldDesc": "SCN","field": "ICSCNO"</t>
  </si>
  <si>
    <t xml:space="preserve">
{"db": "AS400_JMS",	"table": "IMCHGD",	"fieldDesc": "SCN",	"field": "ICSCNO"</t>
  </si>
  <si>
    <t>field: "ICSCNO"</t>
  </si>
  <si>
    <t>"db": "AS400_JMS","table": "IMDSPL","fieldDesc": "SCN","field": "DLSCNO"</t>
  </si>
  <si>
    <t xml:space="preserve">
{"db": "AS400_JMS",	"table": "IMDSPL",	"fieldDesc": "SCN",	"field": "DLSCNO"</t>
  </si>
  <si>
    <t>field: "DLSCNO"</t>
  </si>
  <si>
    <t>"db": "AS400_CDC_CMS","table": "BNDHST","fieldDesc": "SCN","field": "BH_SCN"</t>
  </si>
  <si>
    <t xml:space="preserve">
{"db": "AS400_CDC_CMS",	"table": "BNDHST",	"fieldDesc": "SCN",	"field": "BH_SCN"</t>
  </si>
  <si>
    <t>field: "BH_SCN"</t>
  </si>
  <si>
    <t>"db": "AS400_CDC_CMS","table": "CHRGLOG","fieldDesc": "SCN","field": "CXSCN"</t>
  </si>
  <si>
    <t xml:space="preserve">
{"db": "AS400_CDC_CMS",	"table": "CHRGLOG",	"fieldDesc": "SCN",	"field": "CXSCN"</t>
  </si>
  <si>
    <t>field: "CXSCN"</t>
  </si>
  <si>
    <t>"db": "AS400_CDC_CMS","table": "DEFCHG","fieldDesc": "SCN","field": "DCSCN"</t>
  </si>
  <si>
    <t xml:space="preserve">
{"db": "AS400_CDC_CMS",	"table": "DEFCHG",	"fieldDesc": "SCN",	"field": "DCSCN"</t>
  </si>
  <si>
    <t>field: "DCSCN"</t>
  </si>
  <si>
    <t>"db": "AS400_CDC_CMS","table": "DEFEND","fieldDesc": "SCN","field": "DESCN"</t>
  </si>
  <si>
    <t xml:space="preserve">
{"db": "AS400_CDC_CMS",	"table": "DEFEND",	"fieldDesc": "SCN",	"field": "DESCN"</t>
  </si>
  <si>
    <t>table: "DEFEND"</t>
  </si>
  <si>
    <t>field: "DESCN"</t>
  </si>
  <si>
    <t>"db": "AS400_CDC_CMS","table": "DISP","fieldDesc": "SCN","field": "DP_SCN"</t>
  </si>
  <si>
    <t xml:space="preserve">
{"db": "AS400_CDC_CMS",	"table": "DISP",	"fieldDesc": "SCN",	"field": "DP_SCN"</t>
  </si>
  <si>
    <t>table: "DISP"</t>
  </si>
  <si>
    <t>field: "DP_SCN"</t>
  </si>
  <si>
    <t>"db": "AS400_CDC_CMS","table": "MAGDOCK","fieldDesc": "SCN","field": "MDSCN"</t>
  </si>
  <si>
    <t xml:space="preserve">
{"db": "AS400_CDC_CMS",	"table": "MAGDOCK",	"fieldDesc": "SCN",	"field": "MDSCN"</t>
  </si>
  <si>
    <t>table: "MAGDOCK"</t>
  </si>
  <si>
    <t>field: "MDSCN"</t>
  </si>
  <si>
    <t>"db": "AS400_CDC_CMS","table": "MAGLST","fieldDesc": "SCN","field": "MLSCN"</t>
  </si>
  <si>
    <t xml:space="preserve">
{"db": "AS400_CDC_CMS",	"table": "MAGLST",	"fieldDesc": "SCN",	"field": "MLSCN"</t>
  </si>
  <si>
    <t>table: "MAGLST"</t>
  </si>
  <si>
    <t>field: "MLSCN"</t>
  </si>
  <si>
    <t>"db": "AS400_CDC_CMS","table": "SENTEN","fieldDesc": "SCN","field": "SESCN"</t>
  </si>
  <si>
    <t xml:space="preserve">
{"db": "AS400_CDC_CMS",	"table": "SENTEN",	"fieldDesc": "SCN",	"field": "SESCN"</t>
  </si>
  <si>
    <t>table: "SENTEN"</t>
  </si>
  <si>
    <t>field: "SESCN"</t>
  </si>
  <si>
    <t>"db": "CASTNetDB","table": "PersonScn","fieldDesc": "ScnNumber","field": "ScnNumber"</t>
  </si>
  <si>
    <t xml:space="preserve">
{"db": "CASTNetDB",	"table": "PersonScn",	"fieldDesc": "ScnNumber",	"field": "ScnNumber"</t>
  </si>
  <si>
    <t>table: "PersonScn"</t>
  </si>
  <si>
    <t>fieldDesc: "ScnNumber"</t>
  </si>
  <si>
    <t>field: "ScnNumber"</t>
  </si>
  <si>
    <t>"db": "CASTNetDB","table": "vw_Person","fieldDesc": "ScnNumber","field": "ScnNumber"</t>
  </si>
  <si>
    <t xml:space="preserve">
{"db": "CASTNetDB",	"table": "vw_Person",	"fieldDesc": "ScnNumber",	"field": "ScnNumber"}]</t>
  </si>
  <si>
    <t>ChargeCount</t>
  </si>
  <si>
    <t>A number of times a person is charged with committing the same crime. A tally for each separate allegation/charge associated with the disposition. This may be a different count from the leading charge count.</t>
  </si>
  <si>
    <t>"db": "AS400_JMS","table": "IMCHGD","fieldDesc": "Counts","field": "ICCNTS"</t>
  </si>
  <si>
    <t>[{"db": "AS400_JMS",	"table": "IMCHGD",	"fieldDesc": "Counts",	"field": "ICCNTS"</t>
  </si>
  <si>
    <t>[{"db": "AS400_JMS",	"table": "IMCHGD",	"fieldDesc": "Counts",	"field": "ICCNTS"},
{"db": "AS400_JMS",	"table": "IMDSPL",	"fieldDesc": "Counts",	"field": "DLCNTS"},
{"db": "AS400_CDC_CMS",	"table": "CHRGLOG",	"fieldDesc": "ChargeCount",	"field": "CXCNT#"}]</t>
  </si>
  <si>
    <t>j:ChargeCountQuantity</t>
  </si>
  <si>
    <t>niem-xs:nonNegativeInteger</t>
  </si>
  <si>
    <t>/nola:BookingExchange/j:Booking/j:Arrest/j:ArrestCharge[1]/j:ChargeCountQuantity</t>
  </si>
  <si>
    <t>fieldDesc: "Counts"</t>
  </si>
  <si>
    <t>field: "ICCNTS"</t>
  </si>
  <si>
    <t>"db": "AS400_JMS","table": "IMDSPL","fieldDesc": "Counts","field": "DLCNTS"</t>
  </si>
  <si>
    <t xml:space="preserve">
{"db": "AS400_JMS",	"table": "IMDSPL",	"fieldDesc": "Counts",	"field": "DLCNTS"</t>
  </si>
  <si>
    <t>field: "DLCNTS"</t>
  </si>
  <si>
    <t>"db": "AS400_CDC_CMS","table": "CHRGLOG","fieldDesc": "ChargeCount","field": "CXCNT#"</t>
  </si>
  <si>
    <t xml:space="preserve">
{"db": "AS400_CDC_CMS",	"table": "CHRGLOG",	"fieldDesc": "ChargeCount",	"field": "CXCNT#"}]</t>
  </si>
  <si>
    <t>fieldDesc: "ChargeCount"</t>
  </si>
  <si>
    <t>field: "CXCNT#"</t>
  </si>
  <si>
    <t>ChargeDescription</t>
  </si>
  <si>
    <t>A plain language description of a charge.</t>
  </si>
  <si>
    <t>"db": "AS400_JMS","table": "IMARRD","fieldDesc": "ChargeDescription","field": "IDCHD1"</t>
  </si>
  <si>
    <t>[{"db": "AS400_JMS",	"table": "IMARRD",	"fieldDesc": "ChargeDescription",	"field": "IDCHD1"</t>
  </si>
  <si>
    <t xml:space="preserve">[{"db": "AS400_JMS",	"table": "IMARRD",	"fieldDesc": "ChargeDescription",	"field": "IDCHD1"},
{"db": "AS400_JMS",	"table": "IMARRD",	"fieldDesc": "ChargeDescription",	"field": "IDCHD2"},
{"db": "AS400_JMS",	"table": "IMARRD",	"fieldDesc": "ChargeDescription",	"field": "IDCHD3"},
{"db": "AS400_JMS",	"table": "IMARRD",	"fieldDesc": "ChargeDescription",	"field": "IDCHD4"},
{"db": "AS400_JMS",	"table": "IMARRD",	"fieldDesc": "ChargeDescription",	"field": "IDCHD5"},
{"db": "AS400_JMS",	"table": "IMARRD",	"fieldDesc": "ChargeDescription",	"field": "IDCHD6"},
{"db": "AS400_JMS",	"table": "IMARRD_ChargesAll_w_Keys",	"fieldDesc": "ChargeDescription",	"field": "IDCHD"},
{"db": "AS400_JMS",	"table": "IMARRD_ChargesAll_w_Keys",	"fieldDesc": "ChargeDescription",	"field": "Chg_Desc"},
{"db": "AS400_JMS",	"table": "IMCHGT",	"fieldDesc": "ChargeDescription",	"field": "CTVERB"},
{"db": "AS400_JMS",	"table": "IMDSPL",	"fieldDesc": "ChargeDescription",	"field": "DLSUBP"},
{"db": "AS400_JMS",	"table": "IMCHGD",	"fieldDesc": "ChargeDetails",	"field": "ICDTLS"},
{"db": "AS400_JMS",	"table": "IMDSPL",	"fieldDesc": "ChargeDetails",	"field": "DLDTLS"},
{"db": "AS400_JMS",	"table": "IMDSPL",	"fieldDesc": "ChargeDetails",	"field": "DLBKUP"},
{"db": "AS400_JMS",	"table": "IMARRD_ChargesAll_w_Keys",	"fieldDesc": "ChargeDescription?",	"field": "Gen_DESC"},
{"db": "CASTNetDB",	"table": "Charge",	"fieldDesc": "ChargeDescription",	"field": "ChargeDescription"},
{"db": "CASTNetDB",	"table": "PersonCharge",	"fieldDesc": "ChargeDescription",	"field": "ChargeDescription"},
{"db": "CASTNetDB",	"table": "PersonChargeDisposition",	"fieldDesc": "ChargeDescription",	"field": "ChargeDescription"},
{"db": "CASTNetDB",	"table": "PersonProbation",	"fieldDesc": "ChargeDescription",	"field": "ChargeDescription"},
{"db": "EPR",	"table": "OffenderCharges",	"fieldDesc": "ChargeDetails",	"field": "DTLS"},
{"db": "CASTNetDB",	"table": "PersonCharge",		"fieldDesc": "ChargeDetail",	"field": "ChargeDetail"}]
</t>
  </si>
  <si>
    <t>j:ChargeDescriptionText</t>
  </si>
  <si>
    <t>/nola:BookingExchange/j:Booking/j:Arrest/j:ArrestCharge[1]/j:ChargeCategoryDescriptionText</t>
  </si>
  <si>
    <t>fieldDesc: "ChargeDescription"</t>
  </si>
  <si>
    <t>field: "IDCHD1"</t>
  </si>
  <si>
    <t>/nola:BookingExchange/j:Booking/j:Arrest/j:ArrestCharge[2]/j:ChargeCategoryDescriptionText</t>
  </si>
  <si>
    <t>/nola:BookingExchange/j:Booking/j:Arrest/j:ArrestCharge[3]/j:ChargeCategoryDescriptionText</t>
  </si>
  <si>
    <t>/nola:BookingExchange/j:Booking/j:Arrest/j:ArrestCharge[4]/j:ChargeCategoryDescriptionText</t>
  </si>
  <si>
    <t>/nola:BookingExchange/j:Booking/j:Arrest/j:ArrestCharge[5]/j:ChargeCategoryDescriptionText</t>
  </si>
  <si>
    <t>/nola:BookingExchange/j:Booking/j:Arrest/j:ArrestCharge[6]/j:ChargeCategoryDescriptionText</t>
  </si>
  <si>
    <t>"db": "AS400_JMS","table": "IMARRD","fieldDesc": "ChargeDescription","field": "IDCHD2"</t>
  </si>
  <si>
    <t xml:space="preserve">
{"db": "AS400_JMS",	"table": "IMARRD",	"fieldDesc": "ChargeDescription",	"field": "IDCHD2"</t>
  </si>
  <si>
    <t>field: "IDCHD2"</t>
  </si>
  <si>
    <t>"db": "AS400_JMS","table": "IMARRD","fieldDesc": "ChargeDescription","field": "IDCHD3"</t>
  </si>
  <si>
    <t xml:space="preserve">
{"db": "AS400_JMS",	"table": "IMARRD",	"fieldDesc": "ChargeDescription",	"field": "IDCHD3"</t>
  </si>
  <si>
    <t>field: "IDCHD3"</t>
  </si>
  <si>
    <t>"db": "AS400_JMS","table": "IMARRD","fieldDesc": "ChargeDescription","field": "IDCHD4"</t>
  </si>
  <si>
    <t xml:space="preserve">
{"db": "AS400_JMS",	"table": "IMARRD",	"fieldDesc": "ChargeDescription",	"field": "IDCHD4"</t>
  </si>
  <si>
    <t>field: "IDCHD4"</t>
  </si>
  <si>
    <t>"db": "AS400_JMS","table": "IMARRD","fieldDesc": "ChargeDescription","field": "IDCHD5"</t>
  </si>
  <si>
    <t xml:space="preserve">
{"db": "AS400_JMS",	"table": "IMARRD",	"fieldDesc": "ChargeDescription",	"field": "IDCHD5"</t>
  </si>
  <si>
    <t>field: "IDCHD5"</t>
  </si>
  <si>
    <t>"db": "AS400_JMS","table": "IMARRD","fieldDesc": "ChargeDescription","field": "IDCHD6"</t>
  </si>
  <si>
    <t xml:space="preserve">
{"db": "AS400_JMS",	"table": "IMARRD",	"fieldDesc": "ChargeDescription",	"field": "IDCHD6"</t>
  </si>
  <si>
    <t>field: "IDCHD6"</t>
  </si>
  <si>
    <t>"db": "AS400_JMS","table": "IMARRD_ChargesAll_w_Keys","fieldDesc": "ChargeDescription","field": "IDCHD"</t>
  </si>
  <si>
    <t xml:space="preserve">
{"db": "AS400_JMS",	"table": "IMARRD_ChargesAll_w_Keys",	"fieldDesc": "ChargeDescription",	"field": "IDCHD"</t>
  </si>
  <si>
    <t>field: "IDCHD"</t>
  </si>
  <si>
    <t>"db": "AS400_JMS","table": "IMARRD_ChargesAll_w_Keys","fieldDesc": "ChargeDescription","field": "Chg_Desc"</t>
  </si>
  <si>
    <t xml:space="preserve">
{"db": "AS400_JMS",	"table": "IMARRD_ChargesAll_w_Keys",	"fieldDesc": "ChargeDescription",	"field": "Chg_Desc"</t>
  </si>
  <si>
    <t>field: "Chg_Desc"</t>
  </si>
  <si>
    <t>"db": "AS400_JMS","table": "IMCHGT","fieldDesc": "ChargeDescription","field": "CTVERB"</t>
  </si>
  <si>
    <t xml:space="preserve">
{"db": "AS400_JMS",	"table": "IMCHGT",	"fieldDesc": "ChargeDescription",	"field": "CTVERB"</t>
  </si>
  <si>
    <t>field: "CTVERB"</t>
  </si>
  <si>
    <t>"db": "AS400_JMS","table": "IMDSPL","fieldDesc": "ChargeDescription","field": "DLSUBP"</t>
  </si>
  <si>
    <t xml:space="preserve">
{"db": "AS400_JMS",	"table": "IMDSPL",	"fieldDesc": "ChargeDescription",	"field": "DLSUBP"</t>
  </si>
  <si>
    <t>field: "DLSUBP"</t>
  </si>
  <si>
    <t>"db": "AS400_JMS","table": "IMCHGD","fieldDesc": "ChargeDetails","field": "ICDTLS"</t>
  </si>
  <si>
    <t xml:space="preserve">
{"db": "AS400_JMS",	"table": "IMCHGD",	"fieldDesc": "ChargeDetails",	"field": "ICDTLS"</t>
  </si>
  <si>
    <t>fieldDesc: "ChargeDetails"</t>
  </si>
  <si>
    <t>field: "ICDTLS"</t>
  </si>
  <si>
    <t>"db": "AS400_JMS","table": "IMDSPL","fieldDesc": "ChargeDetails","field": "DLDTLS"</t>
  </si>
  <si>
    <t xml:space="preserve">
{"db": "AS400_JMS",	"table": "IMDSPL",	"fieldDesc": "ChargeDetails",	"field": "DLDTLS"</t>
  </si>
  <si>
    <t>field: "DLDTLS"</t>
  </si>
  <si>
    <t>"db": "AS400_JMS","table": "IMDSPL","fieldDesc": "ChargeDetails","field": "DLBKUP"</t>
  </si>
  <si>
    <t xml:space="preserve">
{"db": "AS400_JMS",	"table": "IMDSPL",	"fieldDesc": "ChargeDetails",	"field": "DLBKUP"</t>
  </si>
  <si>
    <t>field: "DLBKUP"</t>
  </si>
  <si>
    <t>"db": "AS400_JMS","table": "IMARRD_ChargesAll_w_Keys","fieldDesc": "ChargeDescription?","field": "Gen_DESC"</t>
  </si>
  <si>
    <t xml:space="preserve">
{"db": "AS400_JMS",	"table": "IMARRD_ChargesAll_w_Keys",	"fieldDesc": "ChargeDescription?",	"field": "Gen_DESC"</t>
  </si>
  <si>
    <t>fieldDesc: "ChargeDescription?"</t>
  </si>
  <si>
    <t>field: "Gen_DESC"</t>
  </si>
  <si>
    <t>"db": "CASTNetDB","table": "Charge","fieldDesc": "ChargeDescription","field": "ChargeDescription"</t>
  </si>
  <si>
    <t xml:space="preserve">
{"db": "CASTNetDB",	"table": "Charge",	"fieldDesc": "ChargeDescription",	"field": "ChargeDescription"</t>
  </si>
  <si>
    <t>field: "ChargeDescription"</t>
  </si>
  <si>
    <t>"db": "CASTNetDB","table": "PersonCharge","fieldDesc": "ChargeDescription","field": "ChargeDescription"</t>
  </si>
  <si>
    <t xml:space="preserve">
{"db": "CASTNetDB",	"table": "PersonCharge",	"fieldDesc": "ChargeDescription",	"field": "ChargeDescription"</t>
  </si>
  <si>
    <t>"db": "CASTNetDB","table": "PersonChargeDisposition","fieldDesc": "ChargeDescription","field": "ChargeDescription"</t>
  </si>
  <si>
    <t xml:space="preserve">
{"db": "CASTNetDB",	"table": "PersonChargeDisposition",	"fieldDesc": "ChargeDescription",	"field": "ChargeDescription"</t>
  </si>
  <si>
    <t>table: "PersonChargeDisposition"</t>
  </si>
  <si>
    <t>"db": "CASTNetDB","table": "PersonProbation","fieldDesc": "ChargeDescription","field": "ChargeDescription"</t>
  </si>
  <si>
    <t xml:space="preserve">
{"db": "CASTNetDB",	"table": "PersonProbation",	"fieldDesc": "ChargeDescription",	"field": "ChargeDescription"</t>
  </si>
  <si>
    <t>s</t>
  </si>
  <si>
    <t>"db": "EPR","table": "OffenderCharges","fieldDesc": "ChargeDetails","field": "DTLS"</t>
  </si>
  <si>
    <t xml:space="preserve">
{"db": "EPR",	"table": "OffenderCharges",	"fieldDesc": "ChargeDetails",	"field": "DTLS"</t>
  </si>
  <si>
    <t>table: "OffenderCharges"</t>
  </si>
  <si>
    <t>field: "DTLS"</t>
  </si>
  <si>
    <t>t</t>
  </si>
  <si>
    <t>"db": "CASTNetDB","table": "PersonCharge","fieldDesc": "ChargeDetail","field": "ChargeDetail"</t>
  </si>
  <si>
    <t xml:space="preserve">
{"db": "CASTNetDB",	"table": "PersonCharge",		"fieldDesc": "ChargeDetail",	"field": "ChargeDetail"}]
</t>
  </si>
  <si>
    <t>fieldDesc: "ChargeDetail"</t>
  </si>
  <si>
    <t>field: "ChargeDetail"</t>
  </si>
  <si>
    <t>ChargeEffectiveDate</t>
  </si>
  <si>
    <t>A date a charge was filed.</t>
  </si>
  <si>
    <t>"db": "AS400_CDC_CMS","table": "CHRGLOG","fieldDesc": "EffectiveDate","field": "CXEDATE"</t>
  </si>
  <si>
    <t>[{"db": "AS400_CDC_CMS",	"table": "CHRGLOG",	"fieldDesc": "EffectiveDate",	"field": "CXEDATE"}]</t>
  </si>
  <si>
    <t>/nola:BookingExchange/j:Booking/j:Arrest/j:ArrestCharge[1]/j:ChargeFilingDate/DateTime</t>
  </si>
  <si>
    <t>fieldDesc: "EffectiveDate"</t>
  </si>
  <si>
    <t>field: "CXEDATE"</t>
  </si>
  <si>
    <t>/nola:BookingExchange/j:Booking/j:Arrest/j:ArrestCharge[1]/nola-ext:ChargeAugmentation/nola-ext:ChargeKey</t>
  </si>
  <si>
    <t>/nola:BookingExchange/j:Booking/j:Arrest/j:ArrestCharge[2]/nola-ext:ChargeAugmentation/nola-ext:ChargeKey</t>
  </si>
  <si>
    <t>/nola:BookingExchange/j:Booking/j:Arrest/j:ArrestCharge[3]/nola-ext:ChargeAugmentation/nola-ext:ChargeKey</t>
  </si>
  <si>
    <t>/nola:BookingExchange/j:Booking/j:Arrest/j:ArrestCharge[4]/nola-ext:ChargeAugmentation/nola-ext:ChargeKey</t>
  </si>
  <si>
    <t>/nola:BookingExchange/j:Booking/j:Arrest/j:ArrestCharge[5]/nola-ext:ChargeAugmentation/nola-ext:ChargeKey</t>
  </si>
  <si>
    <t>/nola:BookingExchange/j:Booking/j:Arrest/j:ArrestCharge[6]/nola-ext:ChargeAugmentation/nola-ext:ChargeKey</t>
  </si>
  <si>
    <t>"db": "AS400_JMS","table": "IMARRD_ChargesAll_w_Keys","fieldDesc": "ChargeKey","field": "Charge_Key"</t>
  </si>
  <si>
    <t xml:space="preserve">
{"db": "AS400_JMS",	"table": "IMARRD_ChargesAll_w_Keys",	"fieldDesc": "ChargeKey",	"field": "Charge_Key"</t>
  </si>
  <si>
    <t>field: "Charge_Key"</t>
  </si>
  <si>
    <t>"db": "AS400_JMS","table": "IMCHGD","fieldDesc": "ChargeKey","field": "ICCHGK"</t>
  </si>
  <si>
    <t xml:space="preserve">
{"db": "AS400_JMS",	"table": "IMCHGD",	"fieldDesc": "ChargeKey",	"field": "ICCHGK"</t>
  </si>
  <si>
    <t>field: "ICCHGK"</t>
  </si>
  <si>
    <t>"db": "AS400_JMS","table": "IMCHGT","fieldDesc": "ChargeKey","field": "CTCHGK"</t>
  </si>
  <si>
    <t xml:space="preserve">
{"db": "AS400_JMS",	"table": "IMCHGT",	"fieldDesc": "ChargeKey",	"field": "CTCHGK"</t>
  </si>
  <si>
    <t>field: "CTCHGK"</t>
  </si>
  <si>
    <t>"db": "AS400_JMS","table": "IMDSPL","fieldDesc": "ChargeKey","field": "DLCHGK"</t>
  </si>
  <si>
    <t xml:space="preserve">
{"db": "AS400_JMS",	"table": "IMDSPL",	"fieldDesc": "ChargeKey",	"field": "DLCHGK"</t>
  </si>
  <si>
    <t>field: "DLCHGK"</t>
  </si>
  <si>
    <t>"db": "AS400_CDC_CMS","table": "CHRGLOG","fieldDesc": "ChargeKey","field": "CXC#"</t>
  </si>
  <si>
    <t xml:space="preserve">
{"db": "AS400_CDC_CMS",	"table": "CHRGLOG",	"fieldDesc": "ChargeKey",	"field": "CXC#"</t>
  </si>
  <si>
    <t>field: "CXC#"</t>
  </si>
  <si>
    <t>"db": "AS400_CDC_CMS","table": "DEFCHG","fieldDesc": "ChargeKey","field": "DC#"</t>
  </si>
  <si>
    <t xml:space="preserve">
{"db": "AS400_CDC_CMS",	"table": "DEFCHG",	"fieldDesc": "ChargeKey",	"field": "DC#"</t>
  </si>
  <si>
    <t>field: "DC#"</t>
  </si>
  <si>
    <t>"db": "CASTNetDB","table": "Charge","fieldDesc": "ChargeKey","field": "ChargeKey"</t>
  </si>
  <si>
    <t xml:space="preserve">
{"db": "CASTNetDB",		"table": "Charge",	"fieldDesc": "ChargeKey",	"field": "ChargeKey"}]
</t>
  </si>
  <si>
    <t>field: "ChargeKey"</t>
  </si>
  <si>
    <t>/nola:BookingExchange/j:Booking/j:Arrest/j:ArrestCharge[1]/nola-ext:ChargeAugmentation/nola-ext:ChargeLIBRSCode</t>
  </si>
  <si>
    <t>/nola:BookingExchange/j:Booking/j:Arrest/j:ArrestCharge[2]/nola-ext:ChargeAugmentation/nola-ext:ChargeLIBRSCode</t>
  </si>
  <si>
    <t>/nola:BookingExchange/j:Booking/j:Arrest/j:ArrestCharge[3]/nola-ext:ChargeAugmentation/nola-ext:ChargeLIBRSCode</t>
  </si>
  <si>
    <t>/nola:BookingExchange/j:Booking/j:Arrest/j:ArrestCharge[4]/nola-ext:ChargeAugmentation/nola-ext:ChargeLIBRSCode</t>
  </si>
  <si>
    <t>/nola:BookingExchange/j:Booking/j:Arrest/j:ArrestCharge[5]/nola-ext:ChargeAugmentation/nola-ext:ChargeLIBRSCode</t>
  </si>
  <si>
    <t>/nola:BookingExchange/j:Booking/j:Arrest/j:ArrestCharge[6]/nola-ext:ChargeAugmentation/nola-ext:ChargeLIBRSCode</t>
  </si>
  <si>
    <t>"db": "AS400_JMS","table": "IMCHGD","fieldDesc": "LIBRSNumber","field": "ICLBRS"</t>
  </si>
  <si>
    <t xml:space="preserve">
{"db": "AS400_JMS",	"table": "IMCHGD",	"fieldDesc": "LIBRSNumber",	"field": "ICLBRS"</t>
  </si>
  <si>
    <t>fieldDesc: "LIBRSNumber"</t>
  </si>
  <si>
    <t>field: "ICLBRS"</t>
  </si>
  <si>
    <t>"db": "AS400_JMS","table": "IMDSPL","fieldDesc": "LIBRSNumber","field": "DLLBRS"</t>
  </si>
  <si>
    <t xml:space="preserve">
{"db": "AS400_JMS",	"table": "IMDSPL",	"fieldDesc": "LIBRSNumber",	"field": "DLLBRS"}]</t>
  </si>
  <si>
    <t>field: "DLLBRS"</t>
  </si>
  <si>
    <t>ChargeNumber</t>
  </si>
  <si>
    <t>A unique identification number assigned to a particular charge by a Jail Management System (JMS).</t>
  </si>
  <si>
    <t>"db": "AS400_JMS","table": "IMARRD","fieldDesc": "JMSChargeNumber","field": "IDCHN1"</t>
  </si>
  <si>
    <t>[{"db": "AS400_JMS",	"table": "IMARRD",	"fieldDesc": "JMSChargeNumber",	"field": "IDCHN1"</t>
  </si>
  <si>
    <t>[{"db": "AS400_JMS",	"table": "IMARRD",	"fieldDesc": "JMSChargeNumber",	"field": "IDCHN1"},
{"db": "AS400_JMS",	"table": "IMARRD",	"fieldDesc": "JMSChargeNumber",	"field": "IDCHN2"},
{"db": "AS400_JMS",	"table": "IMARRD",	"fieldDesc": "JMSChargeNumber",	"field": "IDCHN3"},
{"db": "AS400_JMS",	"table": "IMARRD",	"fieldDesc": "JMSChargeNumber",	"field": "IDCHN4"},
{"db": "AS400_JMS",	"table": "IMARRD",	"fieldDesc": "JMSChargeNumber",	"field": "IDCHN5"},
{"db": "AS400_JMS",	"table": "IMARRD",	"fieldDesc": "JMSChargeNumber",	"field": "IDCHN6"},
{"db": "AS400_JMS",	"table": "IMBPYD",	"fieldDesc": "JMSChargeNumber",	"field": "BDCHGN"},
{"db": "AS400_JMS",	"table": "IMCHGD",	"fieldDesc": "JMSChargeNumber",	"field": "ICCHGN"},
{"db": "AS400_JMS",	"table": "IMDSPL",	"fieldDesc": "JMSChargeNumber",	"field": "DLCHGN"},
{"db": "CASTNetDB",	"table": "PersonCharge",	"fieldDesc": "ChargeNumber",	"field": "ChargeNumber"}]</t>
  </si>
  <si>
    <t>nola-ext:JMSChargeNumber</t>
  </si>
  <si>
    <t>niem:xs-string</t>
  </si>
  <si>
    <t>/nola:BookingExchange/j:Booking/j:Arrest/j:ArrestCharge[1]/nola-ext:ChargeAugmentation/nola-ext:JMSChargeNumber</t>
  </si>
  <si>
    <t>fieldDesc: "JMSChargeNumber"</t>
  </si>
  <si>
    <t>field: "IDCHN1"</t>
  </si>
  <si>
    <t>/nola:BookingExchange/j:Booking/j:Arrest/j:ArrestCharge[2]/nola-ext:ChargeAugmentation/nola-ext:JMSChargeNumber</t>
  </si>
  <si>
    <t>/nola:BookingExchange/j:Booking/j:Arrest/j:ArrestCharge[3]/nola-ext:ChargeAugmentation/nola-ext:JMSChargeNumber</t>
  </si>
  <si>
    <t>/nola:BookingExchange/j:Booking/j:Arrest/j:ArrestCharge[4]/nola-ext:ChargeAugmentation/nola-ext:JMSChargeNumber</t>
  </si>
  <si>
    <t>/nola:BookingExchange/j:Booking/j:Arrest/j:ArrestCharge[5]/nola-ext:ChargeAugmentation/nola-ext:JMSChargeNumber</t>
  </si>
  <si>
    <t>/nola:BookingExchange/j:Booking/j:Arrest/j:ArrestCharge[6]/nola-ext:ChargeAugmentation/nola-ext:JMSChargeNumber</t>
  </si>
  <si>
    <t>"db": "AS400_JMS","table": "IMARRD","fieldDesc": "JMSChargeNumber","field": "IDCHN2"</t>
  </si>
  <si>
    <t xml:space="preserve">
{"db": "AS400_JMS",	"table": "IMARRD",	"fieldDesc": "JMSChargeNumber",	"field": "IDCHN2"</t>
  </si>
  <si>
    <t>field: "IDCHN2"</t>
  </si>
  <si>
    <t>"db": "AS400_JMS","table": "IMARRD","fieldDesc": "JMSChargeNumber","field": "IDCHN3"</t>
  </si>
  <si>
    <t xml:space="preserve">
{"db": "AS400_JMS",	"table": "IMARRD",	"fieldDesc": "JMSChargeNumber",	"field": "IDCHN3"</t>
  </si>
  <si>
    <t>field: "IDCHN3"</t>
  </si>
  <si>
    <t>"db": "AS400_JMS","table": "IMARRD","fieldDesc": "JMSChargeNumber","field": "IDCHN4"</t>
  </si>
  <si>
    <t xml:space="preserve">
{"db": "AS400_JMS",	"table": "IMARRD",	"fieldDesc": "JMSChargeNumber",	"field": "IDCHN4"</t>
  </si>
  <si>
    <t>field: "IDCHN4"</t>
  </si>
  <si>
    <t>"db": "AS400_JMS","table": "IMARRD","fieldDesc": "JMSChargeNumber","field": "IDCHN5"</t>
  </si>
  <si>
    <t xml:space="preserve">
{"db": "AS400_JMS",	"table": "IMARRD",	"fieldDesc": "JMSChargeNumber",	"field": "IDCHN5"</t>
  </si>
  <si>
    <t>field: "IDCHN5"</t>
  </si>
  <si>
    <t>"db": "AS400_JMS","table": "IMARRD","fieldDesc": "JMSChargeNumber","field": "IDCHN6"</t>
  </si>
  <si>
    <t xml:space="preserve">
{"db": "AS400_JMS",	"table": "IMARRD",	"fieldDesc": "JMSChargeNumber",	"field": "IDCHN6"</t>
  </si>
  <si>
    <t>field: "IDCHN6"</t>
  </si>
  <si>
    <t>"db": "AS400_JMS","table": "IMBPYD","fieldDesc": "JMSChargeNumber","field": "BDCHGN"</t>
  </si>
  <si>
    <t xml:space="preserve">
{"db": "AS400_JMS",	"table": "IMBPYD",	"fieldDesc": "JMSChargeNumber",	"field": "BDCHGN"</t>
  </si>
  <si>
    <t>field: "BDCHGN"</t>
  </si>
  <si>
    <t>"db": "AS400_JMS","table": "IMCHGD","fieldDesc": "JMSChargeNumber","field": "ICCHGN"</t>
  </si>
  <si>
    <t xml:space="preserve">
{"db": "AS400_JMS",	"table": "IMCHGD",	"fieldDesc": "JMSChargeNumber",	"field": "ICCHGN"</t>
  </si>
  <si>
    <t>field: "ICCHGN"</t>
  </si>
  <si>
    <t>"db": "AS400_JMS","table": "IMDSPL","fieldDesc": "JMSChargeNumber","field": "DLCHGN"</t>
  </si>
  <si>
    <t xml:space="preserve">
{"db": "AS400_JMS",	"table": "IMDSPL",	"fieldDesc": "JMSChargeNumber",	"field": "DLCHGN"</t>
  </si>
  <si>
    <t>field: "DLCHGN"</t>
  </si>
  <si>
    <t>"db": "CASTNetDB","table": "PersonCharge","fieldDesc": "ChargeNumber","field": "ChargeNumber"</t>
  </si>
  <si>
    <t xml:space="preserve">
{"db": "CASTNetDB",	"table": "PersonCharge",	"fieldDesc": "ChargeNumber",	"field": "ChargeNumber"}]</t>
  </si>
  <si>
    <t>fieldDesc: "ChargeNumber"</t>
  </si>
  <si>
    <t>field: "ChargeNumber"</t>
  </si>
  <si>
    <t>ChargeSequenceNumber</t>
  </si>
  <si>
    <t>A sequentially assigned identifier for charge tracking purposes.</t>
  </si>
  <si>
    <t>"db": "AS400_CDC_CMS","table": "SENTEN","fieldDesc": "ChargeSequenceNumber","field": "SECHG#"</t>
  </si>
  <si>
    <t>[{"db": "AS400_CDC_CMS",	"table": "SENTEN",	"fieldDesc": "ChargeSequenceNumber",	"field": "SECHG#"</t>
  </si>
  <si>
    <t>[{"db": "AS400_CDC_CMS",	"table": "SENTEN",	"fieldDesc": "ChargeSequenceNumber",	"field": "SECHG#"},
{"db": "AS400_CDC_CMS",	"table": "BNDHST",	"fieldDesc": "ChargeSequenceNumber (DEFCHG) ",	"field": "BH_CHARGE_SEQ_NUMBER"},
{"db": "AS400_CDC_CMS",	"table": "CHRGLOG",	"fieldDesc": "ChargeSequenceNumber (DEFCHG) ",	"field": "CXSEQ#"},
{"db": "AS400_CDC_CMS",	"table": "DEFCHG",	"fieldDesc": "ChargeSequenceNumber (DEFCHG) ",	"field": "DCSEQ#"},
{"db": "AS400_CDC_CMS",	"table": "DISP",	"fieldDesc": "ChargeSequenceNumber (DEFCHG) ",	"field": "DP_CHARGE_SEQUENCE_NUMBER"},
{"db": "AS400_CDC_CMS",	"table": "DEFCHG",	"fieldDesc": "ChargeSequenceNumberwithinCaseNumber",	"field": "DCCCH#"},
{"db": "CASTNetDB",	"table": "PersonChargeDisposition",	"fieldDesc": "ChargeSequenceNumber",	"field": "ChargeSequenceNumber"}]</t>
  </si>
  <si>
    <t>j:ChargeSequenceID</t>
  </si>
  <si>
    <t>/nola:BookingExchange/j:Booking/j:Arrest/j:ArrestCharge[1]/j:ChargeSequenceID</t>
  </si>
  <si>
    <t>fieldDesc: "ChargeSequenceNumber"</t>
  </si>
  <si>
    <t>field: "SECHG#"</t>
  </si>
  <si>
    <t>"db": "AS400_CDC_CMS","table": "BNDHST","fieldDesc": "ChargeSequenceNumber (DEFCHG) ","field": "BH_CHARGE_SEQ_NUMBER"</t>
  </si>
  <si>
    <t xml:space="preserve">
{"db": "AS400_CDC_CMS",	"table": "BNDHST",	"fieldDesc": "ChargeSequenceNumber (DEFCHG) ",	"field": "BH_CHARGE_SEQ_NUMBER"</t>
  </si>
  <si>
    <t>fieldDesc: "ChargeSequenceNumber (DEFCHG) "</t>
  </si>
  <si>
    <t>field: "BH_CHARGE_SEQ_NUMBER"</t>
  </si>
  <si>
    <t>"db": "AS400_CDC_CMS","table": "CHRGLOG","fieldDesc": "ChargeSequenceNumber (DEFCHG) ","field": "CXSEQ#"</t>
  </si>
  <si>
    <t xml:space="preserve">
{"db": "AS400_CDC_CMS",	"table": "CHRGLOG",	"fieldDesc": "ChargeSequenceNumber (DEFCHG) ",	"field": "CXSEQ#"</t>
  </si>
  <si>
    <t>field: "CXSEQ#"</t>
  </si>
  <si>
    <t>"db": "AS400_CDC_CMS","table": "DEFCHG","fieldDesc": "ChargeSequenceNumber (DEFCHG) ","field": "DCSEQ#"</t>
  </si>
  <si>
    <t xml:space="preserve">
{"db": "AS400_CDC_CMS",	"table": "DEFCHG",	"fieldDesc": "ChargeSequenceNumber (DEFCHG) ",	"field": "DCSEQ#"</t>
  </si>
  <si>
    <t>field: "DCSEQ#"</t>
  </si>
  <si>
    <t>"db": "AS400_CDC_CMS","table": "DISP","fieldDesc": "ChargeSequenceNumber (DEFCHG) ","field": "DP_CHARGE_SEQUENCE_NUMBER"</t>
  </si>
  <si>
    <t xml:space="preserve">
{"db": "AS400_CDC_CMS",	"table": "DISP",	"fieldDesc": "ChargeSequenceNumber (DEFCHG) ",	"field": "DP_CHARGE_SEQUENCE_NUMBER"</t>
  </si>
  <si>
    <t>field: "DP_CHARGE_SEQUENCE_NUMBER"</t>
  </si>
  <si>
    <t>"db": "AS400_CDC_CMS","table": "DEFCHG","fieldDesc": "ChargeSequenceNumberwithinCaseNumber","field": "DCCCH#"</t>
  </si>
  <si>
    <t xml:space="preserve">
{"db": "AS400_CDC_CMS",	"table": "DEFCHG",	"fieldDesc": "ChargeSequenceNumberwithinCaseNumber",	"field": "DCCCH#"</t>
  </si>
  <si>
    <t>fieldDesc: "ChargeSequenceNumberwithinCaseNumber"</t>
  </si>
  <si>
    <t>field: "DCCCH#"</t>
  </si>
  <si>
    <t>"db": "CASTNetDB","table": "PersonChargeDisposition","fieldDesc": "ChargeSequenceNumber","field": "ChargeSequenceNumber"</t>
  </si>
  <si>
    <t xml:space="preserve">
{"db": "CASTNetDB",	"table": "PersonChargeDisposition",	"fieldDesc": "ChargeSequenceNumber",	"field": "ChargeSequenceNumber"}]</t>
  </si>
  <si>
    <t>field: "ChargeSequenceNumber"</t>
  </si>
  <si>
    <t>ChargeType</t>
  </si>
  <si>
    <t>A description of a crime category or the severity level to which a charge belongs.</t>
  </si>
  <si>
    <t>"db": "AS400_JMS","table": "IMCHGT","fieldDesc": "ChargeType ","field": "CTFMFL"</t>
  </si>
  <si>
    <t>[{"db": "AS400_JMS",	"table": "IMCHGT",	"fieldDesc": "ChargeType ",	"field": "CTFMFL"</t>
  </si>
  <si>
    <t>[{"db": "AS400_JMS",	"table": "IMCHGT",	"fieldDesc": "ChargeType ",	"field": "CTFMFL"},
{"db": "CASTNetDB",	"table": "Charge",	"fieldDesc": "TypeFSMTO",	"field": "TypeFSMTO"},
{"db": "CASTNetDB",	"table": "Charge",	"fieldDesc": "ChargeTypeCode",	"field": "ChargeTypeCode"},
{"db": "EPR",	"table": "OffenderCharges",	"fieldDesc": "ChargeTypeID",	"field": "ChargeTypeID"},
{"db": "CASTNetDB",	"table": "PersonCharge",		"fieldDesc": "ChargeTableTypeId",	"field": "ChargeTableTypeId"},
{"db": "CASTNetDB",	"table": "PersonChargeDisposition",	"fieldDesc": "ChargeTypeId",	"field": "ChargeTypeId"},
{"db": "CASTNetDB",	"table": "SpecialOfficerCommission",	"fieldDesc": "TypeId",		"field": "TypeId"}]</t>
  </si>
  <si>
    <t>j:ChargeCategoryDescriptionText</t>
  </si>
  <si>
    <t>COLHDG('Fel/Mis/City/Traf')
F - Felony
M - Misdemeanor
C - City
T - Traffic</t>
  </si>
  <si>
    <t>fieldDesc: "ChargeType "</t>
  </si>
  <si>
    <t>field: "CTFMFL"</t>
  </si>
  <si>
    <t>"db": "CASTNetDB","table": "Charge","fieldDesc": "TypeFSMTO","field": "TypeFSMTO"</t>
  </si>
  <si>
    <t xml:space="preserve">
{"db": "CASTNetDB",	"table": "Charge",	"fieldDesc": "TypeFSMTO",	"field": "TypeFSMTO"</t>
  </si>
  <si>
    <t>fieldDesc: "TypeFSMTO"</t>
  </si>
  <si>
    <t>field: "TypeFSMTO"</t>
  </si>
  <si>
    <t>"db": "CASTNetDB","table": "Charge","fieldDesc": "ChargeTypeCode","field": "ChargeTypeCode"</t>
  </si>
  <si>
    <t xml:space="preserve">
{"db": "CASTNetDB",	"table": "Charge",	"fieldDesc": "ChargeTypeCode",	"field": "ChargeTypeCode"</t>
  </si>
  <si>
    <t>fieldDesc: "ChargeTypeCode"</t>
  </si>
  <si>
    <t>field: "ChargeTypeCode"</t>
  </si>
  <si>
    <t>"db": "EPR","table": "OffenderCharges","fieldDesc": "ChargeTypeID","field": "ChargeTypeID"</t>
  </si>
  <si>
    <t xml:space="preserve">
{"db": "EPR",	"table": "OffenderCharges",	"fieldDesc": "ChargeTypeID",	"field": "ChargeTypeID"</t>
  </si>
  <si>
    <t>fieldDesc: "ChargeTypeID"</t>
  </si>
  <si>
    <t>field: "ChargeTypeID"</t>
  </si>
  <si>
    <t>"db": "CASTNetDB","table": "PersonCharge","fieldDesc": "ChargeTableTypeId","field": "ChargeTableTypeId"</t>
  </si>
  <si>
    <t xml:space="preserve">
{"db": "CASTNetDB",	"table": "PersonCharge",		"fieldDesc": "ChargeTableTypeId",	"field": "ChargeTableTypeId"</t>
  </si>
  <si>
    <t>fieldDesc: "ChargeTableTypeId"</t>
  </si>
  <si>
    <t>field: "ChargeTableTypeId"</t>
  </si>
  <si>
    <t>"db": "CASTNetDB","table": "PersonChargeDisposition","fieldDesc": "ChargeTypeId","field": "ChargeTypeId"</t>
  </si>
  <si>
    <t xml:space="preserve">
{"db": "CASTNetDB",	"table": "PersonChargeDisposition",	"fieldDesc": "ChargeTypeId",	"field": "ChargeTypeId"</t>
  </si>
  <si>
    <t>fieldDesc: "ChargeTypeId"</t>
  </si>
  <si>
    <t>field: "ChargeTypeId"</t>
  </si>
  <si>
    <t>"db": "CASTNetDB","table": "SpecialOfficerCommission","fieldDesc": "TypeId","field": "TypeId"</t>
  </si>
  <si>
    <t xml:space="preserve">
{"db": "CASTNetDB",	"table": "SpecialOfficerCommission",	"fieldDesc": "TypeId",		"field": "TypeId"}]</t>
  </si>
  <si>
    <t>table: "SpecialOfficerCommission"</t>
  </si>
  <si>
    <t>fieldDesc: "TypeId"</t>
  </si>
  <si>
    <t>field: "TypeId"</t>
  </si>
  <si>
    <t>Association</t>
  </si>
  <si>
    <t>OriginalBond</t>
  </si>
  <si>
    <t>The bond details associated with a charge.</t>
  </si>
  <si>
    <t>"db": "AS400_CDC_CMS","table": "CHRGLOG","fieldDesc": "OriginalBond","field": "CXOBND"</t>
  </si>
  <si>
    <t>[{"db": "AS400_CDC_CMS",	"table": "CHRGLOG",	"fieldDesc": "OriginalBond",	"field": "CXOBND"}]</t>
  </si>
  <si>
    <t>j:BailBond</t>
  </si>
  <si>
    <t>j:BailBondType</t>
  </si>
  <si>
    <t>/nola:BookingExchange/j:Booking/j:Arrest/j:ArrestCharge/hs:ChargeAugmentation/j:BailBond/</t>
  </si>
  <si>
    <t>fieldDesc: "OriginalBond"</t>
  </si>
  <si>
    <t>field: "CXOBND"</t>
  </si>
  <si>
    <t>/nola:BookingExchange/j:Booking/j:Arrest/j:ArrestOfficial[1]/RoleOfPerson/PersonContactInformation/ContactTelephoneNumber</t>
  </si>
  <si>
    <t>/nola:BookingExchange/j:Booking/j:Arrest/j:ArrestOfficial[2]/RoleOfPerson/PersonContactInformation/ContactTelephoneNumber</t>
  </si>
  <si>
    <t>"db": "AS400_JMS","table": "IMMSTR","fieldDesc": "PhoneNumber","field": "IMPHNO"</t>
  </si>
  <si>
    <t xml:space="preserve">
{"db": "AS400_JMS",	"table": "IMMSTR",	"fieldDesc": "PhoneNumber",	"field": "IMPHNO"</t>
  </si>
  <si>
    <t>field: "IMPHNO"</t>
  </si>
  <si>
    <t>"db": "AS400_CDC_CMS","table": "DEFEND","fieldDesc": "PhoneNumber","field": "DEFONE"</t>
  </si>
  <si>
    <t xml:space="preserve">
{"db": "AS400_CDC_CMS","table": "DEFEND",	"fieldDesc": "PhoneNumber",	"field": "DEFONE"</t>
  </si>
  <si>
    <t>field: "DEFONE"</t>
  </si>
  <si>
    <t>"db": "EPR","table": "VictimPersons","fieldDesc": "PhoneNumber","field": "PhoneNumber"</t>
  </si>
  <si>
    <t xml:space="preserve">
{"db": "EPR",		"table": "VictimPersons",	"fieldDesc": "PhoneNumber",	"field": "PhoneNumber"</t>
  </si>
  <si>
    <t>field: "PhoneNumber"</t>
  </si>
  <si>
    <t>"db": "EPR","table": "VictimPersons","fieldDesc": "WorkPhoneNumber","field": "WorkPhoneNumber"</t>
  </si>
  <si>
    <t xml:space="preserve">
{"db": "EPR",		"table": "VictimPersons",	"fieldDesc": "WorkPhoneNumber",	"field": "WorkPhoneNumber"}]
</t>
  </si>
  <si>
    <t>fieldDesc: "WorkPhoneNumber"</t>
  </si>
  <si>
    <t>field: "WorkPhoneNumber"</t>
  </si>
  <si>
    <t>CourtAgency</t>
  </si>
  <si>
    <t>An organization responsible for overseeing and administering the judicial system, a court of law.</t>
  </si>
  <si>
    <t>"db": "CASTNetDB","table": "PersonChargeDisposition","fieldDesc": "Court","field": "Court"</t>
  </si>
  <si>
    <t>[{"db": "CASTNetDB",	"table": "PersonChargeDisposition",	"fieldDesc": "Court",	"field": "Court"}]</t>
  </si>
  <si>
    <t>j:CaseCourt</t>
  </si>
  <si>
    <t>j:CourtType</t>
  </si>
  <si>
    <t>/nola:BookingExchange/Case/j:CaseAugmentation/j:CaseCourt/j:OrganizationAugmentation</t>
  </si>
  <si>
    <t>fieldDesc: "Court"</t>
  </si>
  <si>
    <t>field: "Court"</t>
  </si>
  <si>
    <t>CourtID</t>
  </si>
  <si>
    <t>A unique identifier for a court case event record.</t>
  </si>
  <si>
    <t>"db": "CASTNetDB","table": "PersonProbation","fieldDesc": "CourtId","field": "CourtId"</t>
  </si>
  <si>
    <t>[{"db": "CASTNetDB",	"table": "PersonProbation",	"fieldDesc": "CourtId",	"field": "CourtId"</t>
  </si>
  <si>
    <t>[{"db": "CASTNetDB",	"table": "PersonProbation",	"fieldDesc": "CourtId",	"field": "CourtId"},
{"db": "CASTNetDB",	"table": "Vehicle",	"fieldDesc": "CourtId",	"field": "CourtId"},
{"db": "CASTNetDB",	"table": "Warrant",	"fieldDesc": "CourtId",	"field": "CourtId"},
{"db": "CASTNetDB",	"table": "Warrant_bak20190801",	"fieldDesc": "CourtId",	"field": "CourtId"}]</t>
  </si>
  <si>
    <t>/nola:BookingExchange/Case/j:CaseAugmentation/j:CaseCourt/OrganizationIdentification/IdentificationID</t>
  </si>
  <si>
    <t>fieldDesc: "CourtId"</t>
  </si>
  <si>
    <t>field: "CourtId"</t>
  </si>
  <si>
    <t>"db": "CASTNetDB","table": "Vehicle","fieldDesc": "CourtId","field": "CourtId"</t>
  </si>
  <si>
    <t xml:space="preserve">
{"db": "CASTNetDB",	"table": "Vehicle",	"fieldDesc": "CourtId",	"field": "CourtId"</t>
  </si>
  <si>
    <t>table: "Vehicle"</t>
  </si>
  <si>
    <t>"db": "CASTNetDB","table": "Warrant","fieldDesc": "CourtId","field": "CourtId"</t>
  </si>
  <si>
    <t xml:space="preserve">
{"db": "CASTNetDB",	"table": "Warrant",	"fieldDesc": "CourtId",	"field": "CourtId"</t>
  </si>
  <si>
    <t>"db": "CASTNetDB","table": "Warrant_bak20190801","fieldDesc": "CourtId","field": "CourtId"</t>
  </si>
  <si>
    <t xml:space="preserve">
{"db": "CASTNetDB",	"table": "Warrant_bak20190801",	"fieldDesc": "CourtId",	"field": "CourtId"}]</t>
  </si>
  <si>
    <t>CourtName</t>
  </si>
  <si>
    <t>A name of a unit of a court.</t>
  </si>
  <si>
    <t>j:CourtName</t>
  </si>
  <si>
    <t>/nola:BookingExchange/Case/j:CaseAugmentation/j:CaseCourt/j:CourtName</t>
  </si>
  <si>
    <t>CourtSectionRoom</t>
  </si>
  <si>
    <t>An area of case processing and the law governing specific types of matters before the court and a name of a location. Court Session i.e. A, B, C, D M1, K, A1 etc.</t>
  </si>
  <si>
    <t>[{"db": "AS400_JMS",	"table": "IMARRD",	"fieldDesc": "CourtSection",	"field": "IDCSEC"},
{"db": "AS400_JMS",	"table": "IMCHGD",	"fieldDesc": "CourtCaseSection",	"field": "ICDOCS"},
{"db": "AS400_JMS",	"table": "IMDSPL",	"fieldDesc": "CourtCaseSection",	"field": "DLDOCS"},
{"db": "AS400_CDC_CMS",	"table": "JUDGE",	"fieldDesc": "CourtSection",	"field": "JT_COURT_SECTION"},
{"db": "AS400_CDC_CMS",	"table": "TEXTMEConcatenated",	"fieldDesc": "CourtSection",	"field": "CVSECN"},
{"db": "MC",	"table": "Digicourt_Orleans.dbview.vw_CriminalCaseFileDetail",	"fieldDesc": "CourtCaseSection (Division)",	"field": "division"},
{"db": "MC",	"table": "DigiCourt_Orleans.dbview.vw_AllWarrants",	"fieldDesc": "CourtSection (Division)",	"field": "division"},
{"db": "AS400_CDC_CMS",	"table": "CASEVM",	"fieldDesc": "MagistrateSection",	"field": "CMSECN"},
{"db": "AS400_CDC_CMS",	"table": "DEFCHG",	"fieldDesc": "MagistrateSection",	"field": "DCMSEC"},
{"db": "AS400_CDC_CMS",	"table": "MAGDOCK",	"fieldDesc": "MagistrateSection",	"field": "MDSECT"},
{"db": "AS400_CDC_CMS",	"table": "CASEVD",	"fieldDesc": "CourtCaseSection",	"field": "CXSECN"},
{"db": "AS400_CDC_CMS",	"table": "CASEVT",	"fieldDesc": "CourtCaseSection",	"field": "CVSECN"},
{"db": "AS400_CDC_CMS",	"table": "CASEVT_CASEVD_UNION",	"fieldDesc": "CourtCaseSection",	"field": "CVSECN"},
{"db": "AS400_CDC_CMS",	"table": "DOCKTXConcatenated",	"fieldDesc": "CourtCaseSection",	"field": "CVSECN"}]</t>
  </si>
  <si>
    <t>nc:LocationRoomText</t>
  </si>
  <si>
    <t>/nola:BookingExchange/Case/j:CaseAugmentation/j:CaseCourt/OrganizationLocation/LocationPart/LocationRoomText</t>
  </si>
  <si>
    <t>"db": "AS400_JMS","table": "IMCHGD","fieldDesc": "CourtCaseSection","field": "ICDOCS"</t>
  </si>
  <si>
    <t xml:space="preserve">
{"db": "AS400_JMS",	"table": "IMCHGD",	"fieldDesc": "CourtCaseSection",	"field": "ICDOCS"</t>
  </si>
  <si>
    <t>fieldDesc: "CourtCaseSection"</t>
  </si>
  <si>
    <t>field: "ICDOCS"</t>
  </si>
  <si>
    <t>"db": "AS400_JMS","table": "IMDSPL","fieldDesc": "CourtCaseSection","field": "DLDOCS"</t>
  </si>
  <si>
    <t xml:space="preserve">
{"db": "AS400_JMS",	"table": "IMDSPL",	"fieldDesc": "CourtCaseSection",	"field": "DLDOCS"</t>
  </si>
  <si>
    <t>field: "DLDOCS"</t>
  </si>
  <si>
    <t>"db": "AS400_CDC_CMS","table": "JUDGE","fieldDesc": "CourtSection","field": "JT_COURT_SECTION"</t>
  </si>
  <si>
    <t xml:space="preserve">
{"db": "AS400_CDC_CMS",	"table": "JUDGE",	"fieldDesc": "CourtSection",	"field": "JT_COURT_SECTION"</t>
  </si>
  <si>
    <t>table: "JUDGE"</t>
  </si>
  <si>
    <t>field: "JT_COURT_SECTION"</t>
  </si>
  <si>
    <t>"db": "AS400_CDC_CMS","table": "TEXTMEConcatenated","fieldDesc": "CourtSection","field": "CVSECN"</t>
  </si>
  <si>
    <t xml:space="preserve">
{"db": "AS400_CDC_CMS",	"table": "TEXTMEConcatenated",	"fieldDesc": "CourtSection",	"field": "CVSECN"</t>
  </si>
  <si>
    <t>table: "TEXTMEConcatenated"</t>
  </si>
  <si>
    <t>field: "CVSECN"</t>
  </si>
  <si>
    <t>"db": "MC","table": "Digicourt_Orleans.dbview.vw_CriminalCaseFileDetail","fieldDesc": "CourtCaseSection (Division)","field": "division"</t>
  </si>
  <si>
    <t xml:space="preserve">
{"db": "MC",	"table": "Digicourt_Orleans.dbview.vw_CriminalCaseFileDetail",	"fieldDesc": "CourtCaseSection (Division)",	"field": "division"</t>
  </si>
  <si>
    <t>table: "Digicourt_Orleans.dbview.vw_CriminalCaseFileDetail"</t>
  </si>
  <si>
    <t>fieldDesc: "CourtCaseSection (Division)"</t>
  </si>
  <si>
    <t>field: "division"</t>
  </si>
  <si>
    <t>"db": "MC","table": "DigiCourt_Orleans.dbview.vw_AllWarrants","fieldDesc": "CourtSection (Division)","field": "division"</t>
  </si>
  <si>
    <t xml:space="preserve">
{"db": "MC",	"table": "DigiCourt_Orleans.dbview.vw_AllWarrants",	"fieldDesc": "CourtSection (Division)",	"field": "division"</t>
  </si>
  <si>
    <t>fieldDesc: "CourtSection (Division)"</t>
  </si>
  <si>
    <t>"db": "AS400_CDC_CMS","table": "CASEVM","fieldDesc": "MagistrateSection","field": "CMSECN"</t>
  </si>
  <si>
    <t xml:space="preserve">
{"db": "AS400_CDC_CMS",	"table": "CASEVM",	"fieldDesc": "MagistrateSection",	"field": "CMSECN"</t>
  </si>
  <si>
    <t>table: "CASEVM"</t>
  </si>
  <si>
    <t>fieldDesc: "MagistrateSection"</t>
  </si>
  <si>
    <t>field: "CMSECN"</t>
  </si>
  <si>
    <t>"db": "AS400_CDC_CMS","table": "DEFCHG","fieldDesc": "MagistrateSection","field": "DCMSEC"</t>
  </si>
  <si>
    <t xml:space="preserve">
{"db": "AS400_CDC_CMS",	"table": "DEFCHG",	"fieldDesc": "MagistrateSection",	"field": "DCMSEC"</t>
  </si>
  <si>
    <t>field: "DCMSEC"</t>
  </si>
  <si>
    <t>"db": "AS400_CDC_CMS","table": "MAGDOCK","fieldDesc": "MagistrateSection","field": "MDSECT"</t>
  </si>
  <si>
    <t xml:space="preserve">
{"db": "AS400_CDC_CMS",	"table": "MAGDOCK",	"fieldDesc": "MagistrateSection",	"field": "MDSECT"</t>
  </si>
  <si>
    <t>field: "MDSECT"</t>
  </si>
  <si>
    <t>"db": "AS400_CDC_CMS","table": "CASEVD","fieldDesc": "CourtCaseSection","field": "CXSECN"</t>
  </si>
  <si>
    <t xml:space="preserve">
{"db": "AS400_CDC_CMS",	"table": "CASEVD",	"fieldDesc": "CourtCaseSection",	"field": "CXSECN"</t>
  </si>
  <si>
    <t>table: "CASEVD"</t>
  </si>
  <si>
    <t>field: "CXSECN"</t>
  </si>
  <si>
    <t>"db": "AS400_CDC_CMS","table": "CASEVT","fieldDesc": "CourtCaseSection","field": "CVSECN"</t>
  </si>
  <si>
    <t xml:space="preserve">
{"db": "AS400_CDC_CMS",	"table": "CASEVT",	"fieldDesc": "CourtCaseSection",	"field": "CVSECN"</t>
  </si>
  <si>
    <t>table: "CASEVT"</t>
  </si>
  <si>
    <t>"db": "AS400_CDC_CMS","table": "CASEVT_CASEVD_UNION","fieldDesc": "CourtCaseSection","field": "CVSECN"</t>
  </si>
  <si>
    <t xml:space="preserve">
{"db": "AS400_CDC_CMS",	"table": "CASEVT_CASEVD_UNION",	"fieldDesc": "CourtCaseSection",	"field": "CVSECN"</t>
  </si>
  <si>
    <t>table: "CASEVT_CASEVD_UNION"</t>
  </si>
  <si>
    <t>"db": "AS400_CDC_CMS","table": "DOCKTXConcatenated","fieldDesc": "CourtCaseSection","field": "CVSECN"</t>
  </si>
  <si>
    <t xml:space="preserve">
{"db": "AS400_CDC_CMS",	"table": "DOCKTXConcatenated",	"fieldDesc": "CourtCaseSection",	"field": "CVSECN"}]</t>
  </si>
  <si>
    <t>table: "DOCKTXConcatenated"</t>
  </si>
  <si>
    <t>"db": "AS400_JMS","table": "IMCHGT","fieldDesc": "CourtType","field": "CTCTYP"</t>
  </si>
  <si>
    <t>[{"db": "AS400_JMS",	"table": "IMCHGT",	"fieldDesc": "CourtType",	"field": "CTCTYP"</t>
  </si>
  <si>
    <t>field: "CTCTYP"</t>
  </si>
  <si>
    <t>"db": "AS400_JMS","table": "IMDSPL","fieldDesc": "CourtType","field": "DLCRTT"</t>
  </si>
  <si>
    <t xml:space="preserve">
{"db": "AS400_JMS",	"table": "IMDSPL",	"fieldDesc": "CourtType",	"field": "DLCRTT"</t>
  </si>
  <si>
    <t>field: "DLCRTT"</t>
  </si>
  <si>
    <t>"db": "AS400_CDC_CMS","table": "JUDGE","fieldDesc": "CourtType","field": "JT_COURT_TYPE"</t>
  </si>
  <si>
    <t xml:space="preserve">
{"db": "AS400_CDC_CMS",	"table": "JUDGE",	"fieldDesc": "CourtType",	"field": "JT_COURT_TYPE"</t>
  </si>
  <si>
    <t>field: "JT_COURT_TYPE"</t>
  </si>
  <si>
    <t>"db": "AS400_JMS","table": "IMCHGD","fieldDesc": "CourtTypeCode","field": "ICCRTT"</t>
  </si>
  <si>
    <t xml:space="preserve">
{"db": "AS400_JMS",	"table": "IMCHGD",	"fieldDesc": "CourtTypeCode",	"field": "ICCRTT"}]</t>
  </si>
  <si>
    <t>fieldDesc: "CourtTypeCode"</t>
  </si>
  <si>
    <t>field: "ICCRTT"</t>
  </si>
  <si>
    <t>CourtEvent</t>
  </si>
  <si>
    <t>CourtEventDateTime</t>
  </si>
  <si>
    <t>A day for which a court event is scheduled.</t>
  </si>
  <si>
    <t>"db": "AS400_CDC_CMS","table": "CASEVD","fieldDesc": "CourtEventDate","field": "CXEVDT"</t>
  </si>
  <si>
    <t>[{"db": "AS400_CDC_CMS",	"table": "CASEVD",	"fieldDesc": "CourtEventDate",	"field": "CXEVDT"</t>
  </si>
  <si>
    <t>[{"db": "AS400_CDC_CMS",	"table": "CASEVD",	"fieldDesc": "CourtEventDate",	"field": "CXEVDT"},
{"db": "AS400_CDC_CMS",	"table": "CASEVM",	"fieldDesc": "MagistrateEventDate",	"field": "CMEVDT"},
{"db": "AS400_CDC_CMS",	"table": "CASEVT",	"fieldDesc": "CourtCaseEventDate",	"field": "CVEVDT"},
{"db": "AS400_CDC_CMS",	"table": "CASEVT_CASEVD_UNION",	"fieldDesc": "CourtCaseEventDate",	"field": "CVEVDT"},
{"db": "AS400_CDC_CMS",	"table": "CHRGLOG",	"fieldDesc": "CourtCaseEventDate",	"field": "CXDATE"},
{"db": "AS400_CDC_CMS",	"table": "DCKTXM",	"fieldDesc": "MagistrateEventDate",	"field": "TMDATE"},
{"db": "AS400_CDC_CMS",	"table": "DOCKTX",	"fieldDesc": "CourtCaseEventDate",	"field": "TXDATE"},
{"db": "AS400_CDC_CMS",	"table": "MAGDOCK",	"fieldDesc": "CourtDate",	"field": "MDDDTE"},
{"db": "AS400_CDC_CMS",	"table": "MAGDOCK",	"fieldDesc": "CourtTime",	"field": "MDCTIM"},
{"db": "AS400_CDC_CMS",	"table": "MAGDOCK",	"fieldDesc": "CourtAMPM",	"field": "MDCAMPM"},
{"db": "AS400_CDC_CMS",	"table": "TEXTMEConcatenated",	"fieldDesc": "EventDate",	"field": "TMdate"},
{"db": "AS400_CDC_CMS",	"table": "DCKTXMConcatenated",	"fieldDesc": "MagistrateEventDate",	"field": "TMDATE"},
{"db": "AS400_CDC_CMS",	"table": "DISP",	"fieldDesc": "DispositionDate",	"field": "DPDATE"},
{"db": "MC",	"table": "Digicourt_Orleans.dbview.vw_CriminalCaseFileDetail",	"fieldDesc": "DispositionDate",	"field": "      DISPOSITION_DATE"},
{"db": "AS400_CDC_CMS",	"table": "DOCKTXConcatenated",	"fieldDesc": "CourtCaseEventDate",	"field": "txdate"}]</t>
  </si>
  <si>
    <t xml:space="preserve">nc:DateTime </t>
  </si>
  <si>
    <t>/nola:BookingExchange/Case/j:CaseAugmentation/j:CaseCourtEvent/ActivityDate/DateTime</t>
  </si>
  <si>
    <t>fieldDesc: "CourtEventDate"</t>
  </si>
  <si>
    <t>field: "CXEVDT"</t>
  </si>
  <si>
    <t>"db": "AS400_CDC_CMS","table": "CASEVM","fieldDesc": "MagistrateEventDate","field": "CMEVDT"</t>
  </si>
  <si>
    <t xml:space="preserve">
{"db": "AS400_CDC_CMS",	"table": "CASEVM",	"fieldDesc": "MagistrateEventDate",	"field": "CMEVDT"</t>
  </si>
  <si>
    <t>fieldDesc: "MagistrateEventDate"</t>
  </si>
  <si>
    <t>field: "CMEVDT"</t>
  </si>
  <si>
    <t>"db": "AS400_CDC_CMS","table": "CASEVT","fieldDesc": "CourtCaseEventDate","field": "CVEVDT"</t>
  </si>
  <si>
    <t xml:space="preserve">
{"db": "AS400_CDC_CMS",	"table": "CASEVT",	"fieldDesc": "CourtCaseEventDate",	"field": "CVEVDT"</t>
  </si>
  <si>
    <t>fieldDesc: "CourtCaseEventDate"</t>
  </si>
  <si>
    <t>field: "CVEVDT"</t>
  </si>
  <si>
    <t>"db": "AS400_CDC_CMS","table": "CASEVT_CASEVD_UNION","fieldDesc": "CourtCaseEventDate","field": "CVEVDT"</t>
  </si>
  <si>
    <t xml:space="preserve">
{"db": "AS400_CDC_CMS",	"table": "CASEVT_CASEVD_UNION",	"fieldDesc": "CourtCaseEventDate",	"field": "CVEVDT"</t>
  </si>
  <si>
    <t>"db": "AS400_CDC_CMS","table": "CHRGLOG","fieldDesc": "CourtCaseEventDate","field": "CXDATE"</t>
  </si>
  <si>
    <t xml:space="preserve">
{"db": "AS400_CDC_CMS",	"table": "CHRGLOG",	"fieldDesc": "CourtCaseEventDate",	"field": "CXDATE"</t>
  </si>
  <si>
    <t>field: "CXDATE"</t>
  </si>
  <si>
    <t>"db": "AS400_CDC_CMS","table": "DCKTXM","fieldDesc": "MagistrateEventDate","field": "TMDATE"</t>
  </si>
  <si>
    <t xml:space="preserve">
{"db": "AS400_CDC_CMS",	"table": "DCKTXM",	"fieldDesc": "MagistrateEventDate",	"field": "TMDATE"</t>
  </si>
  <si>
    <t>table: "DCKTXM"</t>
  </si>
  <si>
    <t>field: "TMDATE"</t>
  </si>
  <si>
    <t>"db": "AS400_CDC_CMS","table": "DOCKTX","fieldDesc": "CourtCaseEventDate","field": "TXDATE"</t>
  </si>
  <si>
    <t xml:space="preserve">
{"db": "AS400_CDC_CMS",	"table": "DOCKTX",	"fieldDesc": "CourtCaseEventDate",	"field": "TXDATE"</t>
  </si>
  <si>
    <t>table: "DOCKTX"</t>
  </si>
  <si>
    <t>field: "TXDATE"</t>
  </si>
  <si>
    <t>"db": "AS400_CDC_CMS","table": "MAGDOCK","fieldDesc": "CourtDate","field": "MDDDTE"</t>
  </si>
  <si>
    <t xml:space="preserve">
{"db": "AS400_CDC_CMS",	"table": "MAGDOCK",	"fieldDesc": "CourtDate",	"field": "MDDDTE"</t>
  </si>
  <si>
    <t>fieldDesc: "CourtDate"</t>
  </si>
  <si>
    <t>field: "MDDDTE"</t>
  </si>
  <si>
    <t>"db": "AS400_CDC_CMS","table": "MAGDOCK","fieldDesc": "CourtTime","field": "MDCTIM"</t>
  </si>
  <si>
    <t xml:space="preserve">
{"db": "AS400_CDC_CMS",	"table": "MAGDOCK",	"fieldDesc": "CourtTime",	"field": "MDCTIM"</t>
  </si>
  <si>
    <t>fieldDesc: "CourtTime"</t>
  </si>
  <si>
    <t>field: "MDCTIM"</t>
  </si>
  <si>
    <t>"db": "AS400_CDC_CMS","table": "MAGDOCK","fieldDesc": "CourtAMPM","field": "MDCAMPM"</t>
  </si>
  <si>
    <t xml:space="preserve">
{"db": "AS400_CDC_CMS",	"table": "MAGDOCK",	"fieldDesc": "CourtAMPM",	"field": "MDCAMPM"</t>
  </si>
  <si>
    <t>fieldDesc: "CourtAMPM"</t>
  </si>
  <si>
    <t>field: "MDCAMPM"</t>
  </si>
  <si>
    <t>"db": "AS400_CDC_CMS","table": "TEXTMEConcatenated","fieldDesc": "EventDate","field": "TMdate"</t>
  </si>
  <si>
    <t xml:space="preserve">
{"db": "AS400_CDC_CMS",	"table": "TEXTMEConcatenated",	"fieldDesc": "EventDate",	"field": "TMdate"</t>
  </si>
  <si>
    <t>fieldDesc: "EventDate"</t>
  </si>
  <si>
    <t>field: "TMdate"</t>
  </si>
  <si>
    <t>"db": "AS400_CDC_CMS","table": "DCKTXMConcatenated","fieldDesc": "MagistrateEventDate","field": "TMDATE"</t>
  </si>
  <si>
    <t xml:space="preserve">
{"db": "AS400_CDC_CMS",	"table": "DCKTXMConcatenated",	"fieldDesc": "MagistrateEventDate",	"field": "TMDATE"</t>
  </si>
  <si>
    <t>table: "DCKTXMConcatenated"</t>
  </si>
  <si>
    <t>"db": "AS400_CDC_CMS","table": "DISP","fieldDesc": "DispositionDate","field": "DPDATE"</t>
  </si>
  <si>
    <t xml:space="preserve">
{"db": "AS400_CDC_CMS",	"table": "DISP",	"fieldDesc": "DispositionDate",	"field": "DPDATE"</t>
  </si>
  <si>
    <t>fieldDesc: "DispositionDate"</t>
  </si>
  <si>
    <t>field: "DPDATE"</t>
  </si>
  <si>
    <t>"db": "MC","table": "Digicourt_Orleans.dbview.vw_CriminalCaseFileDetail","fieldDesc": "DispositionDate","field": " DISPOSITION_DATE"</t>
  </si>
  <si>
    <t xml:space="preserve">
{"db": "MC",	"table": "Digicourt_Orleans.dbview.vw_CriminalCaseFileDetail",	"fieldDesc": "DispositionDate",	"field": "      DISPOSITION_DATE"</t>
  </si>
  <si>
    <t>field: " DISPOSITION_DATE"</t>
  </si>
  <si>
    <t>"db": "AS400_CDC_CMS","table": "DOCKTXConcatenated","fieldDesc": "CourtCaseEventDate","field": "txdate"</t>
  </si>
  <si>
    <t xml:space="preserve">
{"db": "AS400_CDC_CMS",	"table": "DOCKTXConcatenated",	"fieldDesc": "CourtCaseEventDate",	"field": "txdate"}]</t>
  </si>
  <si>
    <t>field: "txdate"</t>
  </si>
  <si>
    <t>Defendant</t>
  </si>
  <si>
    <t>CaseDefendantNumber</t>
  </si>
  <si>
    <t>A defandant number associated with a specific criminal court case number.</t>
  </si>
  <si>
    <t>"db": "AS400_CDC_CMS","table": "CASEVT","fieldDesc": "CourtCaseDefendantNumber","field": "CVCDEF"</t>
  </si>
  <si>
    <t>[{"db": "AS400_CDC_CMS",	"table": "CASEVT",	"fieldDesc": "CourtCaseDefendantNumber",	"field": "CVCDEF"</t>
  </si>
  <si>
    <t>[{"db": "AS400_CDC_CMS",	"table": "CASEVT",	"fieldDesc": "CourtCaseDefendantNumber",	"field": "CVCDEF"},
{"db": "AS400_CDC_CMS",	"table": "CASEVT_CASEVD_UNION",	"fieldDesc": "CourtCaseDefendantNumber",	"field": "CVCDEF"},
{"db": "AS400_CDC_CMS",	"table": "CHRGLOG",	"fieldDesc": "CourtCaseDefendantNumber",	"field": "CXDEF#"},
{"db": "AS400_CDC_CMS",	"table": "DEFCHG",	"fieldDesc": "CourtCaseDefendantNumber",	"field": "DCCDEF"},
{"db": "AS400_CDC_CMS",	"table": "SENTLOG",	"fieldDesc": "CourtCaseDefendantNumber",	"field": "SXDEF#"},
{"db": "AS400_CDC_CMS",	"table": "CASEVD",	"fieldDesc": "CourtDefendantNumber",	"field": "CXCDEF"},
{"db": "EPR",		"table": "Gists",	"fieldDesc": "OffenderID",			"field": "OffenderID"},
{"db": "EPR",		"table": "OffenderCharges",	"fieldDesc": "OffenderID",		"field": "OffenderID"},
{"db": "EPR",		"table": "Offenders",	"fieldDesc": "OffenderID",		"field": "OffenderID"},
{"db": "EPR",		"table": "Offenders",	"fieldDesc": "OffenderNumber",	"field":OffenderNumber"},
{"db": "AS400_CDC_CMS",	"table": "PARTIES",	"fieldDesc": "DefendantNumber",	"field": "PCDEF"},
{"db": "MC",		"table": "Digicourt_Orleans.dbview.vw_ArrestDetail",	"fieldDesc": "DefendantID",	"field": "DEF_ID"},
{"db": "MC",		"table": "Digicourt_Orleans.dbview.vw_CriminalCaseFileDetail",	"fieldDesc": "DefendantID",	"field": "DEF_ID"},
{"db": "MC",		"table": "DigiCourt_Orleans.dbview.vw_AllWarrants",	"fieldDesc": "DefendantID",	"field": "DEF_ID"}]</t>
  </si>
  <si>
    <t>nola-ext:CaseDefendantNumber</t>
  </si>
  <si>
    <t>/nola:BookingExchange/j:Booking/j:BookingSubject/RoleOfPerson/nola-ext:PersonAugmentation/nola-ext:CaseDefendantNumber</t>
  </si>
  <si>
    <t>fieldDesc: "CourtCaseDefendantNumber"</t>
  </si>
  <si>
    <t>field: "CVCDEF"</t>
  </si>
  <si>
    <t>"db": "AS400_CDC_CMS","table": "CASEVT_CASEVD_UNION","fieldDesc": "CourtCaseDefendantNumber","field": "CVCDEF"</t>
  </si>
  <si>
    <t xml:space="preserve">
{"db": "AS400_CDC_CMS",	"table": "CASEVT_CASEVD_UNION",	"fieldDesc": "CourtCaseDefendantNumber",	"field": "CVCDEF"</t>
  </si>
  <si>
    <t>"db": "AS400_CDC_CMS","table": "CHRGLOG","fieldDesc": "CourtCaseDefendantNumber","field": "CXDEF#"</t>
  </si>
  <si>
    <t xml:space="preserve">
{"db": "AS400_CDC_CMS",	"table": "CHRGLOG",	"fieldDesc": "CourtCaseDefendantNumber",	"field": "CXDEF#"</t>
  </si>
  <si>
    <t>field: "CXDEF#"</t>
  </si>
  <si>
    <t>"db": "AS400_CDC_CMS","table": "DEFCHG","fieldDesc": "CourtCaseDefendantNumber","field": "DCCDEF"</t>
  </si>
  <si>
    <t xml:space="preserve">
{"db": "AS400_CDC_CMS",	"table": "DEFCHG",	"fieldDesc": "CourtCaseDefendantNumber",	"field": "DCCDEF"</t>
  </si>
  <si>
    <t>field: "DCCDEF"</t>
  </si>
  <si>
    <t>"db": "AS400_CDC_CMS","table": "SENTLOG","fieldDesc": "CourtCaseDefendantNumber","field": "SXDEF#"</t>
  </si>
  <si>
    <t xml:space="preserve">
{"db": "AS400_CDC_CMS",	"table": "SENTLOG",	"fieldDesc": "CourtCaseDefendantNumber",	"field": "SXDEF#"</t>
  </si>
  <si>
    <t>table: "SENTLOG"</t>
  </si>
  <si>
    <t>field: "SXDEF#"</t>
  </si>
  <si>
    <t>"db": "AS400_CDC_CMS","table": "CASEVD","fieldDesc": "CourtDefendantNumber","field": "CXCDEF"</t>
  </si>
  <si>
    <t xml:space="preserve">
{"db": "AS400_CDC_CMS",	"table": "CASEVD",	"fieldDesc": "CourtDefendantNumber",	"field": "CXCDEF"</t>
  </si>
  <si>
    <t>fieldDesc: "CourtDefendantNumber"</t>
  </si>
  <si>
    <t>field: "CXCDEF"</t>
  </si>
  <si>
    <t>"db": "EPR","table": "Gists","fieldDesc": "OffenderID","field": "OffenderID"</t>
  </si>
  <si>
    <t xml:space="preserve">
{"db": "EPR",		"table": "Gists",	"fieldDesc": "OffenderID",			"field": "OffenderID"</t>
  </si>
  <si>
    <t>table: "Gists"</t>
  </si>
  <si>
    <t>fieldDesc: "OffenderID"</t>
  </si>
  <si>
    <t>field: "OffenderID"</t>
  </si>
  <si>
    <t>"db": "EPR","table": "OffenderCharges","fieldDesc": "OffenderID","field": "OffenderID"</t>
  </si>
  <si>
    <t xml:space="preserve">
{"db": "EPR",		"table": "OffenderCharges",	"fieldDesc": "OffenderID",		"field": "OffenderID"</t>
  </si>
  <si>
    <t>"db": "EPR","table": "Offenders","fieldDesc": "OffenderID","field": "OffenderID"</t>
  </si>
  <si>
    <t xml:space="preserve">
{"db": "EPR",		"table": "Offenders",	"fieldDesc": "OffenderID",		"field": "OffenderID"</t>
  </si>
  <si>
    <t>"db": "EPR","table": "Offenders","fieldDesc": "OffenderNumber","field":OffenderNumber"</t>
  </si>
  <si>
    <t xml:space="preserve">
{"db": "EPR",		"table": "Offenders",	"fieldDesc": "OffenderNumber",	"field":OffenderNumber"</t>
  </si>
  <si>
    <t>fieldDesc: "OffenderNumber"</t>
  </si>
  <si>
    <t>field:OffenderNumber"</t>
  </si>
  <si>
    <t>"db": "AS400_CDC_CMS","table": "PARTIES","fieldDesc": "DefendantNumber","field": "PCDEF"</t>
  </si>
  <si>
    <t xml:space="preserve">
{"db": "AS400_CDC_CMS",	"table": "PARTIES",	"fieldDesc": "DefendantNumber",	"field": "PCDEF"</t>
  </si>
  <si>
    <t>table: "PARTIES"</t>
  </si>
  <si>
    <t>fieldDesc: "DefendantNumber"</t>
  </si>
  <si>
    <t>field: "PCDEF"</t>
  </si>
  <si>
    <t>"db": "MC","table": "Digicourt_Orleans.dbview.vw_ArrestDetail","fieldDesc": "DefendantID","field": "DEF_ID"</t>
  </si>
  <si>
    <t xml:space="preserve">
{"db": "MC",		"table": "Digicourt_Orleans.dbview.vw_ArrestDetail",	"fieldDesc": "DefendantID",	"field": "DEF_ID"</t>
  </si>
  <si>
    <t>fieldDesc: "DefendantID"</t>
  </si>
  <si>
    <t>field: "DEF_ID"</t>
  </si>
  <si>
    <t>"db": "MC","table": "Digicourt_Orleans.dbview.vw_CriminalCaseFileDetail","fieldDesc": "DefendantID","field": "DEF_ID"</t>
  </si>
  <si>
    <t xml:space="preserve">
{"db": "MC",		"table": "Digicourt_Orleans.dbview.vw_CriminalCaseFileDetail",	"fieldDesc": "DefendantID",	"field": "DEF_ID"</t>
  </si>
  <si>
    <t>"db": "MC","table": "DigiCourt_Orleans.dbview.vw_AllWarrants","fieldDesc": "DefendantID","field": "DEF_ID"</t>
  </si>
  <si>
    <t xml:space="preserve">
{"db": "MC",		"table": "DigiCourt_Orleans.dbview.vw_AllWarrants",	"fieldDesc": "DefendantID",	"field": "DEF_ID"}]</t>
  </si>
  <si>
    <t>"db": "AS400_JMS","table": "IMMSTR","fieldDesc": "LicenseNumber","field": "IMLICN"</t>
  </si>
  <si>
    <t xml:space="preserve">
{"db": "AS400_JMS",	"table": "IMMSTR",	"fieldDesc": "LicenseNumber",	"field": "IMLICN"</t>
  </si>
  <si>
    <t>field: "IMLICN"</t>
  </si>
  <si>
    <t>"db": "EPR","table": "Offenders","fieldDesc": "DriversLicenseNumber","field": "DriversLicenseNumber"</t>
  </si>
  <si>
    <t xml:space="preserve">
{"db": "EPR",	"table": "Offenders",	"fieldDesc": "DriversLicenseNumber",	"field": "DriversLicenseNumber"</t>
  </si>
  <si>
    <t>field: "DriversLicenseNumber"</t>
  </si>
  <si>
    <t>"db": "EPR","table": "VictimPersons","fieldDesc": "DriversLicenseNumber","field": "DriversLicenseNumber"</t>
  </si>
  <si>
    <t xml:space="preserve">
{"db": "EPR",	"table": "VictimPersons",	"fieldDesc": "DriversLicenseNumber",	"field": "DriversLicenseNumber"</t>
  </si>
  <si>
    <t>"db": "CASTNetDB","table": "PersonDriverLicense","fieldDesc": "LicenseNumber","field": "LicenseNumber"</t>
  </si>
  <si>
    <t xml:space="preserve">
{"db": "CASTNetDB",	"table": "PersonDriverLicense",	"fieldDesc": "LicenseNumber",	"field": "LicenseNumber"</t>
  </si>
  <si>
    <t>table: "PersonDriverLicense"</t>
  </si>
  <si>
    <t>field: "LicenseNumber"</t>
  </si>
  <si>
    <t>"db": "CASTNetDB","table": "PersonLicense","fieldDesc": "LicenseNumber","field": "LicenseNumber"</t>
  </si>
  <si>
    <t xml:space="preserve">
{"db": "CASTNetDB",	"table": "PersonLicense",	"fieldDesc": "LicenseNumber",	"field": "LicenseNumber"</t>
  </si>
  <si>
    <t>table: "PersonLicense"</t>
  </si>
  <si>
    <t>"db": "CASTNetDB","table": "vw_Person","fieldDesc": "LicenseNumber","field": "LicenseNumber"</t>
  </si>
  <si>
    <t xml:space="preserve">
{"db": "CASTNetDB",	"table": "vw_Person",	"fieldDesc": "LicenseNumber",	"field": "LicenseNumber"</t>
  </si>
  <si>
    <t>"db": "MC","table": "Digicourt_Orleans.dbview.vw_ArrestDetail", "fieldDesc": "DriversLicenseNumber", "field": "DLNO"</t>
  </si>
  <si>
    <t xml:space="preserve">
{"db": "MC",	"table": "Digicourt_Orleans.dbview.vw_ArrestDetail", "fieldDesc": "DriversLicenseNumber", "field": "DLNO"</t>
  </si>
  <si>
    <t xml:space="preserve"> "fieldDesc": "DriversLicenseNumber"</t>
  </si>
  <si>
    <t xml:space="preserve"> "field": "DLNO"</t>
  </si>
  <si>
    <t>"db": "MC","table": "Digicourt_Orleans.dbview.vw_CriminalCaseFileDetail","fieldDesc": "DriversLicenseNumber","field": "DLNO"</t>
  </si>
  <si>
    <t xml:space="preserve">
{"db": "MC",	"table": "Digicourt_Orleans.dbview.vw_CriminalCaseFileDetail",	"fieldDesc": "DriversLicenseNumber",	"field": "DLNO"</t>
  </si>
  <si>
    <t>field: "DLNO"</t>
  </si>
  <si>
    <t>"db": "MC","table": "DigiCourt_Orleans.dbview.vw_AllWarrants","fieldDesc": "DriversLicenseNumber","field": "DLNO"</t>
  </si>
  <si>
    <t xml:space="preserve">
{"db": "MC",	"table": "DigiCourt_Orleans.dbview.vw_AllWarrants",	"fieldDesc": "DriversLicenseNumber",	"field": "DLNO"</t>
  </si>
  <si>
    <t>"db": "CASTNetDB","table": "Warrant","fieldDesc": "DriverLicenseId","field": "DriverLicenseId"</t>
  </si>
  <si>
    <t xml:space="preserve">
{"db": "CASTNetDB",	"table": "Warrant",	"fieldDesc": "DriverLicenseId",		"field": "DriverLicenseId"</t>
  </si>
  <si>
    <t>fieldDesc: "DriverLicenseId"</t>
  </si>
  <si>
    <t>field: "DriverLicenseId"</t>
  </si>
  <si>
    <t>"db": "CASTNetDB","table": "Warrant_bak20190801","fieldDesc": "DriverLicenseId","field": "DriverLicenseId"</t>
  </si>
  <si>
    <t xml:space="preserve">
{"db": "CASTNetDB",	"table": "Warrant_bak20190801",	"fieldDesc": "DriverLicenseId",	"field": "DriverLicenseId"}]</t>
  </si>
  <si>
    <t>"db": "AS400_JMS","table": "IMMSTR","fieldDesc": "LicenseStateCode","field": "IMSTCDL"</t>
  </si>
  <si>
    <t xml:space="preserve">
{"db": "AS400_JMS",	"table": "IMMSTR",	"fieldDesc": "LicenseStateCode",	"field": "IMSTCDL"</t>
  </si>
  <si>
    <t>field: "IMSTCDL"</t>
  </si>
  <si>
    <t>"db": "MC","table": "Digicourt_Orleans.dbview.vw_ArrestDetail","fieldDesc": "DriversLicenseState","field": "DLSTATE"</t>
  </si>
  <si>
    <t xml:space="preserve">
{"db": "MC",	"table": "Digicourt_Orleans.dbview.vw_ArrestDetail",	"fieldDesc": "DriversLicenseState",	"field": "DLSTATE"</t>
  </si>
  <si>
    <t>fieldDesc: "DriversLicenseState"</t>
  </si>
  <si>
    <t>field: "DLSTATE"</t>
  </si>
  <si>
    <t>"db": "MC","table": "Digicourt_Orleans.dbview.vw_CriminalCaseFileDetail","fieldDesc": "DriversLicenseState","field": "DLSTATE"</t>
  </si>
  <si>
    <t xml:space="preserve">
{"db": "MC",	"table": "Digicourt_Orleans.dbview.vw_CriminalCaseFileDetail",	"fieldDesc": "DriversLicenseState",	"field": "DLSTATE"</t>
  </si>
  <si>
    <t>"db": "MC","table": "DigiCourt_Orleans.dbview.vw_AllWarrants","fieldDesc": "DriversLicenseState","field": "DLSTATE"</t>
  </si>
  <si>
    <t xml:space="preserve">
{"db": "MC",	"table": "DigiCourt_Orleans.dbview.vw_AllWarrants",	"fieldDesc": "DriversLicenseState",	"field": "DLSTATE"}]</t>
  </si>
  <si>
    <t>A year-date of expiration related to a license issued to a person granting driving privileges.</t>
  </si>
  <si>
    <t>/nola:BookingExchange/j:Booking/j:BookingSubject/RoleOfPerson/j:PersonAugmentation/j:DriverLicense/j:DriverLicenseCardIdentification/IdentificationExpirationDate/YearDate</t>
  </si>
  <si>
    <t>"db": "AS400_JMS","table": "IMMSTR","fieldDesc": "LicenseYear","field": "IMLICY"</t>
  </si>
  <si>
    <t xml:space="preserve">
{"db": "AS400_JMS",	"table": "IMMSTR",	"fieldDesc": "LicenseYear",	"field": "IMLICY"</t>
  </si>
  <si>
    <t>field: "IMLICY"</t>
  </si>
  <si>
    <t>"db": "CASTNetDB","table": "Vehicle","fieldDesc": "LicensedYear","field": "LicensedYear"</t>
  </si>
  <si>
    <t xml:space="preserve">
{"db": "CASTNetDB",	"table": "Vehicle",	"fieldDesc": "LicensedYear",	"field": "LicensedYear"</t>
  </si>
  <si>
    <t>fieldDesc: "LicensedYear"</t>
  </si>
  <si>
    <t>field: "LicensedYear"</t>
  </si>
  <si>
    <t>"db": "CASTNetDB","table": "PersonDriverLicense","fieldDesc": "LicenseYear","field": "LicenseYear"</t>
  </si>
  <si>
    <t xml:space="preserve">
{"db": "CASTNetDB",	"table": "PersonDriverLicense",	"fieldDesc": "LicenseYear",	"field": "LicenseYear"</t>
  </si>
  <si>
    <t>field: "LicenseYear"</t>
  </si>
  <si>
    <t>"db": "CASTNetDB","table": "PersonLicense","fieldDesc": "LicenseYear","field": "LicenseYear"</t>
  </si>
  <si>
    <t xml:space="preserve">
{"db": "CASTNetDB",	"table": "PersonLicense",	"fieldDesc": "LicenseYear",	"field": "LicenseYear"}]</t>
  </si>
  <si>
    <t>"db": "AS400_JMS","table": "IMMSTR","fieldDesc": "Employer","field": "IMEMPR"</t>
  </si>
  <si>
    <t>[{"db": "AS400_JMS",	"table": "IMMSTR",	"fieldDesc": "Employer",	"field": "IMEMPR"</t>
  </si>
  <si>
    <t>field: "IMEMPR"</t>
  </si>
  <si>
    <t>EmploymentStatusID</t>
  </si>
  <si>
    <t>True if a person is employed; false if a person is unemployed.</t>
  </si>
  <si>
    <t>"db": "AS400_JMS","table": "IMMISC","fieldDesc": "EmploymentStatus","field": "MSEMPS"</t>
  </si>
  <si>
    <t>[{"db": "AS400_JMS",	"table": "IMMISC",	"fieldDesc": "EmploymentStatus",	"field": "MSEMPS"</t>
  </si>
  <si>
    <t>[{"db": "AS400_JMS",	"table": "IMMISC",	"fieldDesc": "EmploymentStatus",	"field": "MSEMPS"},
{"db": "CASTNetDB",	"table": "PersonEmployment",	"fieldDesc": "EmploymentStatusId",	"field": "EmploymentStatusId"}]</t>
  </si>
  <si>
    <t>nc:PersonEmployedIndicator</t>
  </si>
  <si>
    <t>/nola:BookingExchange/j:Booking/j:BookingSubject/RoleOfPerson/PersonEmployedIndicator</t>
  </si>
  <si>
    <t>fieldDesc: "EmploymentStatus"</t>
  </si>
  <si>
    <t>field: "MSEMPS"</t>
  </si>
  <si>
    <t>"db": "CASTNetDB","table": "PersonEmployment","fieldDesc": "EmploymentStatusId","field": "EmploymentStatusId"</t>
  </si>
  <si>
    <t xml:space="preserve">
{"db": "CASTNetDB",	"table": "PersonEmployment",	"fieldDesc": "EmploymentStatusId",	"field": "EmploymentStatusId"}]</t>
  </si>
  <si>
    <t>table: "PersonEmployment"</t>
  </si>
  <si>
    <t>fieldDesc: "EmploymentStatusId"</t>
  </si>
  <si>
    <t>field: "EmploymentStatusId"</t>
  </si>
  <si>
    <t>EmploymentStatusText</t>
  </si>
  <si>
    <t>A description of a status or condition of employment.</t>
  </si>
  <si>
    <t>"db": "AS400_JMS","table": "IMMISC","fieldDesc": "EmploymentStatusText","field": "MSEMPT"</t>
  </si>
  <si>
    <t>[{"db": "AS400_JMS",	"table": "IMMISC",	"fieldDesc": "EmploymentStatusText",	"field": "MSEMPT"}]</t>
  </si>
  <si>
    <t xml:space="preserve">nc:StatusDescriptionText </t>
  </si>
  <si>
    <t>/nola:BookingExchange/j:Booking/j:BookingSubject/RoleOfPerson/nola-ext:PersonAugmentation/PersonEmploymentAssociation/Employer/nola-ext:EmployerAugmentation/EmploymentStatus/StatusDescriptionText</t>
  </si>
  <si>
    <t>fieldDesc: "EmploymentStatusText"</t>
  </si>
  <si>
    <t>field: "MSEMPT"</t>
  </si>
  <si>
    <t>"db": "AS400_JMS","table": "IMMSTR","fieldDesc": "Ocupation","field": "IMOCUP"</t>
  </si>
  <si>
    <t xml:space="preserve">
{"db": "AS400_JMS",	"table": "IMMSTR",	"fieldDesc": "Ocupation",	"field": "IMOCUP"</t>
  </si>
  <si>
    <t>field: "IMOCUP"</t>
  </si>
  <si>
    <t>"db": "EPR","table": "VictimPersons","fieldDesc": "Occupation","field": "Occupation"</t>
  </si>
  <si>
    <t xml:space="preserve">
{"db": "EPR",	"table": "VictimPersons",	"fieldDesc": "Occupation",	"field": "Occupation"</t>
  </si>
  <si>
    <t>field: "Occupation"</t>
  </si>
  <si>
    <t>"db": "CASTNetDB","table": "PersonOccupation","fieldDesc": "Occupation","field": "Occupation"</t>
  </si>
  <si>
    <t xml:space="preserve">
{"db": "CASTNetDB",	"table": "PersonOccupation",	"fieldDesc": "Occupation",	"field": "Occupation"}]</t>
  </si>
  <si>
    <t>"db": "AS400_JMS","table": "IMCHGD","fieldDesc": "ItemNumber","field": "ICITMN"</t>
  </si>
  <si>
    <t xml:space="preserve">
{"db": "AS400_JMS",	"table": "IMCHGD",	"fieldDesc": "ItemNumber",	"field": "ICITMN"</t>
  </si>
  <si>
    <t>field: "ICITMN"</t>
  </si>
  <si>
    <t>"db": "AS400_JMS","table": "IMDSPL","fieldDesc": "ItemNumber","field": "DLITMN"</t>
  </si>
  <si>
    <t xml:space="preserve">
{"db": "AS400_JMS",	"table": "IMDSPL",	"fieldDesc": "ItemNumber",	"field": "DLITMN"</t>
  </si>
  <si>
    <t>field: "DLITMN"</t>
  </si>
  <si>
    <t>"db": "AS400_CDC_CMS","table": "DEFCHG","fieldDesc": "ItemNumber","field": "DCITM#"</t>
  </si>
  <si>
    <t xml:space="preserve">
{"db": "AS400_CDC_CMS",	"table": "DEFCHG",	"fieldDesc": "ItemNumber",	"field": "DCITM#"</t>
  </si>
  <si>
    <t>field: "DCITM#"</t>
  </si>
  <si>
    <t>"db": "EPR","table": "Reports","fieldDesc": "ItemNumber","field": "ItemNumber"</t>
  </si>
  <si>
    <t xml:space="preserve">
{"db": "EPR",	"table": "Reports",	"fieldDesc": "ItemNumber",	"field": "ItemNumber"</t>
  </si>
  <si>
    <t>table: "Reports"</t>
  </si>
  <si>
    <t>field: "ItemNumber"</t>
  </si>
  <si>
    <t>"db": "MC","table": "Digicourt_Orleans.dbview.vw_ArrestDetail","fieldDesc": "ItemNumber","field": "ITEMNUMBER"</t>
  </si>
  <si>
    <t xml:space="preserve">
{"db": "MC",	"table": "Digicourt_Orleans.dbview.vw_ArrestDetail",	"fieldDesc": "ItemNumber",	"field": "ITEMNUMBER"</t>
  </si>
  <si>
    <t>field: "ITEMNUMBER"</t>
  </si>
  <si>
    <t>"db": "MC","table": "Digicourt_Orleans.dbview.vw_CriminalCaseFileDetail","fieldDesc": "ItemNumber","field": "ITEMNUMBER"</t>
  </si>
  <si>
    <t xml:space="preserve">
{"db": "MC",	"table": "Digicourt_Orleans.dbview.vw_CriminalCaseFileDetail",	"fieldDesc": "ItemNumber",	"field": "ITEMNUMBER"</t>
  </si>
  <si>
    <t>"db": "MC","table": "DigiCourt_Orleans.dbview.vw_AllWarrants","fieldDesc": "ItemNumber","field": "ITEMNUMBER"</t>
  </si>
  <si>
    <t xml:space="preserve">
{"db": "MC",	"table": "DigiCourt_Orleans.dbview.vw_AllWarrants",	"fieldDesc": "ItemNumber",	"field": "ITEMNUMBER"</t>
  </si>
  <si>
    <t>"db": "AS400_JMS","table": "IMEVNM","fieldDesc": "EventNumber","field": "EMEVNN"</t>
  </si>
  <si>
    <t xml:space="preserve">
{"db": "AS400_JMS",	"table": "IMEVNM",	"fieldDesc": "EventNumber",	"field": "EMEVNN"}]</t>
  </si>
  <si>
    <t>table: "IMEVNM"</t>
  </si>
  <si>
    <t>fieldDesc: "EventNumber"</t>
  </si>
  <si>
    <t>field: "EMEVNN"</t>
  </si>
  <si>
    <t>MinutesDocument</t>
  </si>
  <si>
    <t>MinuteText</t>
  </si>
  <si>
    <t>A summary or description of actions taken by the court</t>
  </si>
  <si>
    <t>"db": "AS400_CDC_CMS","table": "DCKTXM","fieldDesc": "MinuteText","field": "TMTEXT"</t>
  </si>
  <si>
    <t>[{"db": "AS400_CDC_CMS",	"table": "DCKTXM",	"fieldDesc": "MinuteText",	"field": "TMTEXT"</t>
  </si>
  <si>
    <t xml:space="preserve">[{"db": "AS400_CDC_CMS",	"table": "DCKTXM",	"fieldDesc": "MinuteText",	"field": "TMTEXT"},
{"db": "AS400_CDC_CMS",	"table": "DOCKTX",	"fieldDesc": "MinuteText",	"field": "TX_TEXT"},
{"db": "AS400_CDC_CMS",	"table": "TEXTMEConcatenated",	"fieldDesc": "MinuteText (Concatenated)",	"field": "TMTXTM"},
{"db": "AS400_CDC_CMS",	"table": "TEXTME",	"fieldDesc": "CourtCaseMinuteEntryText",	"field": "TMTXTM"},
{"db": "AS400_CDC_CMS",	"table": "DCKTXMConcatenated",	"fieldDesc": "MinuteText",	"field": "TMTEXT"},
{"db": "AS400_CDC_CMS",	"table": "DOCKTXConcatenated",	"fieldDesc": "CourtCaseEventDate",	"field": "txdate"},
{"db": "AS400_CDC_CMS",	"table": "CASEVM",	"fieldDesc": "MagistrateEventComment",	"field": "CMCMNT"},
{"db": "AS400_CDC_CMS",	"table": "CASEVD",	"fieldDesc": "CourtEventComment",	"field": "CXCMNT"},
{"db": "AS400_CDC_CMS",	"table": "CASEVT",	"fieldDesc": "CourtCaseEventComment",	"field": "CVCMNT"},
{"db": "AS400_CDC_CMS",	"table": "CASEVT_CASEVD_UNION",	"fieldDesc": "CourtCaseEventComment",	"field": "CVCMNT"},
{"db": "MC",			"table": "Digicourt_Orleans.dbview.vw_CriminalCaseFileDetail",	"fieldDesc": "MinuteDetails",	"field": "minutedetails"}]
</t>
  </si>
  <si>
    <t>/nola:BookingExchange/Case/j:CaseAugmentation/j:CaseCourtEvent/ActivityComment/CommentText</t>
  </si>
  <si>
    <t>fieldDesc: "MinuteText"</t>
  </si>
  <si>
    <t>field: "TMTEXT"</t>
  </si>
  <si>
    <t>"db": "AS400_CDC_CMS","table": "DOCKTX","fieldDesc": "MinuteText","field": "TX_TEXT"</t>
  </si>
  <si>
    <t xml:space="preserve">
{"db": "AS400_CDC_CMS",	"table": "DOCKTX",	"fieldDesc": "MinuteText",	"field": "TX_TEXT"</t>
  </si>
  <si>
    <t>field: "TX_TEXT"</t>
  </si>
  <si>
    <t>"db": "AS400_CDC_CMS","table": "TEXTMEConcatenated","fieldDesc": "MinuteText (Concatenated)","field": "TMTXTM"</t>
  </si>
  <si>
    <t xml:space="preserve">
{"db": "AS400_CDC_CMS",	"table": "TEXTMEConcatenated",	"fieldDesc": "MinuteText (Concatenated)",	"field": "TMTXTM"</t>
  </si>
  <si>
    <t>fieldDesc: "MinuteText (Concatenated)"</t>
  </si>
  <si>
    <t>field: "TMTXTM"</t>
  </si>
  <si>
    <t>"db": "AS400_CDC_CMS","table": "TEXTME","fieldDesc": "CourtCaseMinuteEntryText","field": "TMTXTM"</t>
  </si>
  <si>
    <t xml:space="preserve">
{"db": "AS400_CDC_CMS",	"table": "TEXTME",	"fieldDesc": "CourtCaseMinuteEntryText",	"field": "TMTXTM"</t>
  </si>
  <si>
    <t>table: "TEXTME"</t>
  </si>
  <si>
    <t>fieldDesc: "CourtCaseMinuteEntryText"</t>
  </si>
  <si>
    <t>"db": "AS400_CDC_CMS","table": "DCKTXMConcatenated","fieldDesc": "MinuteText","field": "TMTEXT"</t>
  </si>
  <si>
    <t xml:space="preserve">
{"db": "AS400_CDC_CMS",	"table": "DCKTXMConcatenated",	"fieldDesc": "MinuteText",	"field": "TMTEXT"</t>
  </si>
  <si>
    <t xml:space="preserve">
{"db": "AS400_CDC_CMS",	"table": "DOCKTXConcatenated",	"fieldDesc": "CourtCaseEventDate",	"field": "txdate"</t>
  </si>
  <si>
    <t>"db": "AS400_CDC_CMS","table": "CASEVM","fieldDesc": "MagistrateEventComment","field": "CMCMNT"</t>
  </si>
  <si>
    <t xml:space="preserve">
{"db": "AS400_CDC_CMS",	"table": "CASEVM",	"fieldDesc": "MagistrateEventComment",	"field": "CMCMNT"</t>
  </si>
  <si>
    <t>fieldDesc: "MagistrateEventComment"</t>
  </si>
  <si>
    <t>field: "CMCMNT"</t>
  </si>
  <si>
    <t>"db": "AS400_CDC_CMS","table": "CASEVD","fieldDesc": "CourtEventComment","field": "CXCMNT"</t>
  </si>
  <si>
    <t xml:space="preserve">
{"db": "AS400_CDC_CMS",	"table": "CASEVD",	"fieldDesc": "CourtEventComment",	"field": "CXCMNT"</t>
  </si>
  <si>
    <t>fieldDesc: "CourtEventComment"</t>
  </si>
  <si>
    <t>field: "CXCMNT"</t>
  </si>
  <si>
    <t>"db": "AS400_CDC_CMS","table": "CASEVT","fieldDesc": "CourtCaseEventComment","field": "CVCMNT"</t>
  </si>
  <si>
    <t xml:space="preserve">
{"db": "AS400_CDC_CMS",	"table": "CASEVT",	"fieldDesc": "CourtCaseEventComment",	"field": "CVCMNT"</t>
  </si>
  <si>
    <t>fieldDesc: "CourtCaseEventComment"</t>
  </si>
  <si>
    <t>field: "CVCMNT"</t>
  </si>
  <si>
    <t>"db": "AS400_CDC_CMS","table": "CASEVT_CASEVD_UNION","fieldDesc": "CourtCaseEventComment","field": "CVCMNT"</t>
  </si>
  <si>
    <t xml:space="preserve">
{"db": "AS400_CDC_CMS",	"table": "CASEVT_CASEVD_UNION",	"fieldDesc": "CourtCaseEventComment",	"field": "CVCMNT"</t>
  </si>
  <si>
    <t>"db": "MC","table": "Digicourt_Orleans.dbview.vw_CriminalCaseFileDetail","fieldDesc": "MinuteDetails","field": "minutedetails"</t>
  </si>
  <si>
    <t xml:space="preserve">
{"db": "MC",			"table": "Digicourt_Orleans.dbview.vw_CriminalCaseFileDetail",	"fieldDesc": "MinuteDetails",	"field": "minutedetails"}]
</t>
  </si>
  <si>
    <t>fieldDesc: "MinuteDetails"</t>
  </si>
  <si>
    <t>field: "minutedetails"</t>
  </si>
  <si>
    <t>"db": "EPR","table": "Reports","fieldDesc": "Officer1Badge","field": "Officer1Badge"</t>
  </si>
  <si>
    <t xml:space="preserve">
{"db": "EPR",		"table": "Reports",	"fieldDesc": "Officer1Badge",	"field": 	"Officer1Badge"</t>
  </si>
  <si>
    <t>fieldDesc: "Officer1Badge"</t>
  </si>
  <si>
    <t>field: "Officer1Badge"</t>
  </si>
  <si>
    <t>"db": "EPR","table": "Reports","fieldDesc": "Officer2Badge","field": "Officer2Badge"</t>
  </si>
  <si>
    <t xml:space="preserve">
{"db": "EPR",	"table": "Reports",	"fieldDesc": "Officer2Badge",	"field": "Officer2Badge"</t>
  </si>
  <si>
    <t>fieldDesc: "Officer2Badge"</t>
  </si>
  <si>
    <t>field: "Officer2Badge"</t>
  </si>
  <si>
    <t>"db": "EPR","table": "Reports","fieldDesc": "SupervisorBadge","field": "SupervisorBadge"</t>
  </si>
  <si>
    <t xml:space="preserve">
{"db": "EPR",	"table": "Reports",	"fieldDesc": "SupervisorBadge",	"field": "SupervisorBadge"</t>
  </si>
  <si>
    <t>fieldDesc: "SupervisorBadge"</t>
  </si>
  <si>
    <t>field: "SupervisorBadge"</t>
  </si>
  <si>
    <t>"db": "CASTNetDB","table": "ArrestOfficer","fieldDesc": "BadgeNumber","field": "BadgeNumber"</t>
  </si>
  <si>
    <t xml:space="preserve">
{"db": "CASTNetDB",	"table": "ArrestOfficer",	"fieldDesc": "BadgeNumber",	"field": "BadgeNumber"</t>
  </si>
  <si>
    <t>fieldDesc: "BadgeNumber"</t>
  </si>
  <si>
    <t>field: "BadgeNumber"</t>
  </si>
  <si>
    <t>"db": "MC","table": "Digicourt_Orleans.dbview.vw_ArrestDetail","fieldDesc": "BadgeNumber","field": " BADGE_NO"</t>
  </si>
  <si>
    <t xml:space="preserve">
{"db": "MC",	"table": "Digicourt_Orleans.dbview.vw_ArrestDetail",	"fieldDesc": "BadgeNumber",	"field": "   BADGE_NO"</t>
  </si>
  <si>
    <t>field: " BADGE_NO"</t>
  </si>
  <si>
    <t>"db": "MC","table": "Digicourt_Orleans.dbview.vw_ArrestDetail","fieldDesc": "OfficerID","field": "POLICE_ID"</t>
  </si>
  <si>
    <t xml:space="preserve">
{"db": "MC",	"table": "Digicourt_Orleans.dbview.vw_ArrestDetail",	"fieldDesc": "OfficerID",	"field": "POLICE_ID"</t>
  </si>
  <si>
    <t>fieldDesc: "OfficerID"</t>
  </si>
  <si>
    <t>field: "POLICE_ID"</t>
  </si>
  <si>
    <t>"db": "CASTNetDB","table": "SpecialOfficerWeapon","fieldDesc": "SpecialOfficerId","field": "SpecialOfficerId"</t>
  </si>
  <si>
    <t xml:space="preserve">
{"db": "CASTNetDB",	"table": "SpecialOfficerWeapon",	"fieldDesc": "SpecialOfficerId",	"field": "SpecialOfficerId"</t>
  </si>
  <si>
    <t>table: "SpecialOfficerWeapon"</t>
  </si>
  <si>
    <t>fieldDesc: "SpecialOfficerId"</t>
  </si>
  <si>
    <t>field: "SpecialOfficerId"</t>
  </si>
  <si>
    <t>"db": "CASTNetDB","table": "SpecialOfficer","fieldDesc": "SpecialOfficerNumber","field": "SpecialOfficerNumber"</t>
  </si>
  <si>
    <t xml:space="preserve">
{"db": "CASTNetDB",	"table": "SpecialOfficer",	"fieldDesc": "SpecialOfficerNumber",	"field": "SpecialOfficerNumber"}]
</t>
  </si>
  <si>
    <t>fieldDesc: "SpecialOfficerNumber"</t>
  </si>
  <si>
    <t>field: "SpecialOfficerNumber"</t>
  </si>
  <si>
    <t>"db": "CASTNetDB","table": "ArrestOfficer","fieldDesc": "Unit","field": "Unit"</t>
  </si>
  <si>
    <t xml:space="preserve">
{"db": "CASTNetDB",	"table": "ArrestOfficer",	"fieldDesc": "Unit",	"field": "Unit"}]</t>
  </si>
  <si>
    <t>fieldDesc: "Unit"</t>
  </si>
  <si>
    <t>field: "Unit"</t>
  </si>
  <si>
    <t>PersonImage</t>
  </si>
  <si>
    <t>As-is Process.Image</t>
  </si>
  <si>
    <t>A photograph or image of a person in a digital format.</t>
  </si>
  <si>
    <t>new</t>
  </si>
  <si>
    <t>nc:PersonDigitalImage</t>
  </si>
  <si>
    <t>nc:ImageType</t>
  </si>
  <si>
    <t>/nola:BookingExchange/j:Booking/j:BookingSubject/RoleOfPerson/PersonDigitalImage/</t>
  </si>
  <si>
    <t>"db": "AS400_JMS","table": "IMMSTR","fieldDesc": "EyeColor","field": "IMEYES"</t>
  </si>
  <si>
    <t xml:space="preserve">
{"db": "AS400_JMS",	"table": "IMMSTR",	"fieldDesc": "EyeColor",	"field": "IMEYES"</t>
  </si>
  <si>
    <t>field: "IMEYES"</t>
  </si>
  <si>
    <t>"db": "AS400_CDC_CMS","table": "lu_Eyes","fieldDesc": "EyeColorCode","field": "ID_Key"</t>
  </si>
  <si>
    <t xml:space="preserve">
{"db": "AS400_CDC_CMS",	"table": "lu_Eyes",	"fieldDesc": "EyeColorCode",	"field": "ID_Key"</t>
  </si>
  <si>
    <t>table: "lu_Eyes"</t>
  </si>
  <si>
    <t>field: "ID_Key"</t>
  </si>
  <si>
    <t>"db": "CASTNetDB","table": "PersonAlias","fieldDesc": "EyeColor","field": "EyeColor"</t>
  </si>
  <si>
    <t xml:space="preserve">
{"db": "CASTNetDB",	"table": "PersonAlias",	"fieldDesc": "EyeColor",	"field": "EyeColor"</t>
  </si>
  <si>
    <t>field: "EyeColor"</t>
  </si>
  <si>
    <t>"db": "CASTNetDB","table": "vw_Person","fieldDesc": "EyeColor","field": "EyeColor"</t>
  </si>
  <si>
    <t xml:space="preserve">
{"db": "CASTNetDB",	"table": "vw_Person",	"fieldDesc": "EyeColor",	"field": "EyeColor"</t>
  </si>
  <si>
    <t>"db": "CASTNetDB","table": "vw_Person","fieldDesc": "EyeColorCode","field": "EyeColorCode"</t>
  </si>
  <si>
    <t xml:space="preserve">
{"db": "CASTNetDB",	"table": "vw_Person",	"fieldDesc": "EyeColorCode",	"field": "EyeColorCode"</t>
  </si>
  <si>
    <t>field: "EyeColorCode"</t>
  </si>
  <si>
    <t>"db": "CASTNetDB","table": "PersonDemographic","fieldDesc": "EyeColorId","field": "EyeColorId"</t>
  </si>
  <si>
    <t xml:space="preserve">
{"db": "CASTNetDB",	"table": "PersonDemographic",	"fieldDesc": "EyeColorId",	"field": "EyeColorId"</t>
  </si>
  <si>
    <t>table: "PersonDemographic"</t>
  </si>
  <si>
    <t>fieldDesc: "EyeColorId"</t>
  </si>
  <si>
    <t>field: "EyeColorId"</t>
  </si>
  <si>
    <t>"db": "MC","table": "Digicourt_Orleans.dbview.vw_ArrestDetail","fieldDesc": "EyeColorCode","field": "EYECOLOR"</t>
  </si>
  <si>
    <t xml:space="preserve">
{"db": "MC",	"table": "Digicourt_Orleans.dbview.vw_ArrestDetail",	"fieldDesc": "EyeColorCode",	"field": "EYECOLOR"</t>
  </si>
  <si>
    <t>field: "EYECOLOR"</t>
  </si>
  <si>
    <t>"db": "MC","table": "DigiCourt_Orleans.dbview.vw_AllWarrants","fieldDesc": "EyeColorCode","field": "EYECOLOR"</t>
  </si>
  <si>
    <t xml:space="preserve">	
{"db": "MC",	"table": "DigiCourt_Orleans.dbview.vw_AllWarrants",	"fieldDesc": "EyeColorCode",	"field": "EYECOLOR"}]</t>
  </si>
  <si>
    <t>GenderCode</t>
  </si>
  <si>
    <t>A Gender or Gender Type Description (from EPR)</t>
  </si>
  <si>
    <t>"db": "EPR","table": "GenderTypes","fieldDesc": "Description","field": "Description"</t>
  </si>
  <si>
    <t>[{"db": "EPR",	"table": "GenderTypes",	"fieldDesc": "Description",	"field": "Description"</t>
  </si>
  <si>
    <t>[{"db": "EPR",	"table": "GenderTypes",	"fieldDesc": "Description",	"field": "Description"},
{"db": "CASTNetDB",	"table": "PersonAlias",	"fieldDesc": "Gender",	"field": "Gender"},
{"db": "CASTNetDB",	"table": "PersonNickName",	"fieldDesc": "Gender",	"field": "Gender"},
{"db": "CASTNetDB",	"table": "vw_Person",	"fieldDesc": "Gender",	"field": "Gender"},
{"db": "EPR",		"table": "GenderTypes",	"fieldDesc": "Description",	"field": "Description"}]</t>
  </si>
  <si>
    <t>hs:PersonGenderIdentityCode</t>
  </si>
  <si>
    <t>hs: PersonGenderIdentityCodeType</t>
  </si>
  <si>
    <t>/nola:BookingExchange/j:Booking/j:BookingSubject/RoleOfPerson/hs:PersonAugmentation/hs:PersonGenderIdentityCode</t>
  </si>
  <si>
    <t>table: "GenderTypes"</t>
  </si>
  <si>
    <t>fieldDesc: "Description"</t>
  </si>
  <si>
    <t>field: "Description"</t>
  </si>
  <si>
    <t>"db": "CASTNetDB","table": "PersonAlias","fieldDesc": "Gender","field": "Gender"</t>
  </si>
  <si>
    <t xml:space="preserve">
{"db": "CASTNetDB",	"table": "PersonAlias",	"fieldDesc": "Gender",	"field": "Gender"</t>
  </si>
  <si>
    <t>fieldDesc: "Gender"</t>
  </si>
  <si>
    <t>field: "Gender"</t>
  </si>
  <si>
    <t>"db": "CASTNetDB","table": "PersonNickName","fieldDesc": "Gender","field": "Gender"</t>
  </si>
  <si>
    <t xml:space="preserve">
{"db": "CASTNetDB",	"table": "PersonNickName",	"fieldDesc": "Gender",	"field": "Gender"</t>
  </si>
  <si>
    <t>"db": "CASTNetDB","table": "vw_Person","fieldDesc": "Gender","field": "Gender"</t>
  </si>
  <si>
    <t xml:space="preserve">
{"db": "CASTNetDB",	"table": "vw_Person",	"fieldDesc": "Gender",	"field": "Gender"</t>
  </si>
  <si>
    <t xml:space="preserve">
{"db": "EPR",		"table": "GenderTypes",	"fieldDesc": "Description",	"field": "Description"}]</t>
  </si>
  <si>
    <t>"db": "AS400_JMS","table": "IMMSTR","fieldDesc": "GenderCode","field": "IMSEXC"</t>
  </si>
  <si>
    <t xml:space="preserve">
{"db": "AS400_JMS",	"table": "IMMSTR",	"fieldDesc": "GenderCode",	"field": "IMSEXC"</t>
  </si>
  <si>
    <t>field: "IMSEXC"</t>
  </si>
  <si>
    <t>"db": "AS400_CDC_CMS","table": "DEFEND","fieldDesc": "GenderCode","field": "DESEX"</t>
  </si>
  <si>
    <t xml:space="preserve">
{"db": "AS400_CDC_CMS",	"table": "DEFEND",	"fieldDesc": "GenderCode",	"field": "DESEX"</t>
  </si>
  <si>
    <t>field: "DESEX"</t>
  </si>
  <si>
    <t>"db": "CASTNetDB","table": "vw_Person","fieldDesc": "GenderCode","field": "GenderCode"</t>
  </si>
  <si>
    <t xml:space="preserve">
{"db": "CASTNetDB",		"table": "vw_Person",	"fieldDesc": "GenderCode",	"field": "GenderCode"</t>
  </si>
  <si>
    <t>field: "GenderCode"</t>
  </si>
  <si>
    <t>"db": "EPR","table": "Offenders","fieldDesc": "GenderTypeID","field": "GenderTypeID"</t>
  </si>
  <si>
    <t xml:space="preserve">
{"db": "EPR",	"table": "Offenders",	"fieldDesc": "GenderTypeID",	"field": "GenderTypeID"</t>
  </si>
  <si>
    <t>fieldDesc: "GenderTypeID"</t>
  </si>
  <si>
    <t>field: "GenderTypeID"</t>
  </si>
  <si>
    <t>"db": "EPR","table": "VictimPersons","fieldDesc": "GenderTypeID","field": "GenderTypeID"</t>
  </si>
  <si>
    <t xml:space="preserve">
{"db": "EPR",	"table": "VictimPersons",	"fieldDesc": "GenderTypeID",	"field": "GenderTypeID"</t>
  </si>
  <si>
    <t>"db": "EPR","table": "GenderTypes","fieldDesc": "MainframeCode","field": "MainframeCode"</t>
  </si>
  <si>
    <t xml:space="preserve">
{"db": "EPR",	"table": "GenderTypes",	"fieldDesc": "MainframeCode",	"field": "MainframeCode"</t>
  </si>
  <si>
    <t>fieldDesc: "MainframeCode"</t>
  </si>
  <si>
    <t>field: "MainframeCode"</t>
  </si>
  <si>
    <t>"db": "CASTNetDB","table": "Person","fieldDesc": "GenderId","field": "GenderId"</t>
  </si>
  <si>
    <t xml:space="preserve">
{"db": "CASTNetDB",	"table": "Person",	"fieldDesc": "GenderId",	"field": "GenderId"}]</t>
  </si>
  <si>
    <t>table: "Person"</t>
  </si>
  <si>
    <t>fieldDesc: "GenderId"</t>
  </si>
  <si>
    <t>field: "GenderId"</t>
  </si>
  <si>
    <t>"db": "AS400_JMS","table": "IMMSTR","fieldDesc": "HairColor","field": "IMHAIR"</t>
  </si>
  <si>
    <t>[{"db": "AS400_JMS",	"table": "IMMSTR",	"fieldDesc": "HairColor",	"field": "IMHAIR"</t>
  </si>
  <si>
    <t>field: "IMHAIR"</t>
  </si>
  <si>
    <t>"db": "CASTNetDB","table": "PersonAlias","fieldDesc": "HairColor","field": "HairColor"</t>
  </si>
  <si>
    <t xml:space="preserve">
{"db": "CASTNetDB",	"table": "PersonAlias",	"fieldDesc": "HairColor",	"field": "HairColor"</t>
  </si>
  <si>
    <t>field: "HairColor"</t>
  </si>
  <si>
    <t>"db": "CASTNetDB","table": "vw_Person","fieldDesc": "HairColor","field": "HairColor"</t>
  </si>
  <si>
    <t xml:space="preserve">
{"db": "CASTNetDB",	"table": "vw_Person",	"fieldDesc": "HairColor",	"field": "HairColor"</t>
  </si>
  <si>
    <t>"db": "MC","table": "Digicourt_Orleans.dbview.vw_ArrestDetail","fieldDesc": "HairColorCode","field": "HAIRCOLOR"</t>
  </si>
  <si>
    <t xml:space="preserve">
{"db": "MC",	"table": "Digicourt_Orleans.dbview.vw_ArrestDetail",	"fieldDesc": "HairColorCode",	"field": "HAIRCOLOR"</t>
  </si>
  <si>
    <t>field: "HAIRCOLOR"</t>
  </si>
  <si>
    <t>"db": "MC","table": "DigiCourt_Orleans.dbview.vw_AllWarrants","fieldDesc": "HairColorCode","field": "HAIRCOLOR"</t>
  </si>
  <si>
    <t xml:space="preserve">
{"db": "MC",	"table": "DigiCourt_Orleans.dbview.vw_AllWarrants",	"fieldDesc": "HairColorCode",	"field": "HAIRCOLOR"</t>
  </si>
  <si>
    <t>"db": "CASTNetDB","table": "vw_Person","fieldDesc": "HairColorCode","field": "HairColorCode"</t>
  </si>
  <si>
    <t xml:space="preserve">
{"db": "CASTNetDB",	"table": "vw_Person",	"fieldDesc": "HairColorCode",	"field": "HairColorCode"</t>
  </si>
  <si>
    <t>field: "HairColorCode"</t>
  </si>
  <si>
    <t>"db": "CASTNetDB","table": "PersonDemographic","fieldDesc": "HairColorId","field": "HairColorId"</t>
  </si>
  <si>
    <t xml:space="preserve">
{"db": "CASTNetDB",	"table": "PersonDemographic",	"fieldDesc": "HairColorId",	"field": "HairColorId"}]</t>
  </si>
  <si>
    <t>fieldDesc: "HairColorId"</t>
  </si>
  <si>
    <t>field: "HairColorId"</t>
  </si>
  <si>
    <t>nc:PersonHeightDescriptionText</t>
  </si>
  <si>
    <t>/nola:BookingExchange/j:Booking/j:BookingSubject/RoleOfPerson/PersonHeightDescriptionText[1]</t>
  </si>
  <si>
    <t>/nola:BookingExchange/j:Booking/j:BookingSubject/RoleOfPerson/PersonHeightDescriptionText[2]</t>
  </si>
  <si>
    <t>"db": "AS400_JMS","table": "IMMSTR","fieldDesc": "Height","field": "IMHGHT"</t>
  </si>
  <si>
    <t xml:space="preserve">
{"db": "AS400_JMS",	"table": "IMMSTR",	"fieldDesc": "Height",	"field": "IMHGHT"</t>
  </si>
  <si>
    <t>field: "IMHGHT"</t>
  </si>
  <si>
    <t>"db": "EPR","table": "Offenders","fieldDesc": "Height","field": "Height"</t>
  </si>
  <si>
    <t xml:space="preserve">
{"db": "EPR",		"table": "Offenders",	"fieldDesc": "Height",	"field": "Height"</t>
  </si>
  <si>
    <t>field: "Height"</t>
  </si>
  <si>
    <t>"db": "CASTNetDB","table": "PersonAlias","fieldDesc": "Height","field": "Height"</t>
  </si>
  <si>
    <t xml:space="preserve">
{"db": "CASTNetDB",	"table": "PersonAlias",	"fieldDesc": "Height",	"field": "Height"</t>
  </si>
  <si>
    <t>"db": "CASTNetDB","table": "PersonDemographic","fieldDesc": "Height","field": "Height"</t>
  </si>
  <si>
    <t xml:space="preserve">
{"db": "CASTNetDB",	"table": "PersonDemographic",	"fieldDesc": "Height",	"field": "Height"</t>
  </si>
  <si>
    <t>"db": "CASTNetDB","table": "vw_Person","fieldDesc": "Height","field": "Height"</t>
  </si>
  <si>
    <t xml:space="preserve">
{"db": "CASTNetDB",	"table": "vw_Person",	"fieldDesc": "Height",	"field": "Height"</t>
  </si>
  <si>
    <t>"db": "CASTNetDB","table": "vw_Person","fieldDesc": "Height In Text","field": "Height In Text"</t>
  </si>
  <si>
    <t xml:space="preserve">
{"db": "CASTNetDB",	"table": "vw_Person",	"fieldDesc": "Height In Text",	"field": "Height In Text"</t>
  </si>
  <si>
    <t>fieldDesc: "Height In Text"</t>
  </si>
  <si>
    <t>field: "Height In Text"</t>
  </si>
  <si>
    <t>"db": "CASTNetDB","table": "PersonDemographic","fieldDesc": "HeightFeet","field": "HeightFeet"</t>
  </si>
  <si>
    <t xml:space="preserve">
{"db": "CASTNetDB",	"table": "PersonDemographic",	"fieldDesc": "HeightFeet",	"field": "HeightFeet"</t>
  </si>
  <si>
    <t>fieldDesc: "HeightFeet"</t>
  </si>
  <si>
    <t>field: "HeightFeet"</t>
  </si>
  <si>
    <t>"db": "CASTNetDB","table": "PersonDemographic","fieldDesc": "HeightInches","field": "HeightInches"</t>
  </si>
  <si>
    <t xml:space="preserve">
{"db": "CASTNetDB",	"table": "PersonDemographic",	"fieldDesc": "HeightInches",	"field": "HeightInches"</t>
  </si>
  <si>
    <t>fieldDesc: "HeightInches"</t>
  </si>
  <si>
    <t>field: "HeightInches"</t>
  </si>
  <si>
    <t>"db": "CASTNetDB","table": "PersonDemographic","fieldDesc": "HeightText","field": "HeightText"</t>
  </si>
  <si>
    <t xml:space="preserve">
{"db": "CASTNetDB",	"table": "PersonDemographic",	"fieldDesc": "HeightText",	"field": "HeightText"</t>
  </si>
  <si>
    <t>fieldDesc: "HeightText"</t>
  </si>
  <si>
    <t>field: "HeightText"</t>
  </si>
  <si>
    <t>"db": "CASTNetDB","table": "vw_Person","fieldDesc": "Height In Feet","field": "Height In Feet"</t>
  </si>
  <si>
    <t xml:space="preserve">
{"db": "CASTNetDB",	"table": "vw_Person",	"fieldDesc": "Height In Feet",	"field": "Height In Feet"</t>
  </si>
  <si>
    <t>fieldDesc: "Height In Feet"</t>
  </si>
  <si>
    <t>field: "Height In Feet"</t>
  </si>
  <si>
    <t>"db": "CASTNetDB","table": "vw_Person","fieldDesc": "Height In Inches","field": "Height In Inches"</t>
  </si>
  <si>
    <t xml:space="preserve">
{"db": "CASTNetDB",	"table": "vw_Person",	"fieldDesc": "Height In Inches",	"field": "Height In Inches"</t>
  </si>
  <si>
    <t>fieldDesc: "Height In Inches"</t>
  </si>
  <si>
    <t>field: "Height In Inches"</t>
  </si>
  <si>
    <t>"db": "MC","table": "Digicourt_Orleans.dbview.vw_ArrestDetail","fieldDesc": "HeightFeet","field": "HEIGHT_FT"</t>
  </si>
  <si>
    <t xml:space="preserve">
{"db": "MC",	"table": "Digicourt_Orleans.dbview.vw_ArrestDetail",	"fieldDesc": "HeightFeet",	"field": "HEIGHT_FT"</t>
  </si>
  <si>
    <t>field: "HEIGHT_FT"</t>
  </si>
  <si>
    <t>"db": "MC","table": "DigiCourt_Orleans.dbview.vw_AllWarrants","fieldDesc": "HeightFeet","field": "HEIGHT_FT"</t>
  </si>
  <si>
    <t xml:space="preserve">
{"db": "MC",	"table": "DigiCourt_Orleans.dbview.vw_AllWarrants",	"fieldDesc": "HeightFeet",	"field": "HEIGHT_FT"</t>
  </si>
  <si>
    <t>"db": "MC","table": "Digicourt_Orleans.dbview.vw_ArrestDetail","fieldDesc": "HeightInches","field": "HEIGHT_IN"</t>
  </si>
  <si>
    <t xml:space="preserve">
{"db": "MC",	"table": "Digicourt_Orleans.dbview.vw_ArrestDetail",	"fieldDesc": "HeightInches",	"field": "HEIGHT_IN"</t>
  </si>
  <si>
    <t>field: "HEIGHT_IN"</t>
  </si>
  <si>
    <t>u</t>
  </si>
  <si>
    <t>"db": "MC","table": "DigiCourt_Orleans.dbview.vw_AllWarrants","fieldDesc": "HeightInches","field": "HEIGHT_IN"</t>
  </si>
  <si>
    <t xml:space="preserve">
{"db": "MC",	"table": "DigiCourt_Orleans.dbview.vw_AllWarrants",	"fieldDesc": "HeightInches",	"field": "HEIGHT_IN"}]
</t>
  </si>
  <si>
    <t>"db": "AS400_JMS","table": "IMMSTR","fieldDesc": "Homosexual","field": "IMHOMO"</t>
  </si>
  <si>
    <t>[{"db": "AS400_JMS",	"table": "IMMSTR",	"fieldDesc": "Homosexual",	"field": "IMHOMO"</t>
  </si>
  <si>
    <t>field: "IMHOMO"</t>
  </si>
  <si>
    <t>"db": "AS400_JMS","table": "IMMSTR","fieldDesc": "CountryCode","field": "IMCNTY"</t>
  </si>
  <si>
    <t xml:space="preserve">
{"db": "AS400_JMS",	"table": "IMMSTR",	"fieldDesc": "CountryCode",	"field": "IMCNTY"</t>
  </si>
  <si>
    <t>field: "IMCNTY"</t>
  </si>
  <si>
    <t>PreferredLanguage</t>
  </si>
  <si>
    <t>A capacity of a person for a language with which that person has the strongest familiarity.</t>
  </si>
  <si>
    <t>"db": "AS400_JMS","table": "IMMISC","fieldDesc": "PreferredLanguage","field": "MSPRFL"</t>
  </si>
  <si>
    <t>[{"db": "AS400_JMS",	"table": "IMMISC",	"fieldDesc": "PreferredLanguage",	"field": "MSPRFL"}]</t>
  </si>
  <si>
    <t>nc:LanguageName</t>
  </si>
  <si>
    <t>/nola:BookingExchange/j:Booking/j:BookingSubject/RoleOfPerson/PersonPrimaryLanguage/Language</t>
  </si>
  <si>
    <t>fieldDesc: "PreferredLanguage"</t>
  </si>
  <si>
    <t>field: "MSPRFL"</t>
  </si>
  <si>
    <t>/nola:BookingExchange/j:Booking/j:BookingSubject/RoleOfPerson/PersonPrimaryLanguage/Language/LanguageName</t>
  </si>
  <si>
    <t>"db": "AS400_JMS","table": "IMARRD_ChargesAll_w_Keys","fieldDesc": "Race","field": "Race"</t>
  </si>
  <si>
    <t xml:space="preserve">
{"db": "AS400_JMS",	"table": "IMARRD_ChargesAll_w_Keys",	"fieldDesc": "Race",	"field": "Race"</t>
  </si>
  <si>
    <t>field: "Race"</t>
  </si>
  <si>
    <t>"db": "AS400_JMS","table": "IMMSTR","fieldDesc": "RaceCode","field": "IMRACE"</t>
  </si>
  <si>
    <t xml:space="preserve">
{"db": "AS400_JMS",	"table": "IMMSTR",	"fieldDesc": "RaceCode",	"field": "IMRACE"</t>
  </si>
  <si>
    <t>field: "IMRACE"</t>
  </si>
  <si>
    <t>"db": "AS400_CDC_CMS","table": "DEFEND","fieldDesc": "RaceCode","field": "DERACE"</t>
  </si>
  <si>
    <t xml:space="preserve">
{"db": "AS400_CDC_CMS","table": "DEFEND",	"fieldDesc": "RaceCode",	"field": "DERACE"</t>
  </si>
  <si>
    <t>field: "DERACE"</t>
  </si>
  <si>
    <t>"db": "EPR","table": "Offenders","fieldDesc": "RaceTypeID","field": "RaceTypeID"</t>
  </si>
  <si>
    <t xml:space="preserve">
{"db": "EPR",	"table": "Offenders",	"fieldDesc": "RaceTypeID",	"field": "RaceTypeID"</t>
  </si>
  <si>
    <t>fieldDesc: "RaceTypeID"</t>
  </si>
  <si>
    <t>field: "RaceTypeID"</t>
  </si>
  <si>
    <t>"db": "EPR","table": "VictimPersons","fieldDesc": "RaceTypeID","field": "RaceTypeID"</t>
  </si>
  <si>
    <t xml:space="preserve">
{"db": "EPR",	"table": "VictimPersons",	"fieldDesc": "RaceTypeID",	"field": "RaceTypeID"</t>
  </si>
  <si>
    <t>"db": "EPR","table": "RaceTypes","fieldDesc": "Description","field": "Description"</t>
  </si>
  <si>
    <t xml:space="preserve">
{"db": "EPR",	"table": "RaceTypes",		"fieldDesc": "Description",	"field": "Description"</t>
  </si>
  <si>
    <t>table: "RaceTypes"</t>
  </si>
  <si>
    <t>"db": "CASTNetDB","table": "vw_Person","fieldDesc": "RaceCode","field": "RaceCode"</t>
  </si>
  <si>
    <t xml:space="preserve">
{"db": "CASTNetDB",	"table": "vw_Person",	"fieldDesc": "RaceCode",	"field": "RaceCode"</t>
  </si>
  <si>
    <t>field: "RaceCode"</t>
  </si>
  <si>
    <t>"db": "CASTNetDB","table": "PersonAlias","fieldDesc": "Race","field": "Race"</t>
  </si>
  <si>
    <t xml:space="preserve">
{"db": "CASTNetDB",	"table": "PersonAlias",		"fieldDesc": "Race",	"field": "Race"</t>
  </si>
  <si>
    <t>"db": "CASTNetDB","table": "PersonNickName","fieldDesc": "Race","field": "Race"</t>
  </si>
  <si>
    <t xml:space="preserve">
{"db": "CASTNetDB",	"table": "PersonNickName",	"fieldDesc": "Race",	"field": "Race"</t>
  </si>
  <si>
    <t>"db": "CASTNetDB","table": "vw_Person","fieldDesc": "Race","field": "Race"</t>
  </si>
  <si>
    <t xml:space="preserve">
{"db": "CASTNetDB",	"table": "vw_Person",		"fieldDesc": "Race",	"field": "Race"</t>
  </si>
  <si>
    <t>"db": "MC","table": "Digicourt_Orleans.dbview.vw_CriminalCaseFileDetail","fieldDesc": "Gender","field": " RACE"</t>
  </si>
  <si>
    <t xml:space="preserve">
{"db": "MC",	"table": "Digicourt_Orleans.dbview.vw_CriminalCaseFileDetail",	"fieldDesc": "Gender",	"field": "      RACE"</t>
  </si>
  <si>
    <t>field: " RACE"</t>
  </si>
  <si>
    <t>"db": "MC","table": "Digicourt_Orleans.dbview.vw_ArrestDetail","fieldDesc": "Race","field": "RACE"</t>
  </si>
  <si>
    <t xml:space="preserve">
{"db": "MC",	"table": "Digicourt_Orleans.dbview.vw_ArrestDetail",	"fieldDesc": "Race",	"field": "RACE"</t>
  </si>
  <si>
    <t>field: "RACE"</t>
  </si>
  <si>
    <t>"db": "MC","table": "DigiCourt_Orleans.dbview.vw_AllWarrants","fieldDesc": "Race","field": "RACE"</t>
  </si>
  <si>
    <t xml:space="preserve">
{"db": "MC",	"table": "DigiCourt_Orleans.dbview.vw_AllWarrants",	"fieldDesc": "Race",	"field": "RACE"</t>
  </si>
  <si>
    <t xml:space="preserve">
{"db": "EPR",	"table": "RaceTypes",	"fieldDesc": "Description",	"field": "Description"}]
</t>
  </si>
  <si>
    <t>"db": "AS400_JMS","table": "IMARRD_ChargesAll_w_Keys","fieldDesc": "Sex","field": "SEX"</t>
  </si>
  <si>
    <t xml:space="preserve">
{"db": "AS400_JMS",	"table": "IMARRD_ChargesAll_w_Keys",	"fieldDesc": "Sex",	"field": "SEX"</t>
  </si>
  <si>
    <t>field: "SEX"</t>
  </si>
  <si>
    <t>"db": "MC","table": "Digicourt_Orleans.dbview.vw_CriminalCaseFileDetail","fieldDesc": "DateofBirth","field": " SEX"</t>
  </si>
  <si>
    <t xml:space="preserve">
{"db": "MC",	"table": "Digicourt_Orleans.dbview.vw_CriminalCaseFileDetail",	"fieldDesc": "DateofBirth",	"field": "      SEX"</t>
  </si>
  <si>
    <t>field: " SEX"</t>
  </si>
  <si>
    <t>"db": "MC","table": "Digicourt_Orleans.dbview.vw_ArrestDetail","fieldDesc": "Gender","field": " SEX"</t>
  </si>
  <si>
    <t xml:space="preserve">
{"db": "MC",	"table": "Digicourt_Orleans.dbview.vw_ArrestDetail",	"fieldDesc": "Gender",	"field": "   SEX"}]</t>
  </si>
  <si>
    <t>"db": "AS400_JMS","table": "IMMSTR","fieldDesc": "USCitizenship","field": "IMUSAC"</t>
  </si>
  <si>
    <t>[{"db": "AS400_JMS",	"table": "IMMSTR",	"fieldDesc": "USCitizenship",	"field": "IMUSAC"</t>
  </si>
  <si>
    <t>field: "IMUSAC"</t>
  </si>
  <si>
    <t>"db": "AS400_JMS","table": "IMMSTR","fieldDesc": "Weight","field": "IMWGHT"</t>
  </si>
  <si>
    <t xml:space="preserve">
{"db": "AS400_JMS",	"table": "IMMSTR",	"fieldDesc": "Weight",	"field": "IMWGHT"</t>
  </si>
  <si>
    <t>field: "IMWGHT"</t>
  </si>
  <si>
    <t>"db": "EPR","table": "Offenders","fieldDesc": "Weight","field": "Weight"</t>
  </si>
  <si>
    <t xml:space="preserve">
{"db": "EPR",		"table": "Offenders",	"fieldDesc": "Weight",	"field": "Weight"</t>
  </si>
  <si>
    <t>field: "Weight"</t>
  </si>
  <si>
    <t>"db": "CASTNetDB","table": "PersonAlias","fieldDesc": "Weight","field": "Weight"</t>
  </si>
  <si>
    <t xml:space="preserve">
{"db": "CASTNetDB",	"table": "PersonAlias",	"fieldDesc": "Weight",	"field": "Weight"</t>
  </si>
  <si>
    <t>"db": "CASTNetDB","table": "PersonDemographic","fieldDesc": "Weight","field": "Weight"</t>
  </si>
  <si>
    <t xml:space="preserve">
{"db": "CASTNetDB",	"table": "PersonDemographic",	"fieldDesc": "Weight",	"field": "Weight"</t>
  </si>
  <si>
    <t>"db": "MC","table": "Digicourt_Orleans.dbview.vw_ArrestDetail","fieldDesc": "Weight","field": "WEIGHT"</t>
  </si>
  <si>
    <t xml:space="preserve">
{"db": "MC",	"table": "Digicourt_Orleans.dbview.vw_ArrestDetail",	"fieldDesc": "Weight",	"field": "WEIGHT"</t>
  </si>
  <si>
    <t>field: "WEIGHT"</t>
  </si>
  <si>
    <t>"db": "MC","table": "DigiCourt_Orleans.dbview.vw_AllWarrants","fieldDesc": "Weight","field": "WEIGHT"</t>
  </si>
  <si>
    <t xml:space="preserve">
{"db": "MC",	"table": "DigiCourt_Orleans.dbview.vw_AllWarrants",	"fieldDesc": "Weight",	"field": "WEIGHT"}]
</t>
  </si>
  <si>
    <t>"db": "AS400_JMS","table": "IMMSTR","fieldDesc": "AlienIdentificationNumber","field": "IMALIN"</t>
  </si>
  <si>
    <t>[{"db": "AS400_JMS",	"table": "IMMSTR",	"fieldDesc": "AlienIdentificationNumber",	"field": "IMALIN"</t>
  </si>
  <si>
    <t>field: "IMALIN"</t>
  </si>
  <si>
    <t>"db": "AS400_JMS","table": "IMARRD_ChargesAll_w_Keys","fieldDesc": "DateofBirth","field": "Date_of_Birth"</t>
  </si>
  <si>
    <t xml:space="preserve">
{"db": "AS400_JMS",	"table": "IMARRD_ChargesAll_w_Keys",	"fieldDesc": "DateofBirth",	"field": "Date_of_Birth"</t>
  </si>
  <si>
    <t>field: "Date_of_Birth"</t>
  </si>
  <si>
    <t>"db": "AS400_JMS","table": "IMMSTR","fieldDesc": "DateofBirth","field": "IMDOBD"</t>
  </si>
  <si>
    <t xml:space="preserve">
{"db": "AS400_JMS",	"table": "IMMSTR",	"fieldDesc": "DateofBirth",	"field": "IMDOBD"</t>
  </si>
  <si>
    <t>field: "IMDOBD"</t>
  </si>
  <si>
    <t>"db": "AS400_CDC_CMS","table": "DEFEND","fieldDesc": "DateofBirth","field": "DEDOB"</t>
  </si>
  <si>
    <t xml:space="preserve">
{"db": "AS400_CDC_CMS",	"table": "DEFEND",	"fieldDesc": "DateofBirth",	"field": "DEDOB"</t>
  </si>
  <si>
    <t>field: "DEDOB"</t>
  </si>
  <si>
    <t>"db": "EPR","table": "Offenders","fieldDesc": "DateOfBirth","field": "DateOfBirth"</t>
  </si>
  <si>
    <t xml:space="preserve">
{"db": "EPR",	"table": "Offenders",	"fieldDesc": "DateOfBirth",	"field": "DateOfBirth"</t>
  </si>
  <si>
    <t>fieldDesc: "DateOfBirth"</t>
  </si>
  <si>
    <t>field: "DateOfBirth"</t>
  </si>
  <si>
    <t>"db": "EPR","table": "VictimPersons","fieldDesc": "DateOfBirth","field": "DateOfBirth"</t>
  </si>
  <si>
    <t xml:space="preserve">
{"db": "EPR",	"table": "VictimPersons",	"fieldDesc": "DateOfBirth",	"field": "DateOfBirth"</t>
  </si>
  <si>
    <t>"db": "MC","table": "Digicourt_Orleans.dbview.vw_ArrestDetail","fieldDesc": "DateofBirth","field": " DOB"</t>
  </si>
  <si>
    <t xml:space="preserve">
{"db": "MC",	"table": "Digicourt_Orleans.dbview.vw_ArrestDetail",	"fieldDesc": "DateofBirth",	"field": "   DOB"</t>
  </si>
  <si>
    <t>field: " DOB"</t>
  </si>
  <si>
    <t>"db": "MC","table": "DigiCourt_Orleans.dbview.vw_AllWarrants","fieldDesc": "DateofBirth","field": " DOB"</t>
  </si>
  <si>
    <t xml:space="preserve">
{"db": "MC",	"table": "[DigiCourt_Orleans].[dbview].vw_AllWarrants",	"fieldDesc": "DateofBirth",	"field": "      DOB"</t>
  </si>
  <si>
    <t>"db": "MC","table": "Digicourt_Orleans.dbview.vw_CriminalCaseFileDetail","fieldDesc": "Race","field": "DOB"</t>
  </si>
  <si>
    <t xml:space="preserve">
{"db": "MC",	"table": "Digicourt_Orleans.dbview.vw_CriminalCaseFileDetail",	"fieldDesc": "Race",	"field": "DOB"}]
</t>
  </si>
  <si>
    <t>field: "DOB"</t>
  </si>
  <si>
    <t>"db": "AS400_JMS","table": "IMMSTR","fieldDesc": "FBINumber","field": "IMFBIN"</t>
  </si>
  <si>
    <t xml:space="preserve">
{"db": "AS400_JMS",	"table": "IMMSTR",	"fieldDesc": "FBINumber",	"field": "IMFBIN"</t>
  </si>
  <si>
    <t>field: "IMFBIN"</t>
  </si>
  <si>
    <t>"db": "CASTNetDB","table": "Charge","fieldDesc": "FbiCode","field": "FbiCode"</t>
  </si>
  <si>
    <t xml:space="preserve">
{"db": "CASTNetDB",	"table": "Charge",	"fieldDesc": "FbiCode",	"field": "FbiCode"</t>
  </si>
  <si>
    <t>fieldDesc: "FbiCode"</t>
  </si>
  <si>
    <t>field: "FbiCode"</t>
  </si>
  <si>
    <t>"db": "CASTNetDB","table": "PersonFbi","fieldDesc": "FbiNumber","field": "FbiNumber"</t>
  </si>
  <si>
    <t xml:space="preserve">
{"db": "CASTNetDB",	"table": "PersonFbi",	"fieldDesc": "FbiNumber",	"field": "FbiNumber"</t>
  </si>
  <si>
    <t>table: "PersonFbi"</t>
  </si>
  <si>
    <t>fieldDesc: "FbiNumber"</t>
  </si>
  <si>
    <t>field: "FbiNumber"</t>
  </si>
  <si>
    <t>"db": "CASTNetDB","table": "vw_Person","fieldDesc": "FbiNumber","field": "FbiNumber"</t>
  </si>
  <si>
    <t xml:space="preserve">
{"db": "CASTNetDB",	"table": "vw_Person",	"fieldDesc": "FbiNumber",	"field": "FbiNumber"}]
</t>
  </si>
  <si>
    <t>"db": "AS400_JMS","table": "IMARRD_ChargesAll_w_Keys","fieldDesc": "CCN","field": "CCN"</t>
  </si>
  <si>
    <t>[{"db": "AS400_JMS",	"table": "IMARRD_ChargesAll_w_Keys",	"fieldDesc": "CCN",	"field": "CCN"</t>
  </si>
  <si>
    <t>field: "CCN"</t>
  </si>
  <si>
    <t>"db": "AS400_JMS","table": "IMMSTR","fieldDesc": "CCN","field": "IMCCNO"</t>
  </si>
  <si>
    <t xml:space="preserve">
{"db": "AS400_JMS",	"table": "IMMSTR",	"fieldDesc": "CCN",	"field": "IMCCNO"</t>
  </si>
  <si>
    <t>field: "IMCCNO"</t>
  </si>
  <si>
    <t>"db": "AS400_CDC_CMS","table": "CASEVT_CASEVD_UNION","fieldDesc": "Cancelled Flag","field": "Cancelled"</t>
  </si>
  <si>
    <t xml:space="preserve">
{"db": "AS400_CDC_CMS",	"table": "CASEVT_CASEVD_UNION",	"fieldDesc": "Cancelled Flag",	"field": "Cancelled"</t>
  </si>
  <si>
    <t>fieldDesc: "Cancelled Flag"</t>
  </si>
  <si>
    <t>field: "Cancelled"</t>
  </si>
  <si>
    <t>"db": "AS400_CDC_CMS","table": "DEFEND","fieldDesc": "CCN","field": "DECCN"</t>
  </si>
  <si>
    <t xml:space="preserve">
{"db": "AS400_CDC_CMS",	"table": "DEFEND",	"fieldDesc": "CCN",	"field": "DECCN"</t>
  </si>
  <si>
    <t>field: "DECCN"</t>
  </si>
  <si>
    <t>"db": "AS400_CDC_CMS","table": "MAGDOCK","fieldDesc": "CCN","field": "MDCCN"</t>
  </si>
  <si>
    <t xml:space="preserve">
{"db": "AS400_CDC_CMS",	"table": "MAGDOCK",	"fieldDesc": "CCN",	"field": "MDCCN"</t>
  </si>
  <si>
    <t>field: "MDCCN"</t>
  </si>
  <si>
    <t>"db": "AS400_CDC_CMS","table": "MAGLST","fieldDesc": "CCN","field": "MLCCN"</t>
  </si>
  <si>
    <t xml:space="preserve">
{"db": "AS400_CDC_CMS",	"table": "MAGLST",	"fieldDesc": "CCN",	"field": "MLCCN"</t>
  </si>
  <si>
    <t>field: "MLCCN"</t>
  </si>
  <si>
    <t>"db": "CASTNetDB","table": "PersonArrest","fieldDesc": "Ccn","field": "Ccn"</t>
  </si>
  <si>
    <t xml:space="preserve">
{"db": "CASTNetDB",	"table": "PersonArrest",	"fieldDesc": "Ccn",	"field": "Ccn"</t>
  </si>
  <si>
    <t>fieldDesc: "Ccn"</t>
  </si>
  <si>
    <t>field: "Ccn"</t>
  </si>
  <si>
    <t>"db": "CASTNetDB","table": "PersonCcn","fieldDesc": "Ccn","field": "Ccn"</t>
  </si>
  <si>
    <t xml:space="preserve">
{"db": "CASTNetDB",	"table": "PersonCcn",	"fieldDesc": "Ccn",	"field": "Ccn"</t>
  </si>
  <si>
    <t>table: "PersonCcn"</t>
  </si>
  <si>
    <t>"db": "CASTNetDB","table": "Vehicle","fieldDesc": "CCN","field": "CCN"</t>
  </si>
  <si>
    <t xml:space="preserve">
{"db": "CASTNetDB",	"table": "Vehicle",	"fieldDesc": "CCN",	"field": "CCN"</t>
  </si>
  <si>
    <t>"db": "CASTNetDB","table": "vw_Person","fieldDesc": "Ccn","field": "Ccn"</t>
  </si>
  <si>
    <t xml:space="preserve">
{"db": "CASTNetDB",	"table": "vw_Person",	"fieldDesc": "Ccn",	"field": "Ccn"</t>
  </si>
  <si>
    <t>"db": "MC","table": "Digicourt_Orleans.dbview.vw_ArrestDetail","fieldDesc": "CCN","field": "CCN"</t>
  </si>
  <si>
    <t xml:space="preserve">
{"db": "MC",	"table": "Digicourt_Orleans.dbview.vw_ArrestDetail",	"fieldDesc": "CCN",	"field": "CCN"</t>
  </si>
  <si>
    <t>"db": "MC","table": "DigiCourt_Orleans.dbview.vw_AllWarrants","fieldDesc": "CCN","field": "CCN"</t>
  </si>
  <si>
    <t xml:space="preserve">
{"db": "MC",	"table": "DigiCourt_Orleans.dbview.vw_AllWarrants",	"fieldDesc": "CCN",	"field": "CCN"}]</t>
  </si>
  <si>
    <t>"db": "AS400_JMS","table": "IMMSTR","fieldDesc": "SIDNumber","field": "IMSIDN"</t>
  </si>
  <si>
    <t xml:space="preserve">
{"db": "AS400_JMS",	"table": "IMMSTR",	"fieldDesc": "SIDNumber",	"field": "IMSIDN"</t>
  </si>
  <si>
    <t>field: "IMSIDN"</t>
  </si>
  <si>
    <t>"db": "AS400_CDC_CMS","table": "DEFEND","fieldDesc": "SIDNumber","field": "DESIDN"</t>
  </si>
  <si>
    <t xml:space="preserve">
{"db": "AS400_CDC_CMS",	"table": "DEFEND",	"fieldDesc": "SIDNumber",	"field": "DESIDN"</t>
  </si>
  <si>
    <t>field: "DESIDN"</t>
  </si>
  <si>
    <t>"db": "CASTNetDB","table": "PersonSid","fieldDesc": "Sid","field": "Sid"</t>
  </si>
  <si>
    <t xml:space="preserve">
{"db": "CASTNetDB",	"table": "PersonSid",	"fieldDesc": "Sid",	"field": "Sid"}]</t>
  </si>
  <si>
    <t>table: "PersonSid"</t>
  </si>
  <si>
    <t>fieldDesc: "Sid"</t>
  </si>
  <si>
    <t>field: "Sid"</t>
  </si>
  <si>
    <t>"db": "AS400_JMS","table": "IMMSTR","fieldDesc": "SocialSecurityNumber","field": "IMSSNO"</t>
  </si>
  <si>
    <t xml:space="preserve">
{"db": "AS400_JMS",	"table": "IMMSTR",	"fieldDesc": "SocialSecurityNumber",	"field": "IMSSNO"</t>
  </si>
  <si>
    <t>field: "IMSSNO"</t>
  </si>
  <si>
    <t>"db": "EPR","table": "Offenders","fieldDesc": "SocialSecurityNumber","field": "SocialSecurityNumber"</t>
  </si>
  <si>
    <t xml:space="preserve">
{"db": "EPR",	"table": 	"Offenders",		"fieldDesc": "SocialSecurityNumber",	"field": "SocialSecurityNumber"</t>
  </si>
  <si>
    <t>field: "SocialSecurityNumber"</t>
  </si>
  <si>
    <t>"db": "EPR","table": "VictimPersons","fieldDesc": "SocialSecurityNumber","field": "SocialSecurityNumber"</t>
  </si>
  <si>
    <t xml:space="preserve">
{"db": "EPR",	"table": 	"VictimPersons",	"fieldDesc": "SocialSecurityNumber",	"field": "SocialSecurityNumber"</t>
  </si>
  <si>
    <t>"db": "CASTNetDB","table": "PersonSsn","fieldDesc": "Ssn","field": "Ssn"</t>
  </si>
  <si>
    <t xml:space="preserve">
{"db": "CASTNetDB",	"table": "PersonSsn",	"fieldDesc": "Ssn",		"field": "Ssn"</t>
  </si>
  <si>
    <t>table: "PersonSsn"</t>
  </si>
  <si>
    <t>fieldDesc: "Ssn"</t>
  </si>
  <si>
    <t>field: "Ssn"</t>
  </si>
  <si>
    <t>"db": "CASTNetDB","table": "vw_Person","fieldDesc": "Ssn","field": "Ssn"</t>
  </si>
  <si>
    <t xml:space="preserve">
{"db": "CASTNetDB",	"table": "vw_Person",	"fieldDesc": "Ssn",		"field": "Ssn"</t>
  </si>
  <si>
    <t>"db": "MC","table": "Digicourt_Orleans.dbview.vw_ArrestDetail","fieldDesc": "SocialSecurityNumber","field": "SSN"</t>
  </si>
  <si>
    <t xml:space="preserve">
{"db": "MC",	"table": "Digicourt_Orleans.dbview.vw_ArrestDetail",	"fieldDesc": "SocialSecurityNumber",	"field": "SSN"</t>
  </si>
  <si>
    <t>field: "SSN"</t>
  </si>
  <si>
    <t>"db": "MC","table": "Digicourt_Orleans.dbview.vw_CriminalCaseFileDetail","fieldDesc": "SocialSecurityNumber","field": "SSN"</t>
  </si>
  <si>
    <t xml:space="preserve">
{"db": "MC",	"table": "Digicourt_Orleans.dbview.vw_CriminalCaseFileDetail",	"fieldDesc": "SocialSecurityNumber",	"field": "SSN"</t>
  </si>
  <si>
    <t>"db": "MC","table": "DigiCourt_Orleans.dbview.vw_AllWarrants","fieldDesc": "SocialSecurityNumber","field": "SSN"</t>
  </si>
  <si>
    <t xml:space="preserve">
{"db": "MC",	"table": "DigiCourt_Orleans.dbview.vw_AllWarrants",	"fieldDesc": "SocialSecurityNumber",	"field": "SSN"}]
</t>
  </si>
  <si>
    <t>SocialSecurityNumLastEntered</t>
  </si>
  <si>
    <t>A record of the last entered unique identification reference to a living person; assigned by the United States Social Security Administration.</t>
  </si>
  <si>
    <t>"db": "CASTNetDB","table": "vw_Person","fieldDesc": "LastSsnEnteredDate","field": "LastSsnEnteredDate"</t>
  </si>
  <si>
    <t>[{"db": "CASTNetDB",	"table": "vw_Person",	"fieldDesc": "LastSsnEnteredDate",	"field": "LastSsnEnteredDate"}]</t>
  </si>
  <si>
    <t>/nola:BookingExchange/j:Booking/j:BookingSubject/RoleOfPerson/PersonSSNIdentification/IdentificationEffectiveDate/Date</t>
  </si>
  <si>
    <t>fieldDesc: "LastSsnEnteredDate"</t>
  </si>
  <si>
    <t>field: "LastSsnEnteredDate"</t>
  </si>
  <si>
    <t>"db": "AS400_JMS","table": "IMMSTR","fieldDesc": "SocialSecurityNumber","field": "IMSTCDB"</t>
  </si>
  <si>
    <t xml:space="preserve">
{"db": "AS400_JMS",	"table": "IMMSTR",	"fieldDesc": "SocialSecurityNumber",	"field": "IMSTCDB"</t>
  </si>
  <si>
    <t>field: "IMSTCDB"</t>
  </si>
  <si>
    <t>"db": "CASTNetDB","table": "PersonDemographic","fieldDesc": "BirthState","field": "BirthState"</t>
  </si>
  <si>
    <t xml:space="preserve">
{"db": "CASTNetDB",	"table": "PersonDemographic",	"fieldDesc": "BirthState",	"field": "BirthState"</t>
  </si>
  <si>
    <t>fieldDesc: "BirthState"</t>
  </si>
  <si>
    <t>field: "BirthState"</t>
  </si>
  <si>
    <t>"db": "CASTNetDB","table": "vw_Person","fieldDesc": "BirthState","field": "BirthState"</t>
  </si>
  <si>
    <t xml:space="preserve">
{"db": "CASTNetDB",	"table": "vw_Person",	"fieldDesc": "BirthState",	"field": "BirthState"}]</t>
  </si>
  <si>
    <t>AlternateAliasFirstName</t>
  </si>
  <si>
    <t>An alternate first name of a person, alias.</t>
  </si>
  <si>
    <t>"db": "EPR","table": "Reports","fieldDesc": "OtherName","field": "OtherName"</t>
  </si>
  <si>
    <t>[{"db": "EPR",	"table": "Reports",	"fieldDesc": "OtherName",	"field": "OtherName"}]</t>
  </si>
  <si>
    <t xml:space="preserve">em:PersonAlternateName </t>
  </si>
  <si>
    <t>/nola:BookingExchange/j:Booking/j:BookingSubject/RoleOfPerson/PersonName/nola-ext:PersonNameAugmentation/em:PersonAlternateName[1]</t>
  </si>
  <si>
    <t>fieldDesc: "OtherName"</t>
  </si>
  <si>
    <t>field: "OtherName"</t>
  </si>
  <si>
    <t>AlternateAliasLastName</t>
  </si>
  <si>
    <t>An alternate last name of a person, alias.</t>
  </si>
  <si>
    <t>/nola:BookingExchange/j:Booking/j:BookingSubject/RoleOfPerson/PersonName/nola-ext:PersonNameAugmentation/em:PersonAlternateName[2]</t>
  </si>
  <si>
    <t>"db": "AS400_JMS","table": "IMARRD_ChargesAll_w_Keys","fieldDesc": "FirstName","field": "First_Name"</t>
  </si>
  <si>
    <t xml:space="preserve">
{"db": "AS400_JMS",	"table": "IMARRD_ChargesAll_w_Keys",	"fieldDesc": "FirstName",	"field": "First_Name"</t>
  </si>
  <si>
    <t>field: "First_Name"</t>
  </si>
  <si>
    <t>"db": "AS400_JMS","table": "IMMSTR","fieldDesc": "FirstName","field": "IMFNAM"</t>
  </si>
  <si>
    <t xml:space="preserve">
{"db": "AS400_JMS",	"table": "IMMSTR",	"fieldDesc": "FirstName",	"field": "IMFNAM"</t>
  </si>
  <si>
    <t>field: "IMFNAM"</t>
  </si>
  <si>
    <t>"db": "AS400_CDC_CMS","table": "DEFEND","fieldDesc": "FirstName","field": "DEFNAM"</t>
  </si>
  <si>
    <t xml:space="preserve">
{"db": "AS400_CDC_CMS",	"table": "DEFEND",	"fieldDesc": "FirstName",	"field": "DEFNAM"</t>
  </si>
  <si>
    <t>field: "DEFNAM"</t>
  </si>
  <si>
    <t>"db": "AS400_CDC_CMS","table": "JUDGE","fieldDesc": "FirstName","field": "JT_JUDGE_FIRST_NAME"</t>
  </si>
  <si>
    <t xml:space="preserve">
{"db": "AS400_CDC_CMS",	"table": "JUDGE",	"fieldDesc": "FirstName",	"field": "JT_JUDGE_FIRST_NAME"</t>
  </si>
  <si>
    <t>field: "JT_JUDGE_FIRST_NAME"</t>
  </si>
  <si>
    <t>"db": "EPR","table": "Offenders","fieldDesc": "FirstName","field": "FirstName"</t>
  </si>
  <si>
    <t xml:space="preserve">
{"db": "EPR",	"table": "Offenders",	"fieldDesc": "FirstName",	"field": "FirstName"</t>
  </si>
  <si>
    <t>field: "FirstName"</t>
  </si>
  <si>
    <t>"db": "EPR","table": "VictimPersons","fieldDesc": "FirstName","field": "FirstName"</t>
  </si>
  <si>
    <t xml:space="preserve">
{"db": "EPR",	"table": "VictimPersons",	"fieldDesc": "FirstName",	"field": "FirstName"</t>
  </si>
  <si>
    <t>"db": "CASTNetDB","table": "ArrestOfficer","fieldDesc": "FirstName","field": "FirstName"</t>
  </si>
  <si>
    <t xml:space="preserve">
{"db": "CASTNetDB",	"table": "ArrestOfficer",	"fieldDesc": "FirstName",	"field": "FirstName"</t>
  </si>
  <si>
    <t>"db": "CASTNetDB","table": "Person","fieldDesc": "FirstName","field": "FirstName"</t>
  </si>
  <si>
    <t xml:space="preserve">
{"db": "CASTNetDB",	"table": "Person",	"fieldDesc": "FirstName",	"field": "FirstName"</t>
  </si>
  <si>
    <t>"db": "CASTNetDB","table": "PersonAlias","fieldDesc": "FirstName","field": "FirstName"</t>
  </si>
  <si>
    <t xml:space="preserve">
{"db": "CASTNetDB",	"table": "PersonAlias",	"fieldDesc": "FirstName",	"field": "FirstName"</t>
  </si>
  <si>
    <t>"db": "CASTNetDB","table": "SpecialOfficerAlias","fieldDesc": "FirstName","field": "FirstName"</t>
  </si>
  <si>
    <t xml:space="preserve">
{"db": "CASTNetDB",	"table": "SpecialOfficerAlias",	"fieldDesc": "FirstName",	"field": "FirstName"</t>
  </si>
  <si>
    <t>table: "SpecialOfficerAlias"</t>
  </si>
  <si>
    <t>"db": "CASTNetDB","table": "vw_Person","fieldDesc": "FirstName","field": "FirstName"</t>
  </si>
  <si>
    <t xml:space="preserve">
{"db": "CASTNetDB",	"table": "vw_Person",	"fieldDesc": "FirstName",	"field": "FirstName"</t>
  </si>
  <si>
    <t>"db": "CASTNetDB","table": "Person","fieldDesc": "SoundexFirstName","field": "SoundexFirstName"</t>
  </si>
  <si>
    <t xml:space="preserve">
{"db": "CASTNetDB",	"table": "Person",	"fieldDesc": "SoundexFirstName",	"field": "SoundexFirstName"</t>
  </si>
  <si>
    <t>fieldDesc: "SoundexFirstName"</t>
  </si>
  <si>
    <t>field: "SoundexFirstName"</t>
  </si>
  <si>
    <t>v</t>
  </si>
  <si>
    <t>"db": "CASTNetDB","table": "PersonAlias","fieldDesc": "SoundexFirstName","field": "SoundexFirstName"</t>
  </si>
  <si>
    <t xml:space="preserve">
{"db": "CASTNetDB",	"table": "PersonAlias",	"fieldDesc": "SoundexFirstName",	"field": "SoundexFirstName"}]</t>
  </si>
  <si>
    <t>"db": "EPR","table": "Gists","fieldDesc": "ArrestingOfficerName","field": "ArrestingOfficerName"</t>
  </si>
  <si>
    <t xml:space="preserve">
{"db": "EPR",	"table": "Gists",	"fieldDesc": "ArrestingOfficerName",	"field": "ArrestingOfficerName"</t>
  </si>
  <si>
    <t>field: "ArrestingOfficerName"</t>
  </si>
  <si>
    <t>"db": "EPR","table": "Reports","fieldDesc": "DetectiveName","field": "DetectiveName"</t>
  </si>
  <si>
    <t xml:space="preserve">
{"db": "EPR",	"table": "Reports",	"fieldDesc": "DetectiveName",	"field": "DetectiveName"</t>
  </si>
  <si>
    <t>fieldDesc: "DetectiveName"</t>
  </si>
  <si>
    <t>field: "DetectiveName"</t>
  </si>
  <si>
    <t>"db": "EPR","table": "ChargePrefixTypes","fieldDesc": "Name","field": "Name"</t>
  </si>
  <si>
    <t xml:space="preserve">
{"db": "EPR",	"table": "ChargePrefixTypes",	"fieldDesc": "Name",	"field": "Name"</t>
  </si>
  <si>
    <t>table: "ChargePrefixTypes"</t>
  </si>
  <si>
    <t>fieldDesc: "Name"</t>
  </si>
  <si>
    <t>field: "Name"</t>
  </si>
  <si>
    <t>"db": "EPR","table": "Reports","fieldDesc": "Officer1Name","field": "Officer1Name"</t>
  </si>
  <si>
    <t xml:space="preserve">
{"db": "EPR",	"table": "Reports",	"fieldDesc": "Officer1Name",	"field": "Officer1Name"</t>
  </si>
  <si>
    <t>fieldDesc: "Officer1Name"</t>
  </si>
  <si>
    <t>field: "Officer1Name"</t>
  </si>
  <si>
    <t>"db": "EPR","table": "Reports","fieldDesc": "Officer2Name","field": "Officer2Name"</t>
  </si>
  <si>
    <t xml:space="preserve">
{"db": "EPR",	"table": "Reports",	"fieldDesc": "Officer2Name",	"field": "Officer2Name"</t>
  </si>
  <si>
    <t>fieldDesc: "Officer2Name"</t>
  </si>
  <si>
    <t>field: "Officer2Name"</t>
  </si>
  <si>
    <t>"db": "EPR","table": "Reports","fieldDesc": "SupervisorName","field": "SupervisorName"</t>
  </si>
  <si>
    <t xml:space="preserve">
{"db": "EPR",	"table": "Reports",	"fieldDesc": "SupervisorName",	"field": "SupervisorName"</t>
  </si>
  <si>
    <t>fieldDesc: "SupervisorName"</t>
  </si>
  <si>
    <t>field: "SupervisorName"</t>
  </si>
  <si>
    <t>"db": "CASTNetDB","table": "SpecialOfficerWeapon","fieldDesc": "name","field": "name"</t>
  </si>
  <si>
    <t xml:space="preserve">
{"db": "CASTNetDB",	"table": "SpecialOfficerWeapon",	"fieldDesc": "name",	"field": "name"</t>
  </si>
  <si>
    <t>fieldDesc: "name"</t>
  </si>
  <si>
    <t>field: "name"</t>
  </si>
  <si>
    <t>"db": "MC","table": "DigiCourt_Orleans.dbview.vw_AllWarrants","fieldDesc": "JudgeName","field": "judge"</t>
  </si>
  <si>
    <t xml:space="preserve">
{"db": "MC",	"table": "DigiCourt_Orleans.dbview.vw_AllWarrants",	"fieldDesc": "JudgeName",	"field": "judge"}]</t>
  </si>
  <si>
    <t>fieldDesc: "JudgeName"</t>
  </si>
  <si>
    <t>field: "judge"</t>
  </si>
  <si>
    <t>"db": "AS400_JMS","table": "IMARRD_ChargesAll_w_Keys","fieldDesc": "LastName","field": "Last_Name"</t>
  </si>
  <si>
    <t xml:space="preserve">
{"db": "AS400_JMS",	"table": "IMARRD_ChargesAll_w_Keys",	"fieldDesc": "LastName",	"field": "Last_Name"</t>
  </si>
  <si>
    <t>field: "Last_Name"</t>
  </si>
  <si>
    <t>"db": "AS400_JMS","table": "IMMSTR","fieldDesc": "LastName","field": "IMLNAM"</t>
  </si>
  <si>
    <t xml:space="preserve">
{"db": "AS400_JMS",	"table": "IMMSTR",	"fieldDesc": "LastName",	"field": "IMLNAM"</t>
  </si>
  <si>
    <t>field: "IMLNAM"</t>
  </si>
  <si>
    <t>"db": "AS400_CDC_CMS","table": "DEFEND","fieldDesc": "LastName","field": "DELNAM"</t>
  </si>
  <si>
    <t xml:space="preserve">
{"db": "AS400_CDC_CMS",	"table": "DEFEND",	"fieldDesc": "LastName",	"field": "DELNAM"</t>
  </si>
  <si>
    <t>field: "DELNAM"</t>
  </si>
  <si>
    <t>"db": "AS400_CDC_CMS","table": "JUDGE","fieldDesc": "LastName","field": "JT_JUDGE_LAST_NAME"</t>
  </si>
  <si>
    <t xml:space="preserve">
{"db": "AS400_CDC_CMS",	"table": "JUDGE",	"fieldDesc": "LastName",	"field": "JT_JUDGE_LAST_NAME"</t>
  </si>
  <si>
    <t>field: "JT_JUDGE_LAST_NAME"</t>
  </si>
  <si>
    <t>"db": "EPR","table": "Offenders","fieldDesc": "LastName","field": "LastName"</t>
  </si>
  <si>
    <t xml:space="preserve">
{"db": "EPR",	"table": "Offenders",	"fieldDesc": "LastName",	"field": "LastName"</t>
  </si>
  <si>
    <t>field: "LastName"</t>
  </si>
  <si>
    <t>"db": "EPR","table": "VictimPersons","fieldDesc": "LastName","field": "LastName"</t>
  </si>
  <si>
    <t xml:space="preserve">
{"db": "EPR",	"table": "VictimPersons",	"fieldDesc": "LastName",	"field": "LastName"</t>
  </si>
  <si>
    <t>"db": "CASTNetDB","table": "Person","fieldDesc": "SoundexLastName","field": "SoundexLastName"</t>
  </si>
  <si>
    <t xml:space="preserve">
{"db": "CASTNetDB",	"table": "Person",	"fieldDesc": "SoundexLastName",	"field": "SoundexLastName"</t>
  </si>
  <si>
    <t>fieldDesc: "SoundexLastName"</t>
  </si>
  <si>
    <t>field: "SoundexLastName"</t>
  </si>
  <si>
    <t>"db": "CASTNetDB","table": "PersonAlias","fieldDesc": "SoundexLastName","field": "SoundexLastName"</t>
  </si>
  <si>
    <t xml:space="preserve">
{"db": "CASTNetDB",	"table": "PersonAlias",	"fieldDesc": "SoundexLastName",	"field": "SoundexLastName"}]</t>
  </si>
  <si>
    <t>/nola:BookingExchange/j:Booking/j:Arrest/j:ArrestOfficial[1]/RoleOfPerson/PersonName/PersonMiddleName</t>
  </si>
  <si>
    <t>/nola:BookingExchange/j:Booking/j:Arrest/j:ArrestOfficial[2]/RoleOfPerson/PersonName/PersonMiddleName</t>
  </si>
  <si>
    <t>"db": "AS400_JMS","table": "IMMSTR","fieldDesc": "MiddleInitial","field": "IMMINI"</t>
  </si>
  <si>
    <t xml:space="preserve">
{"db": "AS400_JMS",	"table": "IMMSTR",	"fieldDesc": "MiddleInitial",	"field": "IMMINI"</t>
  </si>
  <si>
    <t>field: "IMMINI"</t>
  </si>
  <si>
    <t>"db": "AS400_CDC_CMS","table": "DEFEND","fieldDesc": "MiddleInitial","field": "DEMNAM"</t>
  </si>
  <si>
    <t xml:space="preserve">
{"db": "AS400_CDC_CMS",	"table": "DEFEND",	"fieldDesc": "MiddleInitial",	"field": "DEMNAM"</t>
  </si>
  <si>
    <t>field: "DEMNAM"</t>
  </si>
  <si>
    <t>"db": "AS400_CDC_CMS","table": "JUDGE","fieldDesc": "MiddleInitial","field": "JT_MIDDLE_INITIAL"</t>
  </si>
  <si>
    <t xml:space="preserve">
{"db": "AS400_CDC_CMS",	"table": "JUDGE",	"fieldDesc": "MiddleInitial",	"field": "JT_MIDDLE_INITIAL"</t>
  </si>
  <si>
    <t>field: "JT_MIDDLE_INITIAL"</t>
  </si>
  <si>
    <t>"db": "CASTNetDB","table": "Person","fieldDesc": "MiddleInitial","field": "MiddleInitial"</t>
  </si>
  <si>
    <t xml:space="preserve">
{"db": "CASTNetDB",	"table": "Person",	"fieldDesc": "MiddleInitial",	"field": "MiddleInitial"</t>
  </si>
  <si>
    <t>field: "MiddleInitial"</t>
  </si>
  <si>
    <t>"db": "CASTNetDB","table": "PersonAlias","fieldDesc": "MiddleInitial","field": "MiddleInitial"</t>
  </si>
  <si>
    <t xml:space="preserve">
{"db": "CASTNetDB",	"table": "PersonAlias",	"fieldDesc": "MiddleInitial",	"field": "MiddleInitial"</t>
  </si>
  <si>
    <t>"db": "CASTNetDB","table": "vw_Person","fieldDesc": "MiddleInitial","field": "MiddleInitial"</t>
  </si>
  <si>
    <t xml:space="preserve">
{"db": "CASTNetDB",	"table": "vw_Person",	"fieldDesc": "MiddleInitial",	"field": "MiddleInitial"</t>
  </si>
  <si>
    <t>"db": "MC","table": "Digicourt_Orleans.dbview.vw_ArrestDetail", "fieldDesc": "MiddleInitial", "field": "MI"</t>
  </si>
  <si>
    <t xml:space="preserve">
{"db": "MC",	"table": "Digicourt_Orleans.dbview.vw_ArrestDetail", "fieldDesc": "MiddleInitial", "field": "MI"</t>
  </si>
  <si>
    <t xml:space="preserve"> "fieldDesc": "MiddleInitial"</t>
  </si>
  <si>
    <t xml:space="preserve"> "field": "MI"</t>
  </si>
  <si>
    <t>"db": "MC","table": "Digicourt_Orleans.dbview.vw_CriminalCaseFileDetail", "fieldDesc": "MiddleInitial","field": "MI"</t>
  </si>
  <si>
    <t xml:space="preserve">
{"db": "MC",	"table": "Digicourt_Orleans.dbview.vw_CriminalCaseFileDetail", "fieldDesc": "MiddleInitial",	"field": "MI"</t>
  </si>
  <si>
    <t>field: "MI"</t>
  </si>
  <si>
    <t>"db": "MC","table": "DigiCourt_Orleans.dbview.vw_AllWarrants","fieldDesc": "MiddleInitial","field": "MI"</t>
  </si>
  <si>
    <t xml:space="preserve">
{"db": "MC",	"table": "DigiCourt_Orleans.dbview.vw_AllWarrants",	"fieldDesc": "MiddleInitial",	"field": "MI"</t>
  </si>
  <si>
    <t>"db": "MC","table": "Digicourt_Orleans.dbview.vw_ArrestDetail","fieldDesc": "OfficerMiddleInitial","field": "officer_mi"</t>
  </si>
  <si>
    <t xml:space="preserve">
{"db": "MC",	"table": "Digicourt_Orleans.dbview.vw_ArrestDetail",	"fieldDesc": "OfficerMiddleInitial",	"field": "officer_mi"}]
</t>
  </si>
  <si>
    <t>fieldDesc: "OfficerMiddleInitial"</t>
  </si>
  <si>
    <t>field: "officer_mi"</t>
  </si>
  <si>
    <t>/nola:BookingExchange/j:Booking/j:Arrest/j:ArrestOfficial[1]/RoleOfPerson/PersonName/PersonNameSuffixText</t>
  </si>
  <si>
    <t>/nola:BookingExchange/j:Booking/j:Arrest/j:ArrestOfficial[2]/RoleOfPerson/PersonName/PersonNameSuffixText</t>
  </si>
  <si>
    <t>"db": "AS400_JMS","table": "IMMSTR","fieldDesc": "NameSuffix","field": "IMNAMS"</t>
  </si>
  <si>
    <t xml:space="preserve">
{"db": "AS400_JMS",		"table": "IMMSTR",	"fieldDesc": "NameSuffix",	"field": "IMNAMS"</t>
  </si>
  <si>
    <t>field: "IMNAMS"</t>
  </si>
  <si>
    <t>"db": "AS400_CDC_CMS","table": "DEFEND","fieldDesc": "NameSuffix","field": "DEJRSR"</t>
  </si>
  <si>
    <t xml:space="preserve">
{"db": "AS400_CDC_CMS",	"table": "DEFEND",	"fieldDesc": "NameSuffix",	"field": "DEJRSR"</t>
  </si>
  <si>
    <t>field: "DEJRSR"</t>
  </si>
  <si>
    <t>"db": "CASTNetDB","table": "Person","fieldDesc": "Suffix","field": "Suffix"</t>
  </si>
  <si>
    <t xml:space="preserve">
{"db": "CASTNetDB",		"table": "Person",	"fieldDesc": "Suffix",	"field": "Suffix"</t>
  </si>
  <si>
    <t>fieldDesc: "Suffix"</t>
  </si>
  <si>
    <t>field: "Suffix"</t>
  </si>
  <si>
    <t>"db": "CASTNetDB","table": "PersonAlias","fieldDesc": "Suffix","field": "Suffix"</t>
  </si>
  <si>
    <t xml:space="preserve">
{"db": "CASTNetDB",		"table": "PersonAlias",	"fieldDesc": "Suffix",	"field": "Suffix"</t>
  </si>
  <si>
    <t>"db": "MC","table": "Digicourt_Orleans.dbview.vw_ArrestDetail","fieldDesc": "NameSuffix","field": "SUFFIX"</t>
  </si>
  <si>
    <t xml:space="preserve">
{"db": "MC",	"table": "Digicourt_Orleans.dbview.vw_ArrestDetail",	"fieldDesc": "NameSuffix",	"field": "SUFFIX"</t>
  </si>
  <si>
    <t>field: "SUFFIX"</t>
  </si>
  <si>
    <t>"db": "MC","table": "Digicourt_Orleans.dbview.vw_CriminalCaseFileDetail", "fieldDesc": "NameSuffix","field": "SUFFIX"</t>
  </si>
  <si>
    <t xml:space="preserve">
{"db": "MC",	"table": "Digicourt_Orleans.dbview.vw_CriminalCaseFileDetail", "fieldDesc": "NameSuffix",	"field": "SUFFIX"</t>
  </si>
  <si>
    <t xml:space="preserve"> "fieldDesc": "NameSuffix"</t>
  </si>
  <si>
    <t>"db": "MC","table": "DigiCourt_Orleans.dbview.vw_AllWarrants","fieldDesc": "NameSuffix","field": "SUFFIX"</t>
  </si>
  <si>
    <t xml:space="preserve">
{"db": "MC",	"table": "DigiCourt_Orleans.dbview.vw_AllWarrants",	"fieldDesc": "NameSuffix",	"field": "SUFFIX"}]
</t>
  </si>
  <si>
    <t>Nickname</t>
  </si>
  <si>
    <t>A nickname or street name of a person.</t>
  </si>
  <si>
    <t>"db": "EPR","table": "Offenders","fieldDesc": "Nickname","field": "Nickname"</t>
  </si>
  <si>
    <t>[{"db": "EPR",	"table": "Offenders",	"fieldDesc": "Nickname",	"field": "Nickname"</t>
  </si>
  <si>
    <t>[{"db": "EPR",	"table": "Offenders",	"fieldDesc": "Nickname",	"field": "Nickname"},
{"db": "CASTNetDB",	"table": "PersonNickName",	"fieldDesc": "NickName",	"field": "NickName"},
{"db": "CASTNetDB",	"table": "PersonNickName",	"fieldDesc": "Soundex",	"field": "Soundex"}]</t>
  </si>
  <si>
    <t>im:PersonNickName</t>
  </si>
  <si>
    <t>/nola:BookingExchange/j:Booking/j:BookingSubject/RoleOfPerson/PersonName/im:PersonNameAugmentation/im:PersonNickName</t>
  </si>
  <si>
    <t>fieldDesc: "Nickname"</t>
  </si>
  <si>
    <t>field: "Nickname"</t>
  </si>
  <si>
    <t>"db": "CASTNetDB","table": "PersonNickName","fieldDesc": "NickName","field": "NickName"</t>
  </si>
  <si>
    <t xml:space="preserve">
{"db": "CASTNetDB",	"table": "PersonNickName",	"fieldDesc": "NickName",	"field": "NickName"</t>
  </si>
  <si>
    <t>fieldDesc: "NickName"</t>
  </si>
  <si>
    <t>field: "NickName"</t>
  </si>
  <si>
    <t>"db": "CASTNetDB","table": "PersonNickName","fieldDesc": "Soundex","field": "Soundex"</t>
  </si>
  <si>
    <t xml:space="preserve">
{"db": "CASTNetDB",	"table": "PersonNickName",	"fieldDesc": "Soundex",	"field": "Soundex"}]</t>
  </si>
  <si>
    <t>fieldDesc: "Soundex"</t>
  </si>
  <si>
    <t>field: "Soundex"</t>
  </si>
  <si>
    <t>Title</t>
  </si>
  <si>
    <t>A title or honorific associated with a person.</t>
  </si>
  <si>
    <t>"db": "CASTNetDB","table": "Person","fieldDesc": "Title","field": "Title"</t>
  </si>
  <si>
    <t>[{"db": "CASTNetDB",	"table": "Person",	"fieldDesc": "Title",	"field": "Title"}]</t>
  </si>
  <si>
    <t>nc:PersonNamePrefixText</t>
  </si>
  <si>
    <t>/nola:BookingExchange/j:Booking/j:BookingSubject/RoleOfPerson/PersonName/PersonNamePrefixText</t>
  </si>
  <si>
    <t>fieldDesc: "Title"</t>
  </si>
  <si>
    <t>field: "Title"</t>
  </si>
  <si>
    <t>/nola:BookingExchange/j:Booking/j:BookingSubject/RoleOfPerson/PersonName/nola-ext:PersonNameAugmentation/nola-ext:PersonNameSoundex/PersonNamePrefixText</t>
  </si>
  <si>
    <t>/nola:BookingExchange/j:Booking/j:Arrest/j:ArrestOfficial[1]/RoleOfPerson/PersonName/PersonNamePrefixText</t>
  </si>
  <si>
    <t>/nola:BookingExchange/j:Booking/j:Arrest/j:ArrestOfficial[2]/RoleOfPerson/PersonName/PersonNamePrefixText</t>
  </si>
  <si>
    <t>"db": "AS400_JMS","table": "IMDSPL","fieldDesc": "ReleaseReason","field": "DLTRSN"</t>
  </si>
  <si>
    <t xml:space="preserve">
{"db": "AS400_JMS",	"table": "IMDSPL",	"fieldDesc": "ReleaseReason",	"field": "DLTRSN"}]</t>
  </si>
  <si>
    <t>fieldDesc: "ReleaseReason"</t>
  </si>
  <si>
    <t>field: "DLTRSN"</t>
  </si>
  <si>
    <t>Released</t>
  </si>
  <si>
    <t>True if subject has been released; false otherwise.</t>
  </si>
  <si>
    <t>"db": "AS400_CDC_CMS","table": "CHRGLOG","fieldDesc": "Released","field": "CXREL"</t>
  </si>
  <si>
    <t>[{"db": "AS400_CDC_CMS",	"table": "CHRGLOG",	"fieldDesc": "Released",	"field": "CXREL"}]</t>
  </si>
  <si>
    <t>nc:ActivityCompletedIndicator</t>
  </si>
  <si>
    <t>niem-xs:boolean</t>
  </si>
  <si>
    <t>/nola:BookingExchange/j:Booking/j:BookingRelease/ActivityCompletedIndicator</t>
  </si>
  <si>
    <t>fieldDesc: "Released"</t>
  </si>
  <si>
    <t>field: "CXREL"</t>
  </si>
  <si>
    <t>"db": "AS400_JMS","table": "IMDSPL","fieldDesc": "ReleaseDate","field": "DLTRLDT"</t>
  </si>
  <si>
    <t xml:space="preserve">
{"db": "AS400_JMS",	"table": "IMDSPL",	"fieldDesc": "ReleaseDate",	"field": "DLTRLDT"</t>
  </si>
  <si>
    <t>field: "DLTRLDT"</t>
  </si>
  <si>
    <t>"db": "AS400_JMS","table": "IMTYPH","fieldDesc": "ReleasedDate","field": "ITERLDT"</t>
  </si>
  <si>
    <t xml:space="preserve">
{"db": "AS400_JMS",	"table": "IMTYPH",	"fieldDesc": "ReleasedDate",	"field": "ITERLDT"</t>
  </si>
  <si>
    <t>fieldDesc: "ReleasedDate"</t>
  </si>
  <si>
    <t>field: "ITERLDT"</t>
  </si>
  <si>
    <t>"db": "CASTNetDB","table": "PersonProbation","fieldDesc": "ReleaseDate","field": "ReleaseDate"</t>
  </si>
  <si>
    <t xml:space="preserve">
{"db": "CASTNetDB",	"table": "PersonProbation",	"fieldDesc": "ReleaseDate",	"field": "ReleaseDate"</t>
  </si>
  <si>
    <t>field: "ReleaseDate"</t>
  </si>
  <si>
    <t>"db": "MC","table": "Digicourt_Orleans.dbview.vw_ArrestDetail","fieldDesc": "ReleaseDate","field": "RELEASEDATE"</t>
  </si>
  <si>
    <t xml:space="preserve">
{"db": "MC",	"table": "Digicourt_Orleans.dbview.vw_ArrestDetail",	"fieldDesc": "ReleaseDate",	"field": "RELEASEDATE"}]
</t>
  </si>
  <si>
    <t>field: "RELEASEDATE"</t>
  </si>
  <si>
    <t>ChargeStatueDescription</t>
  </si>
  <si>
    <t>"db": "MC","table": "Digicourt_Orleans.dbview.vw_CriminalCaseFileDetail", "fieldDesc": "ChargeDescription", "field": " statute_description"</t>
  </si>
  <si>
    <t>[{"db": "MC",	"table": "Digicourt_Orleans.dbview.vw_CriminalCaseFileDetail", "fieldDesc": "ChargeDescription", "field": "      statute_description"}]</t>
  </si>
  <si>
    <t>j:StatuteDescriptionText</t>
  </si>
  <si>
    <t>/nola:BookingExchange/j:Booking/j:Arrest/j:ArrestCharge[1]/j:ChargeStatute/j:StatuteDescriptionText</t>
  </si>
  <si>
    <t xml:space="preserve"> "fieldDesc": "ChargeDescription"</t>
  </si>
  <si>
    <t xml:space="preserve"> "field": " statute_description"</t>
  </si>
  <si>
    <t>/nola:BookingExchange/j:Booking/j:Arrest/j:ArrestCharge[1]/j:ChargeStatute/j:StatuteCodeIdentification/IdentificationID</t>
  </si>
  <si>
    <t>/nola:BookingExchange/j:Booking/j:Arrest/j:ArrestCharge[2]/j:ChargeStatute/j:StatuteCodeIdentification/IdentificationID</t>
  </si>
  <si>
    <t>/nola:BookingExchange/j:Booking/j:Arrest/j:ArrestCharge[3]/j:ChargeStatute/j:StatuteCodeIdentification/IdentificationID</t>
  </si>
  <si>
    <t>/nola:BookingExchange/j:Booking/j:Arrest/j:ArrestCharge[4]/j:ChargeStatute/j:StatuteCodeIdentification/IdentificationID</t>
  </si>
  <si>
    <t>/nola:BookingExchange/j:Booking/j:Arrest/j:ArrestCharge[5]/j:ChargeStatute/j:StatuteCodeIdentification/IdentificationID</t>
  </si>
  <si>
    <t>/nola:BookingExchange/j:Booking/j:Arrest/j:ArrestCharge[6]/j:ChargeStatute/j:StatuteCodeIdentification/IdentificationID</t>
  </si>
  <si>
    <t>"db": "AS400_JMS","table": "IMCHGT","fieldDesc": "ChargeStatute","field": "CTSTAT"</t>
  </si>
  <si>
    <t xml:space="preserve">
{"db": "AS400_JMS",	"table": "IMCHGT",	"fieldDesc": "ChargeStatute",	"field": "CTSTAT"</t>
  </si>
  <si>
    <t>field: "CTSTAT"</t>
  </si>
  <si>
    <t>"db": "AS400_CDC_CMS","table": "CHRGLOG","fieldDesc": "ChargeStatute","field": "CXSTAT"</t>
  </si>
  <si>
    <t xml:space="preserve">
{"db": "AS400_CDC_CMS",	"table": "CHRGLOG",	"fieldDesc": "ChargeStatute",	"field": "CXSTAT"</t>
  </si>
  <si>
    <t>field: "CXSTAT"</t>
  </si>
  <si>
    <t>"db": "AS400_CDC_CMS","table": "DEFCHG","fieldDesc": "ChargeStatusFlag", "field": "DCCFLG"</t>
  </si>
  <si>
    <t xml:space="preserve">
{"db": "AS400_CDC_CMS",	"table": "DEFCHG",	"fieldDesc": "ChargeStatusFlag", "field": "DCCFLG"</t>
  </si>
  <si>
    <t>fieldDesc: "ChargeStatusFlag"</t>
  </si>
  <si>
    <t xml:space="preserve"> "field": "DCCFLG"</t>
  </si>
  <si>
    <t>"db": "CASTNetDB","table": "Charge","fieldDesc": "Statute","field": "Statute"</t>
  </si>
  <si>
    <t xml:space="preserve">
{"db": "CASTNetDB",	"table": "Charge",	"fieldDesc": "Statute",	"field": "Statute"</t>
  </si>
  <si>
    <t>fieldDesc: "Statute"</t>
  </si>
  <si>
    <t>field: "Statute"</t>
  </si>
  <si>
    <t>"db": "CASTNetDB","table": "PersonCharge","fieldDesc": "Statute","field": "Statute"</t>
  </si>
  <si>
    <t xml:space="preserve">
{"db": "CASTNetDB",	"table": "PersonCharge",	"fieldDesc": "Statute",	"field": "Statute"</t>
  </si>
  <si>
    <t>"db": "CASTNetDB","table": "Charge","fieldDesc": "Charge","field": "Charge"</t>
  </si>
  <si>
    <t xml:space="preserve">
{"db": "CASTNetDB",	"table": "Charge",	"fieldDesc": "Charge",	"field": "Charge"</t>
  </si>
  <si>
    <t>fieldDesc: "Charge"</t>
  </si>
  <si>
    <t>field: "Charge"</t>
  </si>
  <si>
    <t>"db": "CASTNetDB","table": "PersonChargeDisposition", "fieldDesc": "Charge","field": "Charge"</t>
  </si>
  <si>
    <t xml:space="preserve">
{"db": "CASTNetDB",	"table": "PersonChargeDisposition", "fieldDesc": "Charge",	"field": "Charge"</t>
  </si>
  <si>
    <t xml:space="preserve"> "fieldDesc": "Charge"</t>
  </si>
  <si>
    <t>"db": "CASTNetDB","table": "Warrant","fieldDesc": "Charge","field": "Charge"</t>
  </si>
  <si>
    <t xml:space="preserve">
{"db": "CASTNetDB",	"table": "Warrant",	"fieldDesc": "Charge",	"field": "Charge"</t>
  </si>
  <si>
    <t>"db": "CASTNetDB","table": "Warrant_bak20190801", "fieldDesc": "Charge","field": "Charge"</t>
  </si>
  <si>
    <t xml:space="preserve">
{"db": "CASTNetDB",	"table": "Warrant_bak20190801", "fieldDesc": "Charge",	"field": "Charge"</t>
  </si>
  <si>
    <t>"db": "CASTNetDB","table": "Warrant_Staging","fieldDesc": "Charge","field": "Charge"</t>
  </si>
  <si>
    <t xml:space="preserve">
{"db": "CASTNetDB",	"table": "Warrant_Staging",	"fieldDesc": "Charge",	"field": "Charge"</t>
  </si>
  <si>
    <t>table: "Warrant_Staging"</t>
  </si>
  <si>
    <t xml:space="preserve">
{"db": "MC",	"table": "Digicourt_Orleans.dbview.vw_CriminalCaseFileDetail", "fieldDesc": "ChargeDescription", "field": "      statute_description"</t>
  </si>
  <si>
    <t>"db": "MC","table": "Digicourt_Orleans.dbview.vw_CriminalCaseFileDetail","fieldDesc": "ChargeStatute","field": "statute_code"</t>
  </si>
  <si>
    <t xml:space="preserve">
{"db": "MC",	"table": "Digicourt_Orleans.dbview.vw_CriminalCaseFileDetail",	"fieldDesc": "ChargeStatute",	"field": "statute_code"</t>
  </si>
  <si>
    <t>field: "statute_code"</t>
  </si>
  <si>
    <t>"db": "MC","table": "Digicourt_Orleans.dbview.vw_CriminalCaseFileDetail","fieldDesc": "ChargeStatuteID","field": "STATUTE_ID"</t>
  </si>
  <si>
    <t xml:space="preserve">
{"db": "MC",	"table": "Digicourt_Orleans.dbview.vw_CriminalCaseFileDetail",	"fieldDesc": "ChargeStatuteID",	"field": "STATUTE_ID"</t>
  </si>
  <si>
    <t>fieldDesc: "ChargeStatuteID"</t>
  </si>
  <si>
    <t>field: "STATUTE_ID"</t>
  </si>
  <si>
    <t>"db": "EPR","table": "OffenderCharges","fieldDesc": "OffenderChargeID","field": "OffenderChargeID"</t>
  </si>
  <si>
    <t xml:space="preserve">
{"db": "EPR",	"table": "OffenderCharges",	"fieldDesc": "OffenderChargeID",	"field": "OffenderChargeID"</t>
  </si>
  <si>
    <t>fieldDesc: "OffenderChargeID"</t>
  </si>
  <si>
    <t>field: "OffenderChargeID"</t>
  </si>
  <si>
    <t>w</t>
  </si>
  <si>
    <t>"db": "AS400_CDC_CMS","table": "LookUp_IMCHGD_Dispositions","fieldDesc": "ChargeStatus","field": "CHARGESTATUS"</t>
  </si>
  <si>
    <t xml:space="preserve">
{"db": "AS400_CDC_CMS",	"table": "LookUp_IMCHGD_Dispositions",	"fieldDesc": "ChargeStatus",	"field": "CHARGESTATUS"</t>
  </si>
  <si>
    <t>table: "LookUp_IMCHGD_Dispositions"</t>
  </si>
  <si>
    <t>fieldDesc: "ChargeStatus"</t>
  </si>
  <si>
    <t>field: "CHARGESTATUS"</t>
  </si>
  <si>
    <t>"db": "MC","table": "Digicourt_Orleans.dbview.vw_CriminalCaseFileDetail","fieldDesc": "UserCode","field": "USER_CODE"</t>
  </si>
  <si>
    <t xml:space="preserve">
{"db": "MC",	"table": "Digicourt_Orleans.dbview.vw_CriminalCaseFileDetail",	"fieldDesc": "UserCode",	"field": "USER_CODE"}]
</t>
  </si>
  <si>
    <t>fieldDesc: "UserCode"</t>
  </si>
  <si>
    <t>field: "USER_CODE"</t>
  </si>
  <si>
    <t>/nola:BookingExchange/j:Booking/j:Arrest/j:ArrestCharge[1]/j:ChargeStatute/nola-ext:ChargeStatuteAugmentation/nola-ext:StatuteCodeSectionSubparagraphIdentification/IdentificationID</t>
  </si>
  <si>
    <t>/nola:BookingExchange/j:Booking/j:Arrest/j:ArrestCharge[2]/j:ChargeStatute/nola-ext:ChargeStatuteAugmentation/nola-ext:StatuteCodeSectionSubparagraphIdentification/IdentificationID</t>
  </si>
  <si>
    <t>/nola:BookingExchange/j:Booking/j:Arrest/j:ArrestCharge[3]/j:ChargeStatute/nola-ext:ChargeStatuteAugmentation/nola-ext:StatuteCodeSectionSubparagraphIdentification/IdentificationID</t>
  </si>
  <si>
    <t>/nola:BookingExchange/j:Booking/j:Arrest/j:ArrestCharge[4]/j:ChargeStatute/nola-ext:ChargeStatuteAugmentation/nola-ext:StatuteCodeSectionSubparagraphIdentification/IdentificationID</t>
  </si>
  <si>
    <t>/nola:BookingExchange/j:Booking/j:Arrest/j:ArrestCharge[5]/j:ChargeStatute/nola-ext:ChargeStatuteAugmentation/nola-ext:StatuteCodeSectionSubparagraphIdentification/IdentificationID</t>
  </si>
  <si>
    <t>/nola:BookingExchange/j:Booking/j:Arrest/j:ArrestCharge[6]/j:ChargeStatute/nola-ext:ChargeStatuteAugmentation/nola-ext:StatuteCodeSectionSubparagraphIdentification/IdentificationID</t>
  </si>
  <si>
    <t>"db": "AS400_JMS","table": "IMARRD_ChargesAll_w_Keys","fieldDesc": "ChargeSubparagraph","field": "Subparagraph"</t>
  </si>
  <si>
    <t xml:space="preserve">
{"db": "AS400_JMS",	"table": "IMARRD_ChargesAll_w_Keys",	"fieldDesc": "ChargeSubparagraph",	"field": "Subparagraph"</t>
  </si>
  <si>
    <t>field: "Subparagraph"</t>
  </si>
  <si>
    <t>"db": "AS400_JMS","table": "IMCHGT","fieldDesc": "ChargeSubparagraph","field": "CTSUBP"</t>
  </si>
  <si>
    <t xml:space="preserve">
{"db": "AS400_JMS",	"table": "IMCHGT",	"fieldDesc": "ChargeSubparagraph",	"field": "CTSUBP"</t>
  </si>
  <si>
    <t>field: "CTSUBP"</t>
  </si>
  <si>
    <t>"db": "AS400_JMS","table": "IMDSPL","fieldDesc": "ChargeSubparagraph","field": "DLVIOC"</t>
  </si>
  <si>
    <t xml:space="preserve">
{"db": "AS400_JMS",	"table": "IMDSPL",	"fieldDesc": "ChargeSubparagraph",	"field": "DLVIOC"</t>
  </si>
  <si>
    <t>field: "DLVIOC"</t>
  </si>
  <si>
    <t>"db": "AS400_CDC_CMS","table": "CHRGLOG","fieldDesc": "ChargeSubparagraph","field": "CXSUBP"</t>
  </si>
  <si>
    <t xml:space="preserve">
{"db": "AS400_CDC_CMS",	"table": "CHRGLOG",	"fieldDesc": "ChargeSubparagraph",	"field": "CXSUBP"</t>
  </si>
  <si>
    <t>field: "CXSUBP"</t>
  </si>
  <si>
    <t>"db": "AS400_CDC_CMS","table": "DEFCHG","fieldDesc": "ChargeType","field": "DCTYPE"</t>
  </si>
  <si>
    <t xml:space="preserve">
{"db": "AS400_CDC_CMS",	"table": "DEFCHG",	"fieldDesc": "ChargeType",	"field": "DCTYPE"</t>
  </si>
  <si>
    <t>fieldDesc: "ChargeType"</t>
  </si>
  <si>
    <t>field: "DCTYPE"</t>
  </si>
  <si>
    <t>"db": "CASTNetDB","table": "Charge","fieldDesc": "Subparagraph","field": "Subparagraph"</t>
  </si>
  <si>
    <t xml:space="preserve">
{"db": "CASTNetDB",	"table": "Charge",	"fieldDesc": "Subparagraph",	"field": "Subparagraph"</t>
  </si>
  <si>
    <t>fieldDesc: "Subparagraph"</t>
  </si>
  <si>
    <t>"db": "CASTNetDB","table": "PersonCharge","fieldDesc": "Subparagraph","field": "Subparagraph"</t>
  </si>
  <si>
    <t xml:space="preserve">
{"db": "CASTNetDB",	"table": "PersonCharge",	"fieldDesc": "Subparagraph",	"field": "Subparagraph"}]
</t>
  </si>
  <si>
    <t>/nola:BookingExchange/j:Booking/j:Arrest/j:ArrestCharge[1]/j:ChargeStatute/j:StatuteCodeSectionIdentification/IdentificationID</t>
  </si>
  <si>
    <t>/nola:BookingExchange/j:Booking/j:Arrest/j:ArrestCharge[2]/j:ChargeStatute/j:StatuteCodeSectionIdentification/IdentificationID</t>
  </si>
  <si>
    <t>/nola:BookingExchange/j:Booking/j:Arrest/j:ArrestCharge[3]/j:ChargeStatute/j:StatuteCodeSectionIdentification/IdentificationID</t>
  </si>
  <si>
    <t>/nola:BookingExchange/j:Booking/j:Arrest/j:ArrestCharge[4]/j:ChargeStatute/j:StatuteCodeSectionIdentification/IdentificationID</t>
  </si>
  <si>
    <t>/nola:BookingExchange/j:Booking/j:Arrest/j:ArrestCharge[5]/j:ChargeStatute/j:StatuteCodeSectionIdentification/IdentificationID</t>
  </si>
  <si>
    <t>/nola:BookingExchange/j:Booking/j:Arrest/j:ArrestCharge[6]/j:ChargeStatute/j:StatuteCodeSectionIdentification/IdentificationID</t>
  </si>
  <si>
    <t>"db": "AS400_JMS","table": "IMARRD_ChargesAll_w_Keys","fieldDesc": "ChargeViolation","field": "Violation"</t>
  </si>
  <si>
    <t xml:space="preserve">
{"db": "AS400_JMS",	"table": "IMARRD_ChargesAll_w_Keys",	"fieldDesc": "ChargeViolation",	"field": "Violation"</t>
  </si>
  <si>
    <t>field: "Violation"</t>
  </si>
  <si>
    <t>"db": "AS400_JMS","table": "IMCHGT","fieldDesc": "ChargeViolation","field": "CTVIOL"</t>
  </si>
  <si>
    <t xml:space="preserve">
{"db": "AS400_JMS",	"table": "IMCHGT",	"fieldDesc": "ChargeViolation",	"field": "CTVIOL"</t>
  </si>
  <si>
    <t>field: "CTVIOL"</t>
  </si>
  <si>
    <t>"db": "AS400_JMS","table": "IMDSPL","fieldDesc": "ChargeViolation","field": "DLSTAT"</t>
  </si>
  <si>
    <t xml:space="preserve">
{"db": "AS400_JMS",	"table": "IMDSPL",	"fieldDesc": "ChargeViolation",	"field": "DLSTAT"</t>
  </si>
  <si>
    <t>field: "DLSTAT"</t>
  </si>
  <si>
    <t>"db": "AS400_CDC_CMS","table": "CHRGLOG","fieldDesc": "ChargeViolation","field": "CXVIOL"</t>
  </si>
  <si>
    <t xml:space="preserve">
{"db": "AS400_CDC_CMS",	"table": "CHRGLOG",	"fieldDesc": "ChargeViolation",	"field": "CXVIOL"</t>
  </si>
  <si>
    <t>field: "CXVIOL"</t>
  </si>
  <si>
    <t>"db": "CASTNetDB","table": "Charge","fieldDesc": "Violation","field": "Violation"</t>
  </si>
  <si>
    <t xml:space="preserve">
{"db": "CASTNetDB",	"table": "Charge",	"fieldDesc": "Violation",	"field": "Violation"</t>
  </si>
  <si>
    <t>fieldDesc: "Violation"</t>
  </si>
  <si>
    <t>"db": "CASTNetDB","table": "PersonCharge","fieldDesc": "Violation","field": "Violation"</t>
  </si>
  <si>
    <t xml:space="preserve">
{"db": "CASTNetDB",	"table": "PersonCharge",	"fieldDesc": "Violation",	"field": "Violation"}]</t>
  </si>
  <si>
    <t>FullStatuteText</t>
  </si>
  <si>
    <t>A full text of a statute or law.</t>
  </si>
  <si>
    <t>"db": "AS400_JMS","table": "IMCHGT","fieldDesc": "SupremeCourtChargeCode","field": "CTSCCC"</t>
  </si>
  <si>
    <t>[{"db": "AS400_JMS",	"table": "IMCHGT",	"fieldDesc": "SupremeCourtChargeCode",	"field": "CTSCCC"</t>
  </si>
  <si>
    <t>[{"db": "AS400_JMS",	"table": "IMCHGT",	"fieldDesc": "SupremeCourtChargeCode",	"field": "CTSCCC"},
{"db": "CASTNetDB",	"table": "Charge",	"fieldDesc": "SupremeCourtChargeCode",	"field": "SupremeCourtChargeCode"}]</t>
  </si>
  <si>
    <t>j:StatuteText</t>
  </si>
  <si>
    <t>This is a concatenated field of ChargeStatute, ChargeViolation and ChargeSubparagraph.
concat three fields, statute, violation and sub paragraph seperated by spaces.</t>
  </si>
  <si>
    <t>/nola:BookingExchange/j:Booking/j:Arrest/j:ArrestCharge[1]/j:ChargeStatute/j:StatuteText</t>
  </si>
  <si>
    <t>fieldDesc: "SupremeCourtChargeCode"</t>
  </si>
  <si>
    <t>field: "CTSCCC"</t>
  </si>
  <si>
    <t>"db": "CASTNetDB","table": "Charge","fieldDesc": "SupremeCourtChargeCode","field": "SupremeCourtChargeCode"</t>
  </si>
  <si>
    <t xml:space="preserve">
{"db": "CASTNetDB",	"table": "Charge",	"fieldDesc": "SupremeCourtChargeCode",	"field": "SupremeCourtChargeCode"}]</t>
  </si>
  <si>
    <t>field: "SupremeCourtChargeCode"</t>
  </si>
  <si>
    <t>TransportationOfficer</t>
  </si>
  <si>
    <t>TransportingOfficer</t>
  </si>
  <si>
    <t>As-is Process.Officer</t>
  </si>
  <si>
    <t>An officer that has transported a subject to the jail or sheriffs office.</t>
  </si>
  <si>
    <t>"db": "EPR","table": "Offenders","fieldDesc": "TransportedBy","field": "TransportedBy"</t>
  </si>
  <si>
    <t>[{"db": "EPR",	"table": "Offenders",	"fieldDesc": "TransportedBy",	"field": "TransportedBy"}]</t>
  </si>
  <si>
    <t>j:EnforcementOfficialCategoryText should equal transporting for this field to denote transporting officer</t>
  </si>
  <si>
    <t>/nola:BookingExchange/j:Booking/j:Arrest/j:ArrestOfficial[2]</t>
  </si>
  <si>
    <t>fieldDesc: "TransportedBy"</t>
  </si>
  <si>
    <t>field: "TransportedBy"</t>
  </si>
  <si>
    <t>DELETE?</t>
  </si>
  <si>
    <t>field id</t>
  </si>
  <si>
    <t>python script</t>
  </si>
  <si>
    <t>Exists in mapping?</t>
  </si>
  <si>
    <t>{"db": "AS400_JMS",	"table": "IMARRD",	"fieldDesc": "NextCourtDate",	"field": "IDCDTE"}</t>
  </si>
  <si>
    <t xml:space="preserve">	"table": "IMARRD"</t>
  </si>
  <si>
    <t xml:space="preserve">	"fieldDesc": "NextCourtDate"</t>
  </si>
  <si>
    <t>field: "IDCDTE"</t>
  </si>
  <si>
    <t>{"db": "AS400_JMS",	"table": "IMARRD",	"fieldDesc": "NextCourtTime",	"field": "IDCTIM"}</t>
  </si>
  <si>
    <t xml:space="preserve">	"fieldDesc": "NextCourtTime"</t>
  </si>
  <si>
    <t>field: "IDCTIM"</t>
  </si>
  <si>
    <t>{"db": "AS400_JMS",	"table": "IMARRD",	"fieldDesc": "NextCourtAMPM",	"field": "IDCTFL"}</t>
  </si>
  <si>
    <t xml:space="preserve">	"fieldDesc": "NextCourtAMPM"</t>
  </si>
  <si>
    <t>field: "IDCTFL"</t>
  </si>
  <si>
    <t>AliasFirstName</t>
  </si>
  <si>
    <t>"db": "AS400_JMS",	"table": "IMARRD",	"fieldDesc": "AliasFirstName",	"field": "IDALFN"</t>
  </si>
  <si>
    <t>AliasLastName</t>
  </si>
  <si>
    <t>"db": "AS400_JMS",	"table": "IMARRD",	"fieldDesc": "AliasLastName",	"field": "IDALLN"</t>
  </si>
  <si>
    <t>XPATHS</t>
  </si>
  <si>
    <t>Python.map</t>
  </si>
  <si>
    <t>EXISTS in mapping?</t>
  </si>
  <si>
    <t>/nola:BookingExchange/j:Booking</t>
  </si>
  <si>
    <t>/nola:BookingExchange/j:Booking/ActivityDate</t>
  </si>
  <si>
    <t>/nola:BookingExchange/j:Booking/j:BookingAgency</t>
  </si>
  <si>
    <t>/nola:BookingExchange/j:Booking/j:BookingAgency/j:OrganizationAugmentation</t>
  </si>
  <si>
    <t>/nola:BookingExchange/j:Booking/j:BookingAgency/j:OrganizationAugmentation/j:OrganizationORIIdentification</t>
  </si>
  <si>
    <t>/nola:BookingExchange/j:Booking/j:BookingAgencyRecordIdentification</t>
  </si>
  <si>
    <t>/nola:BookingExchange/j:Booking/j:BookingDocumentControlIdentification</t>
  </si>
  <si>
    <t>/nola:BookingExchange/j:Booking/j:BookingRelease</t>
  </si>
  <si>
    <t>/nola:BookingExchange/j:Booking/j:BookingRelease/ActivityComment</t>
  </si>
  <si>
    <t>/nola:BookingExchange/j:Booking/j:BookingRelease/ActivityDate</t>
  </si>
  <si>
    <t>/nola:BookingExchange/j:Booking/j:BookingRelease/ActivityScheduledDate</t>
  </si>
  <si>
    <t>/nola:BookingExchange/j:Booking/j:BookingSubject</t>
  </si>
  <si>
    <t>/nola:BookingExchange/j:Booking/j:BookingSubject/RoleOfPerson</t>
  </si>
  <si>
    <t>/nola:BookingExchange/j:Booking/j:BookingSubject/RoleOfPerson/PersonBirthDate</t>
  </si>
  <si>
    <t>/nola:BookingExchange/j:Booking/j:BookingSubject/RoleOfPerson/PersonBirthLocation</t>
  </si>
  <si>
    <t>/nola:BookingExchange/j:Booking/j:BookingSubject/RoleOfPerson/PersonBirthLocation/Address</t>
  </si>
  <si>
    <t>/nola:BookingExchange/j:Booking/j:BookingSubject/RoleOfPerson/PersonBirthLocation/Address/AddressState</t>
  </si>
  <si>
    <t>/nola:BookingExchange/j:Booking/j:BookingSubject/RoleOfPerson/PersonDigitalImage</t>
  </si>
  <si>
    <t>/nola:BookingExchange/j:Booking/j:BookingSubject/RoleOfPerson/PersonDigitalImage/BinaryID</t>
  </si>
  <si>
    <t>/nola:BookingExchange/j:Booking/j:BookingSubject/RoleOfPerson/PersonDigitalImage/Base64BinaryObject</t>
  </si>
  <si>
    <t>/nola:BookingExchange/j:Booking/j:BookingSubject/RoleOfPerson/PersonDigitalImage/BinaryDescriptionText</t>
  </si>
  <si>
    <t>/nola:BookingExchange/j:Booking/j:BookingSubject/RoleOfPerson/PersonDigitalImage/BinaryFormatText</t>
  </si>
  <si>
    <t>/nola:BookingExchange/j:Booking/j:BookingSubject/RoleOfPerson/PersonDigitalImage/BinaryURI</t>
  </si>
  <si>
    <t>/nola:BookingExchange/j:Booking/j:BookingSubject/RoleOfPerson/PersonDigitalImage/BinarySizeValue</t>
  </si>
  <si>
    <t>/nola:BookingExchange/j:Booking/j:BookingSubject/RoleOfPerson/PersonEthnicityText</t>
  </si>
  <si>
    <t>/nola:BookingExchange/j:Booking/j:BookingSubject/RoleOfPerson/PersonHeightMeasure[1]</t>
  </si>
  <si>
    <t>/nola:BookingExchange/j:Booking/j:BookingSubject/RoleOfPerson/PersonHeightMeasure[1]/unece:LengthUnitCode</t>
  </si>
  <si>
    <t>/nola:BookingExchange/j:Booking/j:BookingSubject/RoleOfPerson/PersonHeightMeasure[2]</t>
  </si>
  <si>
    <t>/nola:BookingExchange/j:Booking/j:BookingSubject/RoleOfPerson/PersonHeightMeasure[2]/unece:LengthUnitCode</t>
  </si>
  <si>
    <t>/nola:BookingExchange/j:Booking/j:BookingSubject/RoleOfPerson/PersonName</t>
  </si>
  <si>
    <t>/nola:BookingExchange/j:Booking/j:BookingSubject/RoleOfPerson/PersonName/nola-ext:PersonNameAugmentation</t>
  </si>
  <si>
    <t>/nola:BookingExchange/j:Booking/j:BookingSubject/RoleOfPerson/PersonName/nola-ext:PersonNameAugmentation/nola-ext:PersonNameSoundex</t>
  </si>
  <si>
    <t>/nola:BookingExchange/j:Booking/j:BookingSubject/RoleOfPerson/PersonName/im:PersonNameAugmentation</t>
  </si>
  <si>
    <t>/nola:BookingExchange/j:Booking/j:BookingSubject/RoleOfPerson/PersonPrimaryLanguage</t>
  </si>
  <si>
    <t>/nola:BookingExchange/j:Booking/j:BookingSubject/RoleOfPerson/PersonSSNIdentification</t>
  </si>
  <si>
    <t>/nola:BookingExchange/j:Booking/j:BookingSubject/RoleOfPerson/PersonSSNIdentification/IdentificationEffectiveDate</t>
  </si>
  <si>
    <t>/nola:BookingExchange/j:Booking/j:BookingSubject/RoleOfPerson/PersonStateIdentification</t>
  </si>
  <si>
    <t>/nola:BookingExchange/j:Booking/j:BookingSubject/RoleOfPerson/PersonNationality</t>
  </si>
  <si>
    <t>/nola:BookingExchange/j:Booking/j:BookingSubject/RoleOfPerson/PersonNationality/PersonNationalityCountry</t>
  </si>
  <si>
    <t>/nola:BookingExchange/j:Booking/j:BookingSubject/RoleOfPerson/PersonContactInformation</t>
  </si>
  <si>
    <t>/nola:BookingExchange/j:Booking/j:BookingSubject/RoleOfPerson/PersonContactInformation/ContactEmailID</t>
  </si>
  <si>
    <t>/nola:BookingExchange/j:Booking/j:BookingSubject/RoleOfPerson/PersonContactInformation/ContactMailingAddress</t>
  </si>
  <si>
    <t>/nola:BookingExchange/j:Booking/j:BookingSubject/RoleOfPerson/PersonContactInformation/ContactMailingAddress/AddressStreet</t>
  </si>
  <si>
    <t>/nola:BookingExchange/j:Booking/j:BookingSubject/RoleOfPerson/PersonContactInformation/ContactMailingAddress/AddressStreet/StreetPredirectional</t>
  </si>
  <si>
    <t>/nola:BookingExchange/j:Booking/j:BookingSubject/RoleOfPerson/PersonContactInformation/ContactMailingAddress/AddressStreet/StreetPostdirectional</t>
  </si>
  <si>
    <t>/nola:BookingExchange/j:Booking/j:BookingSubject/RoleOfPerson/PersonContactInformation/ContactMailingAddress/AddressState</t>
  </si>
  <si>
    <t>/nola:BookingExchange/j:Booking/j:BookingSubject/RoleOfPerson/PersonContactInformation/ContactMailingAddress/AddressCountry</t>
  </si>
  <si>
    <t>/nola:BookingExchange/j:Booking/j:BookingSubject/RoleOfPerson/PersonContactInformation/ContactTelephoneNumber/InternationalTelephoneNumber</t>
  </si>
  <si>
    <t>/nola:BookingExchange/j:Booking/j:BookingSubject/RoleOfPerson/PersonContactInformation/ContactTelephoneNumber/InternationalTelephoneNumber/TelephoneCountryCodeID</t>
  </si>
  <si>
    <t>/nola:BookingExchange/j:Booking/j:BookingSubject/RoleOfPerson/PersonContactInformation/ContactTelephoneNumber/InternationalTelephoneNumber/TelephoneNumberID</t>
  </si>
  <si>
    <t>/nola:BookingExchange/j:Booking/j:BookingSubject/RoleOfPerson/PersonContactInformation/ContactTelephoneNumber/InternationalTelephoneNumber/TelephoneSuffixID</t>
  </si>
  <si>
    <t>/nola:BookingExchange/j:Booking/j:BookingSubject/RoleOfPerson/PersonContactInformation/ContactTelephoneNumber/FullTelephoneNumber</t>
  </si>
  <si>
    <t>/nola:BookingExchange/j:Booking/j:BookingSubject/RoleOfPerson/PersonContactInformation/ContactTelephoneNumber/FullTelephoneNumber/TelephoneNumberFullID</t>
  </si>
  <si>
    <t>/nola:BookingExchange/j:Booking/j:BookingSubject/RoleOfPerson/PersonContactInformation/ContactTelephoneNumber/FullTelephoneNumber/TelephoneSuffixID</t>
  </si>
  <si>
    <t>/nola:BookingExchange/j:Booking/j:BookingSubject/RoleOfPerson/PersonContactInformation/ContactTelephoneNumber/TelephoneNumberDescriptionText</t>
  </si>
  <si>
    <t>/nola:BookingExchange/j:Booking/j:BookingSubject/RoleOfPerson/EmployeeContactInformation</t>
  </si>
  <si>
    <t>/nola:BookingExchange/j:Booking/j:BookingSubject/RoleOfPerson/EmployeeContactInformation/ContactEmailID</t>
  </si>
  <si>
    <t>/nola:BookingExchange/j:Booking/j:BookingSubject/RoleOfPerson/EmployeeContactInformation/ContactMailingAddress</t>
  </si>
  <si>
    <t>/nola:BookingExchange/j:Booking/j:BookingSubject/RoleOfPerson/EmployeeContactInformation/ContactMailingAddress/AddressStreet</t>
  </si>
  <si>
    <t>/nola:BookingExchange/j:Booking/j:BookingSubject/RoleOfPerson/EmployeeContactInformation/ContactMailingAddress/AddressStreet/StreetPredirectional</t>
  </si>
  <si>
    <t>/nola:BookingExchange/j:Booking/j:BookingSubject/RoleOfPerson/EmployeeContactInformation/ContactMailingAddress/AddressStreet/StreetPostdirectional</t>
  </si>
  <si>
    <t>/nola:BookingExchange/j:Booking/j:BookingSubject/RoleOfPerson/EmployeeContactInformation/ContactMailingAddress/AddressState</t>
  </si>
  <si>
    <t>/nola:BookingExchange/j:Booking/j:BookingSubject/RoleOfPerson/EmployeeContactInformation/ContactMailingAddress/AddressCountry</t>
  </si>
  <si>
    <t>/nola:BookingExchange/j:Booking/j:BookingSubject/RoleOfPerson/EmployeeContactInformation/ContactTelephoneNumber/InternationalTelephoneNumber</t>
  </si>
  <si>
    <t>/nola:BookingExchange/j:Booking/j:BookingSubject/RoleOfPerson/EmployeeContactInformation/ContactTelephoneNumber/InternationalTelephoneNumber/TelephoneCountryCodeID</t>
  </si>
  <si>
    <t>/nola:BookingExchange/j:Booking/j:BookingSubject/RoleOfPerson/EmployeeContactInformation/ContactTelephoneNumber/InternationalTelephoneNumber/TelephoneNumberID</t>
  </si>
  <si>
    <t>/nola:BookingExchange/j:Booking/j:BookingSubject/RoleOfPerson/EmployeeContactInformation/ContactTelephoneNumber/InternationalTelephoneNumber/TelephoneSuffixID</t>
  </si>
  <si>
    <t>/nola:BookingExchange/j:Booking/j:BookingSubject/RoleOfPerson/EmployeeContactInformation/ContactTelephoneNumber/FullTelephoneNumber</t>
  </si>
  <si>
    <t>/nola:BookingExchange/j:Booking/j:BookingSubject/RoleOfPerson/EmployeeContactInformation/ContactTelephoneNumber/FullTelephoneNumber/TelephoneNumberFullID</t>
  </si>
  <si>
    <t>/nola:BookingExchange/j:Booking/j:BookingSubject/RoleOfPerson/EmployeeContactInformation/ContactTelephoneNumber/FullTelephoneNumber/TelephoneSuffixID</t>
  </si>
  <si>
    <t>/nola:BookingExchange/j:Booking/j:BookingSubject/RoleOfPerson/EmployeeContactInformation/ContactTelephoneNumber/TelephoneNumberDescriptionText</t>
  </si>
  <si>
    <t>/nola:BookingExchange/j:Booking/j:BookingSubject/RoleOfPerson/nola-ext:PersonAugmentation</t>
  </si>
  <si>
    <t>/nola:BookingExchange/j:Booking/j:BookingSubject/RoleOfPerson/nola-ext:PersonAugmentation/PersonEmploymentAssociation</t>
  </si>
  <si>
    <t>/nola:BookingExchange/j:Booking/j:BookingSubject/RoleOfPerson/nola-ext:PersonAugmentation/PersonEmploymentAssociation/Employer</t>
  </si>
  <si>
    <t>/nola:BookingExchange/j:Booking/j:BookingSubject/RoleOfPerson/nola-ext:PersonAugmentation/PersonEmploymentAssociation/Employer/nola-ext:EmployerAugmentation</t>
  </si>
  <si>
    <t>/nola:BookingExchange/j:Booking/j:BookingSubject/RoleOfPerson/nola-ext:PersonAugmentation/PersonEmploymentAssociation/Employer/nola-ext:EmployerAugmentation/EmploymentStatus</t>
  </si>
  <si>
    <t>/nola:BookingExchange/j:Booking/j:BookingSubject/RoleOfPerson/nola-ext:PersonAugmentation/PersonEmploymentAssociation/Employer/hs:EmployerAugmentation</t>
  </si>
  <si>
    <t>/nola:BookingExchange/j:Booking/j:BookingSubject/RoleOfPerson/j:PersonAugmentation</t>
  </si>
  <si>
    <t>/nola:BookingExchange/j:Booking/j:BookingSubject/RoleOfPerson/j:PersonAugmentation/j:DriverLicense</t>
  </si>
  <si>
    <t>/nola:BookingExchange/j:Booking/j:BookingSubject/RoleOfPerson/j:PersonAugmentation/j:DriverLicense/j:DriverLicenseCardIdentification</t>
  </si>
  <si>
    <t>/nola:BookingExchange/j:Booking/j:BookingSubject/RoleOfPerson/j:PersonAugmentation/j:DriverLicense/j:DriverLicenseCardIdentification/IdentificationJurisdiction</t>
  </si>
  <si>
    <t>/nola:BookingExchange/j:Booking/j:BookingSubject/RoleOfPerson/j:PersonAugmentation/j:DriverLicense/j:DriverLicenseCardIdentification/IdentificationJurisdiction/JurisdictionLocation</t>
  </si>
  <si>
    <t>/nola:BookingExchange/j:Booking/j:BookingSubject/RoleOfPerson/j:PersonAugmentation/j:DriverLicense/j:DriverLicenseCardIdentification/IdentificationJurisdiction/JurisdictionLocation/Address</t>
  </si>
  <si>
    <t>/nola:BookingExchange/j:Booking/j:BookingSubject/RoleOfPerson/j:PersonAugmentation/j:DriverLicense/j:DriverLicenseCardIdentification/IdentificationJurisdiction/JurisdictionLocation/Address/AddressState</t>
  </si>
  <si>
    <t>/nola:BookingExchange/j:Booking/j:BookingSubject/RoleOfPerson/j:PersonAugmentation/j:DriverLicense/j:DriverLicenseCardIdentification/IdentificationExpirationDate</t>
  </si>
  <si>
    <t>/nola:BookingExchange/j:Booking/j:BookingSubject/RoleOfPerson/j:PersonAugmentation/j:PersonFBIIdentification</t>
  </si>
  <si>
    <t>/nola:BookingExchange/j:Booking/j:BookingSubject/RoleOfPerson/hs:PersonAugmentation</t>
  </si>
  <si>
    <t>/nola:BookingExchange/j:Booking/j:BookingSubject/RoleOfPerson/hs:PersonAugmentation/hs:EmployerContactInformation</t>
  </si>
  <si>
    <t>/nola:BookingExchange/j:Booking/j:BookingSubject/RoleOfPerson/hs:PersonAugmentation/hs:EmployerContactInformation/ContactEmailID</t>
  </si>
  <si>
    <t>/nola:BookingExchange/j:Booking/j:BookingSubject/RoleOfPerson/hs:PersonAugmentation/hs:EmployerContactInformation/ContactMailingAddress</t>
  </si>
  <si>
    <t>/nola:BookingExchange/j:Booking/j:BookingSubject/RoleOfPerson/hs:PersonAugmentation/hs:EmployerContactInformation/ContactMailingAddress/AddressStreet</t>
  </si>
  <si>
    <t>/nola:BookingExchange/j:Booking/j:BookingSubject/RoleOfPerson/hs:PersonAugmentation/hs:EmployerContactInformation/ContactMailingAddress/AddressStreet/StreetPredirectional</t>
  </si>
  <si>
    <t>/nola:BookingExchange/j:Booking/j:BookingSubject/RoleOfPerson/hs:PersonAugmentation/hs:EmployerContactInformation/ContactMailingAddress/AddressStreet/StreetPostdirectional</t>
  </si>
  <si>
    <t>/nola:BookingExchange/j:Booking/j:BookingSubject/RoleOfPerson/hs:PersonAugmentation/hs:EmployerContactInformation/ContactMailingAddress/AddressState</t>
  </si>
  <si>
    <t>/nola:BookingExchange/j:Booking/j:BookingSubject/RoleOfPerson/hs:PersonAugmentation/hs:EmployerContactInformation/ContactMailingAddress/AddressCountry</t>
  </si>
  <si>
    <t>/nola:BookingExchange/j:Booking/j:BookingSubject/RoleOfPerson/hs:PersonAugmentation/hs:EmployerContactInformation/ContactTelephoneNumber/InternationalTelephoneNumber</t>
  </si>
  <si>
    <t>/nola:BookingExchange/j:Booking/j:BookingSubject/RoleOfPerson/hs:PersonAugmentation/hs:EmployerContactInformation/ContactTelephoneNumber/InternationalTelephoneNumber/TelephoneCountryCodeID</t>
  </si>
  <si>
    <t>/nola:BookingExchange/j:Booking/j:BookingSubject/RoleOfPerson/hs:PersonAugmentation/hs:EmployerContactInformation/ContactTelephoneNumber/InternationalTelephoneNumber/TelephoneNumberID</t>
  </si>
  <si>
    <t>/nola:BookingExchange/j:Booking/j:BookingSubject/RoleOfPerson/hs:PersonAugmentation/hs:EmployerContactInformation/ContactTelephoneNumber/InternationalTelephoneNumber/TelephoneSuffixID</t>
  </si>
  <si>
    <t>/nola:BookingExchange/j:Booking/j:BookingSubject/RoleOfPerson/hs:PersonAugmentation/hs:EmployerContactInformation/ContactTelephoneNumber/FullTelephoneNumber</t>
  </si>
  <si>
    <t>/nola:BookingExchange/j:Booking/j:BookingSubject/RoleOfPerson/hs:PersonAugmentation/hs:EmployerContactInformation/ContactTelephoneNumber/FullTelephoneNumber/TelephoneNumberFullID</t>
  </si>
  <si>
    <t>/nola:BookingExchange/j:Booking/j:BookingSubject/RoleOfPerson/hs:PersonAugmentation/hs:EmployerContactInformation/ContactTelephoneNumber/FullTelephoneNumber/TelephoneSuffixID</t>
  </si>
  <si>
    <t>/nola:BookingExchange/j:Booking/j:BookingSubject/RoleOfPerson/hs:PersonAugmentation/hs:EmployerContactInformation/ContactTelephoneNumber/TelephoneNumberDescriptionText</t>
  </si>
  <si>
    <t>/nola:BookingExchange/j:Booking/j:BookingSubject/RoleOfPerson/hs:PersonAugmentation/hs:AlienIdentification</t>
  </si>
  <si>
    <t>/nola:BookingExchange/j:Booking/j:BookingSubject/j:SubjectAppointment</t>
  </si>
  <si>
    <t>/nola:BookingExchange/j:Booking/j:Arrest</t>
  </si>
  <si>
    <t>/nola:BookingExchange/j:Booking/j:Arrest/j:ArrestAgency</t>
  </si>
  <si>
    <t>/nola:BookingExchange/j:Booking/j:Arrest/j:ArrestAgency/j:OrganizationAugmentation</t>
  </si>
  <si>
    <t>/nola:BookingExchange/j:Booking/j:Arrest/j:ArrestAgency/j:OrganizationAugmentation/j:OrganizationORIIdentification</t>
  </si>
  <si>
    <t>/nola:BookingExchange/j:Booking/j:Arrest/j:ArrestCharge[1]</t>
  </si>
  <si>
    <t>/nola:BookingExchange/j:Booking/j:Arrest/j:ArrestCharge[1]/j:ChargeFilingDate</t>
  </si>
  <si>
    <t>/nola:BookingExchange/j:Booking/j:Arrest/j:ArrestCharge[1]/j:ChargeStatute</t>
  </si>
  <si>
    <t>/nola:BookingExchange/j:Booking/j:Arrest/j:ArrestCharge[1]/j:ChargeStatute/j:StatuteCodeIdentification</t>
  </si>
  <si>
    <t>/nola:BookingExchange/j:Booking/j:Arrest/j:ArrestCharge[1]/j:ChargeStatute/j:StatuteCodeSectionIdentification</t>
  </si>
  <si>
    <t>/nola:BookingExchange/j:Booking/j:Arrest/j:ArrestCharge[1]/j:ChargeStatute/nola-ext:ChargeStatuteAugmentation</t>
  </si>
  <si>
    <t>/nola:BookingExchange/j:Booking/j:Arrest/j:ArrestCharge[1]/j:ChargeStatute/nola-ext:ChargeStatuteAugmentation/nola-ext:StatuteCodeSectionSubparagraphIdentification</t>
  </si>
  <si>
    <t>/nola:BookingExchange/j:Booking/j:Arrest/j:ArrestCharge[1]/nola-ext:ChargeAugmentation</t>
  </si>
  <si>
    <t>/nola:BookingExchange/j:Booking/j:Arrest/j:ArrestCharge[1]/hs:ChargeAugmentation</t>
  </si>
  <si>
    <t>/nola:BookingExchange/j:Booking/j:Arrest/j:ArrestCharge[1]/hs:ChargeAugmentation/j:BailBond</t>
  </si>
  <si>
    <t>/nola:BookingExchange/j:Booking/j:Arrest/j:ArrestCharge[1]/hs:ChargeAugmentation/j:BailBond/j:BailBondAmount</t>
  </si>
  <si>
    <t>/nola:BookingExchange/j:Booking/j:Arrest/j:ArrestCharge[2]</t>
  </si>
  <si>
    <t>/nola:BookingExchange/j:Booking/j:Arrest/j:ArrestCharge[2]/j:ChargeStatute</t>
  </si>
  <si>
    <t>/nola:BookingExchange/j:Booking/j:Arrest/j:ArrestCharge[2]/j:ChargeStatute/j:StatuteCodeIdentification</t>
  </si>
  <si>
    <t>/nola:BookingExchange/j:Booking/j:Arrest/j:ArrestCharge[2]/j:ChargeStatute/j:StatuteCodeSectionIdentification</t>
  </si>
  <si>
    <t>/nola:BookingExchange/j:Booking/j:Arrest/j:ArrestCharge[2]/j:ChargeStatute/nola-ext:ChargeStatuteAugmentation</t>
  </si>
  <si>
    <t>/nola:BookingExchange/j:Booking/j:Arrest/j:ArrestCharge[2]/j:ChargeStatute/nola-ext:ChargeStatuteAugmentation/nola-ext:StatuteCodeSectionSubparagraphIdentification</t>
  </si>
  <si>
    <t>/nola:BookingExchange/j:Booking/j:Arrest/j:ArrestCharge[2]/nola-ext:ChargeAugmentation</t>
  </si>
  <si>
    <t>/nola:BookingExchange/j:Booking/j:Arrest/j:ArrestCharge[3]</t>
  </si>
  <si>
    <t>/nola:BookingExchange/j:Booking/j:Arrest/j:ArrestCharge[3]/j:ChargeStatute</t>
  </si>
  <si>
    <t>/nola:BookingExchange/j:Booking/j:Arrest/j:ArrestCharge[3]/j:ChargeStatute/j:StatuteCodeIdentification</t>
  </si>
  <si>
    <t>/nola:BookingExchange/j:Booking/j:Arrest/j:ArrestCharge[3]/j:ChargeStatute/j:StatuteCodeSectionIdentification</t>
  </si>
  <si>
    <t>/nola:BookingExchange/j:Booking/j:Arrest/j:ArrestCharge[3]/j:ChargeStatute/nola-ext:ChargeStatuteAugmentation</t>
  </si>
  <si>
    <t>/nola:BookingExchange/j:Booking/j:Arrest/j:ArrestCharge[3]/j:ChargeStatute/nola-ext:ChargeStatuteAugmentation/nola-ext:StatuteCodeSectionSubparagraphIdentification</t>
  </si>
  <si>
    <t>/nola:BookingExchange/j:Booking/j:Arrest/j:ArrestCharge[3]/nola-ext:ChargeAugmentation</t>
  </si>
  <si>
    <t>/nola:BookingExchange/j:Booking/j:Arrest/j:ArrestCharge[4]</t>
  </si>
  <si>
    <t>/nola:BookingExchange/j:Booking/j:Arrest/j:ArrestCharge[4]/j:ChargeStatute</t>
  </si>
  <si>
    <t>/nola:BookingExchange/j:Booking/j:Arrest/j:ArrestCharge[4]/j:ChargeStatute/j:StatuteCodeIdentification</t>
  </si>
  <si>
    <t>/nola:BookingExchange/j:Booking/j:Arrest/j:ArrestCharge[4]/j:ChargeStatute/j:StatuteCodeSectionIdentification</t>
  </si>
  <si>
    <t>/nola:BookingExchange/j:Booking/j:Arrest/j:ArrestCharge[4]/j:ChargeStatute/nola-ext:ChargeStatuteAugmentation</t>
  </si>
  <si>
    <t>/nola:BookingExchange/j:Booking/j:Arrest/j:ArrestCharge[4]/j:ChargeStatute/nola-ext:ChargeStatuteAugmentation/nola-ext:StatuteCodeSectionSubparagraphIdentification</t>
  </si>
  <si>
    <t>/nola:BookingExchange/j:Booking/j:Arrest/j:ArrestCharge[4]/nola-ext:ChargeAugmentation</t>
  </si>
  <si>
    <t>/nola:BookingExchange/j:Booking/j:Arrest/j:ArrestCharge[5]</t>
  </si>
  <si>
    <t>/nola:BookingExchange/j:Booking/j:Arrest/j:ArrestCharge[5]/j:ChargeStatute</t>
  </si>
  <si>
    <t>/nola:BookingExchange/j:Booking/j:Arrest/j:ArrestCharge[5]/j:ChargeStatute/j:StatuteCodeIdentification</t>
  </si>
  <si>
    <t>/nola:BookingExchange/j:Booking/j:Arrest/j:ArrestCharge[5]/j:ChargeStatute/j:StatuteCodeSectionIdentification</t>
  </si>
  <si>
    <t>/nola:BookingExchange/j:Booking/j:Arrest/j:ArrestCharge[5]/j:ChargeStatute/nola-ext:ChargeStatuteAugmentation</t>
  </si>
  <si>
    <t>/nola:BookingExchange/j:Booking/j:Arrest/j:ArrestCharge[5]/j:ChargeStatute/nola-ext:ChargeStatuteAugmentation/nola-ext:StatuteCodeSectionSubparagraphIdentification</t>
  </si>
  <si>
    <t>/nola:BookingExchange/j:Booking/j:Arrest/j:ArrestCharge[5]/nola-ext:ChargeAugmentation</t>
  </si>
  <si>
    <t>/nola:BookingExchange/j:Booking/j:Arrest/j:ArrestCharge[6]</t>
  </si>
  <si>
    <t>/nola:BookingExchange/j:Booking/j:Arrest/j:ArrestCharge[6]/j:ChargeStatute</t>
  </si>
  <si>
    <t>/nola:BookingExchange/j:Booking/j:Arrest/j:ArrestCharge[6]/j:ChargeStatute/j:StatuteCodeIdentification</t>
  </si>
  <si>
    <t>/nola:BookingExchange/j:Booking/j:Arrest/j:ArrestCharge[6]/j:ChargeStatute/j:StatuteCodeSectionIdentification</t>
  </si>
  <si>
    <t>/nola:BookingExchange/j:Booking/j:Arrest/j:ArrestCharge[6]/j:ChargeStatute/nola-ext:ChargeStatuteAugmentation</t>
  </si>
  <si>
    <t>/nola:BookingExchange/j:Booking/j:Arrest/j:ArrestCharge[6]/j:ChargeStatute/nola-ext:ChargeStatuteAugmentation/nola-ext:StatuteCodeSectionSubparagraphIdentification</t>
  </si>
  <si>
    <t>/nola:BookingExchange/j:Booking/j:Arrest/j:ArrestCharge[6]/nola-ext:ChargeAugmentation</t>
  </si>
  <si>
    <t>/nola:BookingExchange/j:Booking/j:Arrest/j:ArrestOfficial[1]</t>
  </si>
  <si>
    <t>/nola:BookingExchange/j:Booking/j:Arrest/j:ArrestOfficial[1]/RoleOfPerson</t>
  </si>
  <si>
    <t>/nola:BookingExchange/j:Booking/j:Arrest/j:ArrestOfficial[1]/RoleOfPerson/PersonName</t>
  </si>
  <si>
    <t>/nola:BookingExchange/j:Booking/j:Arrest/j:ArrestOfficial[1]/RoleOfPerson/PersonContactInformation</t>
  </si>
  <si>
    <t>/nola:BookingExchange/j:Booking/j:Arrest/j:ArrestOfficial[1]/RoleOfPerson/PersonContactInformation/ContactEmailID</t>
  </si>
  <si>
    <t>/nola:BookingExchange/j:Booking/j:Arrest/j:ArrestOfficial[1]/RoleOfPerson/PersonContactInformation/ContactTelephoneNumber/FullTelephoneNumber</t>
  </si>
  <si>
    <t>/nola:BookingExchange/j:Booking/j:Arrest/j:ArrestOfficial[1]/RoleOfPerson/PersonContactInformation/ContactTelephoneNumber/FullTelephoneNumber/TelephoneNumberFullID</t>
  </si>
  <si>
    <t>/nola:BookingExchange/j:Booking/j:Arrest/j:ArrestOfficial[1]/RoleOfPerson/PersonContactInformation/ContactTelephoneNumber/FullTelephoneNumber/TelephoneSuffixID</t>
  </si>
  <si>
    <t>/nola:BookingExchange/j:Booking/j:Arrest/j:ArrestOfficial[1]/RoleOfPerson/PersonContactInformation/ContactTelephoneNumber/TelephoneNumberDescriptionText</t>
  </si>
  <si>
    <t>/nola:BookingExchange/j:Booking/j:Arrest/j:ArrestOfficial[1]/j:EnforcementOfficialBadgeIdentification</t>
  </si>
  <si>
    <t>/nola:BookingExchange/j:Booking/j:Arrest/j:ArrestOfficial[1]/j:EnforcementOfficialUnit</t>
  </si>
  <si>
    <t>/nola:BookingExchange/j:Booking/j:Arrest/j:ArrestOfficial[1]/j:EnforcementOfficialUnit/j:OrganizationAugmentation</t>
  </si>
  <si>
    <t>/nola:BookingExchange/j:Booking/j:Arrest/j:ArrestOfficial[1]/j:EnforcementOfficialUnit/j:OrganizationAugmentation/j:OrganizationORIIdentification</t>
  </si>
  <si>
    <t>/nola:BookingExchange/j:Booking/j:Arrest/j:ArrestOfficial[2]/RoleOfPerson</t>
  </si>
  <si>
    <t>/nola:BookingExchange/j:Booking/j:Arrest/j:ArrestOfficial[2]/RoleOfPerson/PersonName</t>
  </si>
  <si>
    <t>/nola:BookingExchange/j:Booking/j:Arrest/j:ArrestOfficial[2]/RoleOfPerson/PersonContactInformation</t>
  </si>
  <si>
    <t>/nola:BookingExchange/j:Booking/j:Arrest/j:ArrestOfficial[2]/RoleOfPerson/PersonContactInformation/ContactEmailID</t>
  </si>
  <si>
    <t>/nola:BookingExchange/j:Booking/j:Arrest/j:ArrestOfficial[2]/RoleOfPerson/PersonContactInformation/ContactTelephoneNumber/FullTelephoneNumber</t>
  </si>
  <si>
    <t>/nola:BookingExchange/j:Booking/j:Arrest/j:ArrestOfficial[2]/RoleOfPerson/PersonContactInformation/ContactTelephoneNumber/FullTelephoneNumber/TelephoneNumberFullID</t>
  </si>
  <si>
    <t>/nola:BookingExchange/j:Booking/j:Arrest/j:ArrestOfficial[2]/RoleOfPerson/PersonContactInformation/ContactTelephoneNumber/FullTelephoneNumber/TelephoneSuffixID</t>
  </si>
  <si>
    <t>/nola:BookingExchange/j:Booking/j:Arrest/j:ArrestOfficial[2]/RoleOfPerson/PersonContactInformation/ContactTelephoneNumber/TelephoneNumberDescriptionText</t>
  </si>
  <si>
    <t>/nola:BookingExchange/j:Booking/j:Arrest/j:ArrestOfficial[2]/j:EnforcementOfficialBadgeIdentification</t>
  </si>
  <si>
    <t>/nola:BookingExchange/j:Booking/j:Arrest/j:ArrestOfficial[2]/j:EnforcementOfficialUnit</t>
  </si>
  <si>
    <t>/nola:BookingExchange/j:Booking/j:Arrest/j:ArrestOfficial[2]/j:EnforcementOfficialUnit/j:OrganizationAugmentation</t>
  </si>
  <si>
    <t>/nola:BookingExchange/j:Booking/j:Arrest/j:ArrestOfficial[2]/j:EnforcementOfficialUnit/j:OrganizationAugmentation/j:OrganizationORIIdentification</t>
  </si>
  <si>
    <t>/nola:BookingExchange/j:Booking/j:Arrest/nola-ext:ArrestAugmentation</t>
  </si>
  <si>
    <t>/nola:BookingExchange/j:Booking/j:Arrest/nola-ext:ArrestAugmentation/Incident</t>
  </si>
  <si>
    <t>/nola:BookingExchange/j:Booking/j:Arrest/nola-ext:ArrestAugmentation/Incident/ActivityIdentification</t>
  </si>
  <si>
    <t>/nola:BookingExchange/Case</t>
  </si>
  <si>
    <t>/nola:BookingExchange/Case/j:CaseAugmentation</t>
  </si>
  <si>
    <t>/nola:BookingExchange/Case/j:CaseAugmentation/j:CaseCourt</t>
  </si>
  <si>
    <t>/nola:BookingExchange/Case/j:CaseAugmentation/j:CaseCourt/OrganizationIdentification</t>
  </si>
  <si>
    <t>/nola:BookingExchange/Case/j:CaseAugmentation/j:CaseCourt/OrganizationLocation</t>
  </si>
  <si>
    <t>/nola:BookingExchange/Case/j:CaseAugmentation/j:CaseCourt/OrganizationLocation/LocationPart</t>
  </si>
  <si>
    <t>/nola:BookingExchange/Case/j:CaseAugmentation/j:CaseCourt/j:OrganizationAugmentation/j:OrganizationORIIdentification</t>
  </si>
  <si>
    <t>/nola:BookingExchange/Case/j:CaseAugmentation/j:CaseCourtEvent</t>
  </si>
  <si>
    <t>/nola:BookingExchange/Case/j:CaseAugmentation/j:CaseCourtEvent/ActivityComment</t>
  </si>
  <si>
    <t>/nola:BookingExchange/Case/j:CaseAugmentation/j:CaseCourtEvent/ActivityDate</t>
  </si>
  <si>
    <t># scripted</t>
  </si>
  <si>
    <t># xpath</t>
  </si>
  <si>
    <t>field ids</t>
  </si>
  <si>
    <t>3xpath</t>
  </si>
  <si>
    <t>"IDBDTE": "/j:Booking/ActivityDate/DateTime",</t>
  </si>
  <si>
    <t>"IDBTIM": "/j:Booking/ActivityDate/DateTime",</t>
  </si>
  <si>
    <t>"IDBTFL": "/j:Booking/ActivityDate/DateTime",</t>
  </si>
  <si>
    <t>10xpath</t>
  </si>
  <si>
    <t>"IDSCNO": "/j:Booking/j:BookingAgencyRecordIdentification/IdentificationID",</t>
  </si>
  <si>
    <t>12xpath</t>
  </si>
  <si>
    <t>"IDFLDR": "/j:Booking/j:BookingDocumentControlIdentification/IdentificationID",</t>
  </si>
  <si>
    <t>24xpath</t>
  </si>
  <si>
    <t>"IDDOBD": "/j:Booking/j:BookingSubject/RoleOfPerson/PersonBirthDate/Date",</t>
  </si>
  <si>
    <t>28xpath</t>
  </si>
  <si>
    <t>"IDSTCDB": "/j:Booking/j:BookingSubject/RoleOfPerson/PersonBirthLocation/Address/AddressState/StateName",</t>
  </si>
  <si>
    <t>38xpath</t>
  </si>
  <si>
    <t>39xpath</t>
  </si>
  <si>
    <t>"IDHAIR": "/j:Booking/j:BookingSubject/RoleOfPerson/PersonHairColorText",</t>
  </si>
  <si>
    <t>41xpath</t>
  </si>
  <si>
    <t>"IDHGHT": "/j:Booking/j:BookingSubject/RoleOfPerson/PersonHeightMeasure[1]/MeasureValueText",</t>
  </si>
  <si>
    <t>48xpath</t>
  </si>
  <si>
    <t>"IDFNAM": "/j:Booking/j:BookingSubject/RoleOfPerson/PersonName/PersonGivenName",</t>
  </si>
  <si>
    <t>49xpath</t>
  </si>
  <si>
    <t>"IDMINI": "/j:Booking/j:BookingSubject/RoleOfPerson/PersonName/PersonMiddleName",</t>
  </si>
  <si>
    <t>50xpath</t>
  </si>
  <si>
    <t>"IDLNAM": "/j:Booking/j:BookingSubject/RoleOfPerson/PersonName/PersonSurName",</t>
  </si>
  <si>
    <t>51xpath</t>
  </si>
  <si>
    <t>"IDNAMS": "/j:Booking/j:BookingSubject/RoleOfPerson/PersonName/PersonNameSuffixText",</t>
  </si>
  <si>
    <t>54xpath</t>
  </si>
  <si>
    <t>"IDALFN": "/j:Booking/j:BookingSubject/RoleOfPerson/PersonName/nola-ext:PersonNameAugmentation/em:PersonAlternateName[1]",</t>
  </si>
  <si>
    <t>55xpath</t>
  </si>
  <si>
    <t>"IDALLN": "/j:Booking/j:BookingSubject/RoleOfPerson/PersonName/nola-ext:PersonNameAugmentation/em:PersonAlternateName[2]",</t>
  </si>
  <si>
    <t>68xpath</t>
  </si>
  <si>
    <t>"IDRACE": "/j:Booking/j:BookingSubject/RoleOfPerson/PersonRaceText",</t>
  </si>
  <si>
    <t>72xpath</t>
  </si>
  <si>
    <t>"IDSSNO": "/j:Booking/j:BookingSubject/RoleOfPerson/PersonSSNIdentification/IdentificationID",</t>
  </si>
  <si>
    <t>76xpath</t>
  </si>
  <si>
    <t>"IDSIDN": "/j:Booking/j:BookingSubject/RoleOfPerson/PersonStateIdentification/IdentificationID",</t>
  </si>
  <si>
    <t>78xpath</t>
  </si>
  <si>
    <t>"IDWGHT": "/j:Booking/j:BookingSubject/RoleOfPerson/PersonWeightDescriptionText",</t>
  </si>
  <si>
    <t>81xpath</t>
  </si>
  <si>
    <t>"IDNATN": "/j:Booking/j:BookingSubject/RoleOfPerson/PersonNationality/PersonNationalityCountry/CountryName",</t>
  </si>
  <si>
    <t>85xpath</t>
  </si>
  <si>
    <t>"IDADDR": "/j:Booking/j:BookingSubject/RoleOfPerson/PersonContactInformation/ContactMailingAddress/AddressFullText",</t>
  </si>
  <si>
    <t>86xpath</t>
  </si>
  <si>
    <t>"IDABRN": "/j:Booking/j:BookingSubject/RoleOfPerson/PersonContactInformation/ContactMailingAddress/AddressSecondaryUnitText",</t>
  </si>
  <si>
    <t>88xpath</t>
  </si>
  <si>
    <t>"IDSTPF": "/j:Booking/j:BookingSubject/RoleOfPerson/PersonContactInformation/ContactMailingAddress/AddressStreet/StreetFullText",</t>
  </si>
  <si>
    <t>89xpath</t>
  </si>
  <si>
    <t>"IDSTNO": "/j:Booking/j:BookingSubject/RoleOfPerson/PersonContactInformation/ContactMailingAddress/AddressStreet/StreetNumberText",</t>
  </si>
  <si>
    <t>92xpath</t>
  </si>
  <si>
    <t>"IDSTNM": "/j:Booking/j:BookingSubject/RoleOfPerson/PersonContactInformation/ContactMailingAddress/AddressStreet/StreetName",</t>
  </si>
  <si>
    <t>94xpath</t>
  </si>
  <si>
    <t>"IDSTSF": "/j:Booking/j:BookingSubject/RoleOfPerson/PersonContactInformation/ContactMailingAddress/AddressStreet/StreetPostdirectional/StreetDirectionalText",</t>
  </si>
  <si>
    <t>95xpath</t>
  </si>
  <si>
    <t>"IDABRC": "/j:Booking/j:BookingSubject/RoleOfPerson/PersonContactInformation/ContactMailingAddress/AddressDeliveryPointID",</t>
  </si>
  <si>
    <t>97xpath</t>
  </si>
  <si>
    <t>"IDCITY": "/j:Booking/j:BookingSubject/RoleOfPerson/PersonContactInformation/ContactMailingAddress/AddressCityName",</t>
  </si>
  <si>
    <t>99xpath</t>
  </si>
  <si>
    <t>"IDSTCD": "/j:Booking/j:BookingSubject/RoleOfPerson/PersonContactInformation/ContactMailingAddress/AddressState/StateName",</t>
  </si>
  <si>
    <t>153xpath</t>
  </si>
  <si>
    <t>"IDEMPR": "/j:Booking/j:BookingSubject/RoleOfPerson/nola-ext:PersonAugmentation/PersonEmploymentAssociation/Employer/hs:EmployerAugmentation/hs:EmployerName",</t>
  </si>
  <si>
    <t>154xpath</t>
  </si>
  <si>
    <t>"IDOCUP": "/j:Booking/j:BookingSubject/RoleOfPerson/nola-ext:PersonAugmentation/PersonEmploymentAssociation/EmployeeOccupationText",</t>
  </si>
  <si>
    <t>155xpath</t>
  </si>
  <si>
    <t>"IDCCNO": "/j:Booking/j:BookingSubject/RoleOfPerson/nola-ext:PersonAugmentation/nola-ext:PersonComputerControlIdentifier",</t>
  </si>
  <si>
    <t>160xpath</t>
  </si>
  <si>
    <t>"IDLICN": "/j:Booking/j:BookingSubject/RoleOfPerson/j:PersonAugmentation/j:DriverLicense/j:DriverLicenseCardIdentification/IdentificationID",</t>
  </si>
  <si>
    <t>165xpath</t>
  </si>
  <si>
    <t>167xpath</t>
  </si>
  <si>
    <t>"IDLICY": "/j:Booking/j:BookingSubject/RoleOfPerson/j:PersonAugmentation/j:DriverLicense/j:DriverLicenseCardIdentification/IdentificationExpirationDate/YearDate",</t>
  </si>
  <si>
    <t>169xpath</t>
  </si>
  <si>
    <t>"IDFBIN": "/j:Booking/j:BookingSubject/RoleOfPerson/j:PersonAugmentation/j:PersonFBIIdentification/IdentificationID",</t>
  </si>
  <si>
    <t>205xpath</t>
  </si>
  <si>
    <t>"IDSEXC": "/j:Booking/j:BookingSubject/RoleOfPerson/hs:PersonAugmentation/hs:PersonGenderIdentityText",</t>
  </si>
  <si>
    <t>217xpath</t>
  </si>
  <si>
    <t>"IDCHD1": "/j:Booking/j:Arrest/j:ArrestCharge[1]/j:ChargeCategoryDescriptionText",</t>
  </si>
  <si>
    <t>224xpath</t>
  </si>
  <si>
    <t>"IDSTA1": "/j:Booking/j:Arrest/j:ArrestCharge[1]/j:ChargeStatute/j:StatuteCodeIdentification/IdentificationID",</t>
  </si>
  <si>
    <t>226xpath</t>
  </si>
  <si>
    <t>"IDVIO1": "/j:Booking/j:Arrest/j:ArrestCharge[1]/j:ChargeStatute/j:StatuteCodeSectionIdentification/IdentificationID",</t>
  </si>
  <si>
    <t>231xpath</t>
  </si>
  <si>
    <t>"IDSUB1": "/j:Booking/j:Arrest/j:ArrestCharge[1]/j:ChargeStatute/nola-ext:ChargeStatuteAugmentation/nola-ext:StatuteCodeSectionSubparagraphIdentification/IdentificationID",</t>
  </si>
  <si>
    <t>233xpath</t>
  </si>
  <si>
    <t>"IDLBR1": "/j:Booking/j:Arrest/j:ArrestCharge[1]/nola-ext:ChargeAugmentation/nola-ext:ChargeLIBRSCode",</t>
  </si>
  <si>
    <t>234xpath</t>
  </si>
  <si>
    <t>"IDCHK1": "/j:Booking/j:Arrest/j:ArrestCharge[1]/nola-ext:ChargeAugmentation/nola-ext:ChargeKey",</t>
  </si>
  <si>
    <t>235xpath</t>
  </si>
  <si>
    <t>"IDATN1": "/j:Booking/j:Arrest/j:ArrestCharge[1]/nola-ext:ChargeAugmentation/nola-ext:StatewideArrestTrackingNumber",</t>
  </si>
  <si>
    <t>236xpath</t>
  </si>
  <si>
    <t>"IDATS1": "/j:Booking/j:Arrest/j:ArrestCharge[1]/nola-ext:ChargeAugmentation/nola-ext:StatewideATNChargeSequenceID",</t>
  </si>
  <si>
    <t>237xpath</t>
  </si>
  <si>
    <t>"IDCHN1": "/j:Booking/j:Arrest/j:ArrestCharge[1]/nola-ext:ChargeAugmentation/nola-ext:JMSChargeNumber",</t>
  </si>
  <si>
    <t>241xpath</t>
  </si>
  <si>
    <t>"IDBOND": "/j:Booking/j:Arrest/j:ArrestCharge[1]/hs:ChargeAugmentation/j:BailBond/j:BailBondAmount/Amount",</t>
  </si>
  <si>
    <t>243xpath</t>
  </si>
  <si>
    <t>"IDCHD2": "/j:Booking/j:Arrest/j:ArrestCharge[2]/j:ChargeCategoryDescriptionText",</t>
  </si>
  <si>
    <t>246xpath</t>
  </si>
  <si>
    <t>"IDSTA2": "/j:Booking/j:Arrest/j:ArrestCharge[2]/j:ChargeStatute/j:StatuteCodeIdentification/IdentificationID",</t>
  </si>
  <si>
    <t>248xpath</t>
  </si>
  <si>
    <t>"IDVIO2": "/j:Booking/j:Arrest/j:ArrestCharge[2]/j:ChargeStatute/j:StatuteCodeSectionIdentification/IdentificationID",</t>
  </si>
  <si>
    <t>251xpath</t>
  </si>
  <si>
    <t>"IDSUB2": "/j:Booking/j:Arrest/j:ArrestCharge[2]/j:ChargeStatute/nola-ext:ChargeStatuteAugmentation/nola-ext:StatuteCodeSectionSubparagraphIdentification/IdentificationID",</t>
  </si>
  <si>
    <t>253xpath</t>
  </si>
  <si>
    <t>"IDLBR2": "/j:Booking/j:Arrest/j:ArrestCharge[2]/nola-ext:ChargeAugmentation/nola-ext:ChargeLIBRSCode",</t>
  </si>
  <si>
    <t>254xpath</t>
  </si>
  <si>
    <t>"IDCHK2": "/j:Booking/j:Arrest/j:ArrestCharge[2]/nola-ext:ChargeAugmentation/nola-ext:ChargeKey",</t>
  </si>
  <si>
    <t>255xpath</t>
  </si>
  <si>
    <t>"IDATN2": "/j:Booking/j:Arrest/j:ArrestCharge[2]/nola-ext:ChargeAugmentation/nola-ext:StatewideArrestTrackingNumber",</t>
  </si>
  <si>
    <t>256xpath</t>
  </si>
  <si>
    <t>"IDATS2": "/j:Booking/j:Arrest/j:ArrestCharge[2]/nola-ext:ChargeAugmentation/nola-ext:StatewideATNChargeSequenceID",</t>
  </si>
  <si>
    <t>257xpath</t>
  </si>
  <si>
    <t>"IDCHN2": "/j:Booking/j:Arrest/j:ArrestCharge[2]/nola-ext:ChargeAugmentation/nola-ext:JMSChargeNumber",</t>
  </si>
  <si>
    <t>259xpath</t>
  </si>
  <si>
    <t>"IDCHD3": "/j:Booking/j:Arrest/j:ArrestCharge[3]/j:ChargeCategoryDescriptionText",</t>
  </si>
  <si>
    <t>262xpath</t>
  </si>
  <si>
    <t>"IDSTA3": "/j:Booking/j:Arrest/j:ArrestCharge[3]/j:ChargeStatute/j:StatuteCodeIdentification/IdentificationID",</t>
  </si>
  <si>
    <t>264xpath</t>
  </si>
  <si>
    <t>"IDVIO3": "/j:Booking/j:Arrest/j:ArrestCharge[3]/j:ChargeStatute/j:StatuteCodeSectionIdentification/IdentificationID",</t>
  </si>
  <si>
    <t>267xpath</t>
  </si>
  <si>
    <t>"IDSUB3": "/j:Booking/j:Arrest/j:ArrestCharge[3]/j:ChargeStatute/nola-ext:ChargeStatuteAugmentation/nola-ext:StatuteCodeSectionSubparagraphIdentification/IdentificationID",</t>
  </si>
  <si>
    <t>269xpath</t>
  </si>
  <si>
    <t>"IDLBR3": "/j:Booking/j:Arrest/j:ArrestCharge[3]/nola-ext:ChargeAugmentation/nola-ext:ChargeLIBRSCode",</t>
  </si>
  <si>
    <t>270xpath</t>
  </si>
  <si>
    <t>"IDCHK3": "/j:Booking/j:Arrest/j:ArrestCharge[3]/nola-ext:ChargeAugmentation/nola-ext:ChargeKey",</t>
  </si>
  <si>
    <t>271xpath</t>
  </si>
  <si>
    <t>"IDATN3": "/j:Booking/j:Arrest/j:ArrestCharge[3]/nola-ext:ChargeAugmentation/nola-ext:StatewideArrestTrackingNumber",</t>
  </si>
  <si>
    <t>272xpath</t>
  </si>
  <si>
    <t>"IDATS3": "/j:Booking/j:Arrest/j:ArrestCharge[3]/nola-ext:ChargeAugmentation/nola-ext:StatewideATNChargeSequenceID",</t>
  </si>
  <si>
    <t>273xpath</t>
  </si>
  <si>
    <t>"IDCHN3": "/j:Booking/j:Arrest/j:ArrestCharge[3]/nola-ext:ChargeAugmentation/nola-ext:JMSChargeNumber",</t>
  </si>
  <si>
    <t>275xpath</t>
  </si>
  <si>
    <t>"IDCHD4": "/j:Booking/j:Arrest/j:ArrestCharge[4]/j:ChargeCategoryDescriptionText",</t>
  </si>
  <si>
    <t>278xpath</t>
  </si>
  <si>
    <t>"IDSTA4": "/j:Booking/j:Arrest/j:ArrestCharge[4]/j:ChargeStatute/j:StatuteCodeIdentification/IdentificationID",</t>
  </si>
  <si>
    <t>280xpath</t>
  </si>
  <si>
    <t>"IDVIO4": "/j:Booking/j:Arrest/j:ArrestCharge[4]/j:ChargeStatute/j:StatuteCodeSectionIdentification/IdentificationID",</t>
  </si>
  <si>
    <t>283xpath</t>
  </si>
  <si>
    <t>"IDSUB4": "/j:Booking/j:Arrest/j:ArrestCharge[4]/j:ChargeStatute/nola-ext:ChargeStatuteAugmentation/nola-ext:StatuteCodeSectionSubparagraphIdentification/IdentificationID",</t>
  </si>
  <si>
    <t>285xpath</t>
  </si>
  <si>
    <t>"IDLBR4": "/j:Booking/j:Arrest/j:ArrestCharge[4]/nola-ext:ChargeAugmentation/nola-ext:ChargeLIBRSCode",</t>
  </si>
  <si>
    <t>286xpath</t>
  </si>
  <si>
    <t>"IDCHK4": "/j:Booking/j:Arrest/j:ArrestCharge[4]/nola-ext:ChargeAugmentation/nola-ext:ChargeKey",</t>
  </si>
  <si>
    <t>287xpath</t>
  </si>
  <si>
    <t>"IDATN4": "/j:Booking/j:Arrest/j:ArrestCharge[4]/nola-ext:ChargeAugmentation/nola-ext:StatewideArrestTrackingNumber",</t>
  </si>
  <si>
    <t>288xpath</t>
  </si>
  <si>
    <t>"IDATS4": "/j:Booking/j:Arrest/j:ArrestCharge[4]/nola-ext:ChargeAugmentation/nola-ext:StatewideATNChargeSequenceID",</t>
  </si>
  <si>
    <t>289xpath</t>
  </si>
  <si>
    <t>"IDCHN4": "/j:Booking/j:Arrest/j:ArrestCharge[4]/nola-ext:ChargeAugmentation/nola-ext:JMSChargeNumber",</t>
  </si>
  <si>
    <t>291xpath</t>
  </si>
  <si>
    <t>"IDCHD5": "/j:Booking/j:Arrest/j:ArrestCharge[5]/j:ChargeCategoryDescriptionText",</t>
  </si>
  <si>
    <t>294xpath</t>
  </si>
  <si>
    <t>"IDSTA5": "/j:Booking/j:Arrest/j:ArrestCharge[5]/j:ChargeStatute/j:StatuteCodeIdentification/IdentificationID",</t>
  </si>
  <si>
    <t>296xpath</t>
  </si>
  <si>
    <t>"IDVIO5": "/j:Booking/j:Arrest/j:ArrestCharge[5]/j:ChargeStatute/j:StatuteCodeSectionIdentification/IdentificationID",</t>
  </si>
  <si>
    <t>299xpath</t>
  </si>
  <si>
    <t>"IDSUB5": "/j:Booking/j:Arrest/j:ArrestCharge[5]/j:ChargeStatute/nola-ext:ChargeStatuteAugmentation/nola-ext:StatuteCodeSectionSubparagraphIdentification/IdentificationID",</t>
  </si>
  <si>
    <t>301xpath</t>
  </si>
  <si>
    <t>"IDLBR5": "/j:Booking/j:Arrest/j:ArrestCharge[5]/nola-ext:ChargeAugmentation/nola-ext:ChargeLIBRSCode",</t>
  </si>
  <si>
    <t>302xpath</t>
  </si>
  <si>
    <t>"IDCHK5": "/j:Booking/j:Arrest/j:ArrestCharge[5]/nola-ext:ChargeAugmentation/nola-ext:ChargeKey",</t>
  </si>
  <si>
    <t>303xpath</t>
  </si>
  <si>
    <t>"IDATN5": "/j:Booking/j:Arrest/j:ArrestCharge[5]/nola-ext:ChargeAugmentation/nola-ext:StatewideArrestTrackingNumber",</t>
  </si>
  <si>
    <t>304xpath</t>
  </si>
  <si>
    <t>"IDATS5": "/j:Booking/j:Arrest/j:ArrestCharge[5]/nola-ext:ChargeAugmentation/nola-ext:StatewideATNChargeSequenceID",</t>
  </si>
  <si>
    <t>305xpath</t>
  </si>
  <si>
    <t>"IDCHN5": "/j:Booking/j:Arrest/j:ArrestCharge[5]/nola-ext:ChargeAugmentation/nola-ext:JMSChargeNumber",</t>
  </si>
  <si>
    <t>307xpath</t>
  </si>
  <si>
    <t>"IDCHD6": "/j:Booking/j:Arrest/j:ArrestCharge[6]/j:ChargeCategoryDescriptionText",</t>
  </si>
  <si>
    <t>310xpath</t>
  </si>
  <si>
    <t>"IDSTA6": "/j:Booking/j:Arrest/j:ArrestCharge[6]/j:ChargeStatute/j:StatuteCodeIdentification/IdentificationID",</t>
  </si>
  <si>
    <t>312xpath</t>
  </si>
  <si>
    <t>"IDVIO6": "/j:Booking/j:Arrest/j:ArrestCharge[6]/j:ChargeStatute/j:StatuteCodeSectionIdentification/IdentificationID",</t>
  </si>
  <si>
    <t>315xpath</t>
  </si>
  <si>
    <t>"IDSUB6": "/j:Booking/j:Arrest/j:ArrestCharge[6]/j:ChargeStatute/nola-ext:ChargeStatuteAugmentation/nola-ext:StatuteCodeSectionSubparagraphIdentification/IdentificationID",</t>
  </si>
  <si>
    <t>317xpath</t>
  </si>
  <si>
    <t>"IDLBR6": "/j:Booking/j:Arrest/j:ArrestCharge[6]/nola-ext:ChargeAugmentation/nola-ext:ChargeLIBRSCode",</t>
  </si>
  <si>
    <t>318xpath</t>
  </si>
  <si>
    <t>"IDCHK6": "/j:Booking/j:Arrest/j:ArrestCharge[6]/nola-ext:ChargeAugmentation/nola-ext:ChargeKey",</t>
  </si>
  <si>
    <t>319xpath</t>
  </si>
  <si>
    <t>"IDATN6": "/j:Booking/j:Arrest/j:ArrestCharge[6]/nola-ext:ChargeAugmentation/nola-ext:StatewideArrestTrackingNumber",</t>
  </si>
  <si>
    <t>320xpath</t>
  </si>
  <si>
    <t>"IDATS6": "/j:Booking/j:Arrest/j:ArrestCharge[6]/nola-ext:ChargeAugmentation/nola-ext:StatewideATNChargeSequenceID",</t>
  </si>
  <si>
    <t>321xpath</t>
  </si>
  <si>
    <t>"IDCHN6": "/j:Booking/j:Arrest/j:ArrestCharge[6]/nola-ext:ChargeAugmentation/nola-ext:JMSChargeNumber",</t>
  </si>
  <si>
    <t>326xpath</t>
  </si>
  <si>
    <t>"IDFNAMAO": "/j:Booking/j:Arrest/j:ArrestOfficial[1]/RoleOfPerson/PersonName/PersonGivenName",</t>
  </si>
  <si>
    <t>328xpath</t>
  </si>
  <si>
    <t>"IDLNAMAO": "/j:Booking/j:Arrest/j:ArrestOfficial[1]/RoleOfPerson/PersonName/PersonSurName",</t>
  </si>
  <si>
    <t>330xpath</t>
  </si>
  <si>
    <t>"IDNAMEAO": "/j:Booking/j:Arrest/j:ArrestOfficial[1]/RoleOfPerson/PersonName/PersonFullName",</t>
  </si>
  <si>
    <t>339xpath</t>
  </si>
  <si>
    <t>"IDBADGAO": "/j:Booking/j:Arrest/j:ArrestOfficial[1]/j:EnforcementOfficialBadgeIdentification/IdentificationID",</t>
  </si>
  <si>
    <t>346xpath</t>
  </si>
  <si>
    <t>"IDUNITAO": "/j:Booking/j:Arrest/j:ArrestOfficial[1]/j:EnforcementOfficialUnit/j:EnforcementUnitName",</t>
  </si>
  <si>
    <t>351xpath</t>
  </si>
  <si>
    <t>"IDFNAMTO": "/j:Booking/j:Arrest/j:ArrestOfficial[2]/RoleOfPerson/PersonName/PersonGivenName",</t>
  </si>
  <si>
    <t>353xpath</t>
  </si>
  <si>
    <t>"IDLNAMTO": "/j:Booking/j:Arrest/j:ArrestOfficial[2]/RoleOfPerson/PersonName/PersonSurName",</t>
  </si>
  <si>
    <t>355xpath</t>
  </si>
  <si>
    <t>"IDNAMETO": "/j:Booking/j:Arrest/j:ArrestOfficial[2]/RoleOfPerson/PersonName/PersonFullName",</t>
  </si>
  <si>
    <t>364xpath</t>
  </si>
  <si>
    <t>"IDBADGTO": "/j:Booking/j:Arrest/j:ArrestOfficial[2]/j:EnforcementOfficialBadgeIdentification/IdentificationID",</t>
  </si>
  <si>
    <t>371xpath</t>
  </si>
  <si>
    <t>"IDUNITTO": "/j:Booking/j:Arrest/j:ArrestOfficial[2]/j:EnforcementOfficialUnit/j:EnforcementUnitName",</t>
  </si>
  <si>
    <t>375xpath</t>
  </si>
  <si>
    <t>"IDITMN": "/j:Booking/j:Arrest/nola-ext:ArrestAugmentation/Incident/ActivityIdentification/IdentificationID",</t>
  </si>
  <si>
    <t>383xpath</t>
  </si>
  <si>
    <t>"IDCSEC": "/Case/j:CaseAugmentation/j:CaseCourt/OrganizationLocation/LocationPart/LocationRoomText",</t>
  </si>
  <si>
    <t>390xpath</t>
  </si>
  <si>
    <t>395xpath</t>
  </si>
  <si>
    <t>"IDCDTE": "/Case/j:CaseAugmentation/j:CaseCourtEvent/ActivityDate/DateTime",</t>
  </si>
  <si>
    <t>"IDCTIM": "/Case/j:CaseAugmentation/j:CaseCourtEvent/ActivityDate/DateTime",</t>
  </si>
  <si>
    <t>"IDCTFL": "/Case/j:CaseAugmentation/j:CaseCourtEvent/ActivityDate/DateTime",</t>
  </si>
  <si>
    <t/>
  </si>
  <si>
    <t>"IDEYES": "/j:Booking/j:BookingSubject/RoleOfPerson/PersonEyeColorText",</t>
  </si>
  <si>
    <t>"IDSTCDL": "/j:Booking/j:BookingSubject/RoleOfPerson/j:PersonAugmentation/j:DriverLicense/j:DriverLicenseCardIdentification/IdentificationJurisdiction/JurisdictionLocation/Address/AddressState/StateName",</t>
  </si>
  <si>
    <t>"IDCTYP": "/Case/j:CaseAugmentation/j:CaseCourt/nola-ext:CourtCategoryAbstract/nola-ext:CourtCategoryText",</t>
  </si>
  <si>
    <t>/nola:BookingExchange/j:Booking/j:BookingSubject/RoleOfPerson/j:PersonAugmentation/j:DriverLicense/j:DriverLicenseCardIdentification/IdentificationJurisdiction/JurisdictionLocation/Address/AddressState/StateName</t>
  </si>
  <si>
    <t>/nola:BookingExchange/j:Booking/j:BookingSubject/RoleOfPerson/PersonEyeColorText</t>
  </si>
  <si>
    <t>/nola:BookingExchange/Case/j:CaseAugmentation/j:CaseCourt/nola-ext:CourtCategoryAbstract</t>
  </si>
  <si>
    <t>/nola:BookingExchange/Case/j:CaseAugmentation/j:CaseCourt/nola-ext:CourtCategoryAbstract/nola-ext:CourtCategoryText</t>
  </si>
  <si>
    <t>5xpath</t>
  </si>
  <si>
    <t>15xpath</t>
  </si>
  <si>
    <t>18xpath</t>
  </si>
  <si>
    <t>20xpath</t>
  </si>
  <si>
    <t>69xpath</t>
  </si>
  <si>
    <t>70xpath</t>
  </si>
  <si>
    <t>77xpath</t>
  </si>
  <si>
    <t>91xpath</t>
  </si>
  <si>
    <t>102xpath</t>
  </si>
  <si>
    <t>104xpath</t>
  </si>
  <si>
    <t>151xpath</t>
  </si>
  <si>
    <t>152xpath</t>
  </si>
  <si>
    <t>158xpath</t>
  </si>
  <si>
    <t>163xpath</t>
  </si>
  <si>
    <t>201xpath</t>
  </si>
  <si>
    <t>323xpath</t>
  </si>
  <si>
    <t>325xpath</t>
  </si>
  <si>
    <t>336xpath</t>
  </si>
  <si>
    <t>343xpath</t>
  </si>
  <si>
    <t>348xpath</t>
  </si>
  <si>
    <t>350xpath</t>
  </si>
  <si>
    <t>361xpath</t>
  </si>
  <si>
    <t>368xpath</t>
  </si>
  <si>
    <t>"IFBKDT": "/j:Booking/ActivityDate/DateTime",</t>
  </si>
  <si>
    <t>"IFBKTM": "/j:Booking/ActivityDate/DateTime",</t>
  </si>
  <si>
    <t>"IFRLDT": "/j:Booking/j:BookingRelease/ActivityDate/DateTime",</t>
  </si>
  <si>
    <t>"IFRLTM": "/j:Booking/j:BookingRelease/ActivityDate/DateTime",</t>
  </si>
  <si>
    <t>"IFRLPN": "/j:Booking/j:BookingRelease/ActivityDate/DateTime",</t>
  </si>
  <si>
    <t>fieldDesc: "BirthStateCode"</t>
  </si>
  <si>
    <t>id field</t>
  </si>
  <si>
    <t>IFRCLS</t>
  </si>
  <si>
    <t>ReclassFlag</t>
  </si>
  <si>
    <t>IMFLDR</t>
  </si>
  <si>
    <t>IFSTSC</t>
  </si>
  <si>
    <t>ClassificationStatusCode</t>
  </si>
  <si>
    <t>IFZIPC</t>
  </si>
  <si>
    <t>IFWGHT</t>
  </si>
  <si>
    <t>IFUSAC</t>
  </si>
  <si>
    <t>IFLUPN</t>
  </si>
  <si>
    <t>UpdateProgram</t>
  </si>
  <si>
    <t>IFSTSF</t>
  </si>
  <si>
    <t>IFSTPF</t>
  </si>
  <si>
    <t>IFSTNO</t>
  </si>
  <si>
    <t>IFSTNM</t>
  </si>
  <si>
    <t>IFSTCDB</t>
  </si>
  <si>
    <t>IFSTCD</t>
  </si>
  <si>
    <t>IFSSNO</t>
  </si>
  <si>
    <t>IFSIDN</t>
  </si>
  <si>
    <t>IFSIKD</t>
  </si>
  <si>
    <t>SickDescription</t>
  </si>
  <si>
    <t>IFSIKF</t>
  </si>
  <si>
    <t>Sick</t>
  </si>
  <si>
    <t>IFSEXC</t>
  </si>
  <si>
    <t>Sex</t>
  </si>
  <si>
    <t>IFSECL</t>
  </si>
  <si>
    <t>SecurityLevel</t>
  </si>
  <si>
    <t>IFSCNO</t>
  </si>
  <si>
    <t>SCN</t>
  </si>
  <si>
    <t>IFSCRD</t>
  </si>
  <si>
    <t>IFRLUP</t>
  </si>
  <si>
    <t>ReleaseUser</t>
  </si>
  <si>
    <t>IFRLPN</t>
  </si>
  <si>
    <t>ReleaseTime</t>
  </si>
  <si>
    <t>IFRLTI</t>
  </si>
  <si>
    <t>ReleaseDevice</t>
  </si>
  <si>
    <t>IFRLDT</t>
  </si>
  <si>
    <t>IFRLTM</t>
  </si>
  <si>
    <t>ReleaseAMPM</t>
  </si>
  <si>
    <t>IFRLRT</t>
  </si>
  <si>
    <t>IFRACE</t>
  </si>
  <si>
    <t>Race</t>
  </si>
  <si>
    <t>IFPHAP</t>
  </si>
  <si>
    <t>PhysicalAppearance</t>
  </si>
  <si>
    <t>IFPHNO</t>
  </si>
  <si>
    <t>IFPHNL</t>
  </si>
  <si>
    <t>PhoneLockFlag</t>
  </si>
  <si>
    <t>IFOCUP</t>
  </si>
  <si>
    <t>Ocupation</t>
  </si>
  <si>
    <t>IFNTYF</t>
  </si>
  <si>
    <t>NotifyinCaseofEmergency</t>
  </si>
  <si>
    <t>IFNAMS</t>
  </si>
  <si>
    <t>IFMUST</t>
  </si>
  <si>
    <t>Mustache</t>
  </si>
  <si>
    <t>IFMINI</t>
  </si>
  <si>
    <t>MiddleInitial</t>
  </si>
  <si>
    <t>IFMENC</t>
  </si>
  <si>
    <t>MentalCode</t>
  </si>
  <si>
    <t>IFMEDS</t>
  </si>
  <si>
    <t>Medicine</t>
  </si>
  <si>
    <t>IFMSTS</t>
  </si>
  <si>
    <t>MaritalStatus</t>
  </si>
  <si>
    <t>IFLICY</t>
  </si>
  <si>
    <t>LicenseYear</t>
  </si>
  <si>
    <t>IFSTCDL</t>
  </si>
  <si>
    <t>LicenseStateCode</t>
  </si>
  <si>
    <t>IFLICN</t>
  </si>
  <si>
    <t>LicenseNumber</t>
  </si>
  <si>
    <t>IFLUUP</t>
  </si>
  <si>
    <t>LastUpdateUser</t>
  </si>
  <si>
    <t>IFLUTM</t>
  </si>
  <si>
    <t>LastUpdateTime</t>
  </si>
  <si>
    <t>IFLUTI</t>
  </si>
  <si>
    <t>LastUpdateDevice</t>
  </si>
  <si>
    <t>IFLUDT</t>
  </si>
  <si>
    <t>LastUpdateDate</t>
  </si>
  <si>
    <t>IFLNAM</t>
  </si>
  <si>
    <t>IFTYPE</t>
  </si>
  <si>
    <t>InmateType</t>
  </si>
  <si>
    <t>IFTIER</t>
  </si>
  <si>
    <t>InmateLocationTier</t>
  </si>
  <si>
    <t>IFSIDE</t>
  </si>
  <si>
    <t>InmateLocationSide</t>
  </si>
  <si>
    <t>IFCELL</t>
  </si>
  <si>
    <t>InmateLocationCell</t>
  </si>
  <si>
    <t>IFBLDG</t>
  </si>
  <si>
    <t>InmateLocationBuilding</t>
  </si>
  <si>
    <t>IFINJD</t>
  </si>
  <si>
    <t>InjuriesDescription</t>
  </si>
  <si>
    <t>IFINJF</t>
  </si>
  <si>
    <t>Injuries</t>
  </si>
  <si>
    <t>IFACTV</t>
  </si>
  <si>
    <t>InCustodyFlag</t>
  </si>
  <si>
    <t>IFHOMO</t>
  </si>
  <si>
    <t>IFHGHT</t>
  </si>
  <si>
    <t>IFHLTH</t>
  </si>
  <si>
    <t>HealthCondition</t>
  </si>
  <si>
    <t>IFHARL</t>
  </si>
  <si>
    <t>HairLength</t>
  </si>
  <si>
    <t>IFHAIR</t>
  </si>
  <si>
    <t>HairColor</t>
  </si>
  <si>
    <t>IFGANG</t>
  </si>
  <si>
    <t>GangMember</t>
  </si>
  <si>
    <t>IFFPCN</t>
  </si>
  <si>
    <t>FPCNumber</t>
  </si>
  <si>
    <t>IFFLDR</t>
  </si>
  <si>
    <t>IFFNAM</t>
  </si>
  <si>
    <t>IFFBIN</t>
  </si>
  <si>
    <t>IFEYES</t>
  </si>
  <si>
    <t>EyeColor</t>
  </si>
  <si>
    <t>IFENUP</t>
  </si>
  <si>
    <t>EnteredUser</t>
  </si>
  <si>
    <t>IFENTM</t>
  </si>
  <si>
    <t>EnteredTime</t>
  </si>
  <si>
    <t>IFENPN</t>
  </si>
  <si>
    <t>EnteredProgram</t>
  </si>
  <si>
    <t>IFENTI</t>
  </si>
  <si>
    <t>EnteredDevice</t>
  </si>
  <si>
    <t>IFENDT</t>
  </si>
  <si>
    <t>EnteredDate</t>
  </si>
  <si>
    <t>IFENMY</t>
  </si>
  <si>
    <t>EnemiesInJail</t>
  </si>
  <si>
    <t>IFEMPR</t>
  </si>
  <si>
    <t>IFDRGT</t>
  </si>
  <si>
    <t xml:space="preserve">DrugUsed </t>
  </si>
  <si>
    <t>IFDRGA</t>
  </si>
  <si>
    <t>DrugAddict</t>
  </si>
  <si>
    <t>IFDLAD</t>
  </si>
  <si>
    <t>DollaraDayFlag</t>
  </si>
  <si>
    <t>IFDID2</t>
  </si>
  <si>
    <t>Document2</t>
  </si>
  <si>
    <t>IFDID1</t>
  </si>
  <si>
    <t>Document1</t>
  </si>
  <si>
    <t>IFDRHO</t>
  </si>
  <si>
    <t>DoctorHospital</t>
  </si>
  <si>
    <t>IFDOCN</t>
  </si>
  <si>
    <t>DOCNumber</t>
  </si>
  <si>
    <t>IFDOBD</t>
  </si>
  <si>
    <t>DateofBirth</t>
  </si>
  <si>
    <t>IFCNTY</t>
  </si>
  <si>
    <t>CountryCode</t>
  </si>
  <si>
    <t>IFCTLL</t>
  </si>
  <si>
    <t>ControlLevel</t>
  </si>
  <si>
    <t>IFCMPL</t>
  </si>
  <si>
    <t>Complexion</t>
  </si>
  <si>
    <t>IFCMNT</t>
  </si>
  <si>
    <t>Comment</t>
  </si>
  <si>
    <t>IFCLSD</t>
  </si>
  <si>
    <t>ClassificationDate</t>
  </si>
  <si>
    <t>IFCLSF</t>
  </si>
  <si>
    <t>Classification</t>
  </si>
  <si>
    <t>IFCITY</t>
  </si>
  <si>
    <t>City</t>
  </si>
  <si>
    <t>IFCKUP</t>
  </si>
  <si>
    <t>CheckinUser</t>
  </si>
  <si>
    <t>IFCKTM</t>
  </si>
  <si>
    <t>CheckinTime</t>
  </si>
  <si>
    <t>IFCKTI</t>
  </si>
  <si>
    <t>CheckinDevice</t>
  </si>
  <si>
    <t>IFCKDT</t>
  </si>
  <si>
    <t>CheckinDate</t>
  </si>
  <si>
    <t>IFCKPN</t>
  </si>
  <si>
    <t>CheckinAMPM</t>
  </si>
  <si>
    <t>IFCCNO</t>
  </si>
  <si>
    <t>CCN</t>
  </si>
  <si>
    <t>IFCSHR</t>
  </si>
  <si>
    <t>CashRetained</t>
  </si>
  <si>
    <t>IFCSHH</t>
  </si>
  <si>
    <t>CashonHand</t>
  </si>
  <si>
    <t>IFCSHD</t>
  </si>
  <si>
    <t>CashDeposited</t>
  </si>
  <si>
    <t>IFBUIL</t>
  </si>
  <si>
    <t>Build</t>
  </si>
  <si>
    <t>IFABRC</t>
  </si>
  <si>
    <t>IFBPTY</t>
  </si>
  <si>
    <t>IFBKUP</t>
  </si>
  <si>
    <t>BookedUser</t>
  </si>
  <si>
    <t>IFBKTM</t>
  </si>
  <si>
    <t>BookedTime</t>
  </si>
  <si>
    <t>IFBKTI</t>
  </si>
  <si>
    <t>BookedDevice</t>
  </si>
  <si>
    <t>IFBKDT</t>
  </si>
  <si>
    <t>BookedDate</t>
  </si>
  <si>
    <t>IFBKPN</t>
  </si>
  <si>
    <t>BookedAMPM</t>
  </si>
  <si>
    <t>IFBOIN</t>
  </si>
  <si>
    <t>BOINumber</t>
  </si>
  <si>
    <t>IFBERD</t>
  </si>
  <si>
    <t>Beard</t>
  </si>
  <si>
    <t>IFAIND</t>
  </si>
  <si>
    <t>ArrestInjuriesDescription</t>
  </si>
  <si>
    <t>IFAINJ</t>
  </si>
  <si>
    <t>ArrestInjuries</t>
  </si>
  <si>
    <t>IFAO2U</t>
  </si>
  <si>
    <t>ArrestingOfficer2Unit</t>
  </si>
  <si>
    <t>IFAO2L</t>
  </si>
  <si>
    <t>ArrestingOfficer2LastName</t>
  </si>
  <si>
    <t>IFAO2F</t>
  </si>
  <si>
    <t>ArrestingOfficer2FirstName</t>
  </si>
  <si>
    <t>IFAO2B</t>
  </si>
  <si>
    <t>ArrestingOfficer2BadgeNumber</t>
  </si>
  <si>
    <t>IFAO1U</t>
  </si>
  <si>
    <t>ArrestingOfficer1Unit</t>
  </si>
  <si>
    <t>IFAO1L</t>
  </si>
  <si>
    <t>ArrestingOfficer1LastName</t>
  </si>
  <si>
    <t>IFAO1F</t>
  </si>
  <si>
    <t>ArrestingOfficer1FirstName</t>
  </si>
  <si>
    <t>IFAO1B</t>
  </si>
  <si>
    <t>ArrestingOfficer1BadgeNumber</t>
  </si>
  <si>
    <t>IFABNO</t>
  </si>
  <si>
    <t>ArmbandNumber</t>
  </si>
  <si>
    <t>IFABRN</t>
  </si>
  <si>
    <t>IFALIN</t>
  </si>
  <si>
    <t>IFALCO</t>
  </si>
  <si>
    <t>Alcoholic</t>
  </si>
  <si>
    <t>IFAGCY</t>
  </si>
  <si>
    <t>IFAFSS</t>
  </si>
  <si>
    <t>AFISSent</t>
  </si>
  <si>
    <t>IFAFSR</t>
  </si>
  <si>
    <t>AFISReceived</t>
  </si>
  <si>
    <t>Found in Release xml?</t>
  </si>
  <si>
    <t>Field/Column Name</t>
  </si>
  <si>
    <t xml:space="preserve">Field description </t>
  </si>
  <si>
    <t xml:space="preserve">Table Name </t>
  </si>
  <si>
    <t>NOTES</t>
  </si>
  <si>
    <t>0 NOT found</t>
  </si>
  <si>
    <t>10expanded_IMFLDR_sorted</t>
  </si>
  <si>
    <t>36expanded_IMFLDR_sorted</t>
  </si>
  <si>
    <t>2expanded_IMFLDR_sorted</t>
  </si>
  <si>
    <t>23expanded_IMFLDR_sorted</t>
  </si>
  <si>
    <t>44expanded_IMFLDR_sorted</t>
  </si>
  <si>
    <t>47expanded_IMFLDR_sorted</t>
  </si>
  <si>
    <t>26expanded_IMFLDR_sorted</t>
  </si>
  <si>
    <t>24expanded_IMFLDR_sorted</t>
  </si>
  <si>
    <t>45expanded_IMFLDR_sorted</t>
  </si>
  <si>
    <t>48expanded_IMFLDR_sorted</t>
  </si>
  <si>
    <t>25expanded_IMFLDR_sorted</t>
  </si>
  <si>
    <t>12expanded_IMFLDR_sorted</t>
  </si>
  <si>
    <t>13expanded_IMFLDR_sorted</t>
  </si>
  <si>
    <t>14expanded_IMFLDR_sorted</t>
  </si>
  <si>
    <t>15expanded_IMFLDR_sorted</t>
  </si>
  <si>
    <t>3expanded_IMFLDR_sorted</t>
  </si>
  <si>
    <t>39expanded_IMFLDR_sorted</t>
  </si>
  <si>
    <t>1expanded_IMFLDR_sorted</t>
  </si>
  <si>
    <t>31expanded_IMFLDR_sorted</t>
  </si>
  <si>
    <t>37expanded_IMFLDR_sorted</t>
  </si>
  <si>
    <t>21expanded_IMFLDR_sorted</t>
  </si>
  <si>
    <t>27expanded_IMFLDR_sorted</t>
  </si>
  <si>
    <t>38expanded_IMFLDR_sorted</t>
  </si>
  <si>
    <t>43expanded_IMFLDR_sorted</t>
  </si>
  <si>
    <t>11expanded_IMFLDR_sorted</t>
  </si>
  <si>
    <t>28expanded_IMFLDR_sorted</t>
  </si>
  <si>
    <t>29expanded_IMFLDR_sorted</t>
  </si>
  <si>
    <t>30expanded_IMFLDR_sorted</t>
  </si>
  <si>
    <t>46expanded_IMFLDR_sorted</t>
  </si>
  <si>
    <t>18expanded_IMFLDR_sorted</t>
  </si>
  <si>
    <t>19expanded_IMFLDR_sorted</t>
  </si>
  <si>
    <t>20expanded_IMFLDR_sorted</t>
  </si>
  <si>
    <t>49expanded_IMFLDR_sorted</t>
  </si>
  <si>
    <t>50expanded_IMFLDR_sorted</t>
  </si>
  <si>
    <t>22expanded_IMFLDR_sorted</t>
  </si>
  <si>
    <t>17expanded_IMFLDR_sorted</t>
  </si>
  <si>
    <t>32expanded_IMFLDR_sorted</t>
  </si>
  <si>
    <t>51expanded_IMFLDR_sorted</t>
  </si>
  <si>
    <t>53expanded_IMFLDR_sorted</t>
  </si>
  <si>
    <t>52expanded_IMFLDR_sorted</t>
  </si>
  <si>
    <t>54expanded_IMFLDR_sorted</t>
  </si>
  <si>
    <t>55expanded_IMFLDR_sorted</t>
  </si>
  <si>
    <t>16expanded_IMFLDR_sorted</t>
  </si>
  <si>
    <t>33expanded_IMFLDR_sorted</t>
  </si>
  <si>
    <t>40expanded_IMFLDR_sorted</t>
  </si>
  <si>
    <t>41expanded_IMFLDR_sorted</t>
  </si>
  <si>
    <t>4expanded_IMFLDR_sorted</t>
  </si>
  <si>
    <t>42expanded_IMFLDR_sorted</t>
  </si>
  <si>
    <t>5expanded_IMFLDR_sorted</t>
  </si>
  <si>
    <t>6expanded_IMFLDR_sorted</t>
  </si>
  <si>
    <t>7expanded_IMFLDR_sorted</t>
  </si>
  <si>
    <t>8expanded_IMFLDR_sorted</t>
  </si>
  <si>
    <t>34expanded_IMFLDR_sorted</t>
  </si>
  <si>
    <t>35expanded_IMFLDR_sorted</t>
  </si>
  <si>
    <t>9expanded_IMFLDR_sorted</t>
  </si>
  <si>
    <t>IMARRD</t>
  </si>
  <si>
    <t>ActiveFlag</t>
  </si>
  <si>
    <t>IDACTV</t>
  </si>
  <si>
    <t>IDADDR</t>
  </si>
  <si>
    <t>IDCITY</t>
  </si>
  <si>
    <t>IDSTCD</t>
  </si>
  <si>
    <t>IDALFN</t>
  </si>
  <si>
    <t>IDALLN</t>
  </si>
  <si>
    <t>AMPMEntered</t>
  </si>
  <si>
    <t>IDENPN</t>
  </si>
  <si>
    <t>AMPMReceived</t>
  </si>
  <si>
    <t>IDAPIN</t>
  </si>
  <si>
    <t>IDABRN</t>
  </si>
  <si>
    <t>ArrestAMPM</t>
  </si>
  <si>
    <t>IDAMPMA</t>
  </si>
  <si>
    <t>ArrestCredit</t>
  </si>
  <si>
    <t>IDCREDAO</t>
  </si>
  <si>
    <t>ArrestDate</t>
  </si>
  <si>
    <t>IDDATEA</t>
  </si>
  <si>
    <t>ArrestDistrict</t>
  </si>
  <si>
    <t>IDDISTA</t>
  </si>
  <si>
    <t>ArresteeBelt</t>
  </si>
  <si>
    <t>IDBELT</t>
  </si>
  <si>
    <t>ArresteeChain</t>
  </si>
  <si>
    <t>IDCHAIN</t>
  </si>
  <si>
    <t>ArresteeComb</t>
  </si>
  <si>
    <t>IDCOMB</t>
  </si>
  <si>
    <t>ArresteeGlasses</t>
  </si>
  <si>
    <t>IDGLAS</t>
  </si>
  <si>
    <t>ArresteeKeys</t>
  </si>
  <si>
    <t>IDKEYS</t>
  </si>
  <si>
    <t>ArresteeKnife</t>
  </si>
  <si>
    <t>IDKNIFE</t>
  </si>
  <si>
    <t>ArresteeLighter</t>
  </si>
  <si>
    <t>IDLIGHT</t>
  </si>
  <si>
    <t>ArresteePen</t>
  </si>
  <si>
    <t>IDPEN</t>
  </si>
  <si>
    <t>ArresteePurse</t>
  </si>
  <si>
    <t>IDPURSE</t>
  </si>
  <si>
    <t>ArresteeTieClip</t>
  </si>
  <si>
    <t>IDTIECL</t>
  </si>
  <si>
    <t>ArresteeWallet</t>
  </si>
  <si>
    <t>IDWALET</t>
  </si>
  <si>
    <t>ArresteeWatch</t>
  </si>
  <si>
    <t>IDWATCH</t>
  </si>
  <si>
    <t>ArresteeWeapon</t>
  </si>
  <si>
    <t>IDWEAPO</t>
  </si>
  <si>
    <t>ArresteHealth</t>
  </si>
  <si>
    <t>IDHLTH</t>
  </si>
  <si>
    <t>IDBADGAO</t>
  </si>
  <si>
    <t>IDFNAMAO</t>
  </si>
  <si>
    <t>IDLNAMAO</t>
  </si>
  <si>
    <t>IDUNITAO</t>
  </si>
  <si>
    <t>ArrestingOfficerName</t>
  </si>
  <si>
    <t>IDNAMEAO</t>
  </si>
  <si>
    <t>ArrestLocation</t>
  </si>
  <si>
    <t>IDLOCTA</t>
  </si>
  <si>
    <t>ArrestLocationApartmentNumber</t>
  </si>
  <si>
    <t>IDSTSFAI</t>
  </si>
  <si>
    <t>ArrestLocationBoxRouteCode</t>
  </si>
  <si>
    <t>IDSTNMAI</t>
  </si>
  <si>
    <t>ArrestLocationStreetAddress</t>
  </si>
  <si>
    <t>IDSTPFA</t>
  </si>
  <si>
    <t>ArrestLocationStreetDirection2</t>
  </si>
  <si>
    <t>IDABRCA</t>
  </si>
  <si>
    <t>ArrestLocationStreetName</t>
  </si>
  <si>
    <t>IDSTNMA</t>
  </si>
  <si>
    <t>ArrestLocationStreetName2</t>
  </si>
  <si>
    <t>IDABRNA</t>
  </si>
  <si>
    <t>ArrestLocationStreetNumber</t>
  </si>
  <si>
    <t>IDSTNOA</t>
  </si>
  <si>
    <t>ArrestLocationStreetSuffix</t>
  </si>
  <si>
    <t>IDSTSFA</t>
  </si>
  <si>
    <t>ArrestLocationStreetSuffix2</t>
  </si>
  <si>
    <t>IDSTPFAI</t>
  </si>
  <si>
    <t>ArrestLocationType</t>
  </si>
  <si>
    <t>IDHBICA</t>
  </si>
  <si>
    <t>ArrestRegisterNumber</t>
  </si>
  <si>
    <t>IDARRN</t>
  </si>
  <si>
    <t>ArrestRegisterPrintAMPM</t>
  </si>
  <si>
    <t>IDPRPN</t>
  </si>
  <si>
    <t>ArrestRegisterPrintDate</t>
  </si>
  <si>
    <t>IDPRDT</t>
  </si>
  <si>
    <t>ArrestRegisterPrintedUser</t>
  </si>
  <si>
    <t>IDENUP</t>
  </si>
  <si>
    <t>ArrestRegisterPrintTime</t>
  </si>
  <si>
    <t>IDPRTI</t>
  </si>
  <si>
    <t>IDPRTM</t>
  </si>
  <si>
    <t>ArrestRegisterPrintUser</t>
  </si>
  <si>
    <t>IDPRUP</t>
  </si>
  <si>
    <t>ArrestTime</t>
  </si>
  <si>
    <t>IDTIMEA</t>
  </si>
  <si>
    <t>ATN</t>
  </si>
  <si>
    <t>IDATN1</t>
  </si>
  <si>
    <t>IDATN2</t>
  </si>
  <si>
    <t>IDATN4</t>
  </si>
  <si>
    <t>IDATN6</t>
  </si>
  <si>
    <t>ATNChargeSequenceNumber</t>
  </si>
  <si>
    <t>IDATS1</t>
  </si>
  <si>
    <t>IDATS2</t>
  </si>
  <si>
    <t>IDATS4</t>
  </si>
  <si>
    <t>IDATS6</t>
  </si>
  <si>
    <t>IDBOIN</t>
  </si>
  <si>
    <t>IDBOND</t>
  </si>
  <si>
    <t>IDBTFL</t>
  </si>
  <si>
    <t>BookedbyUserID</t>
  </si>
  <si>
    <t>IDBKBY</t>
  </si>
  <si>
    <t>IDBDTE</t>
  </si>
  <si>
    <t>IDBTIM</t>
  </si>
  <si>
    <t>IDABRC</t>
  </si>
  <si>
    <t>IDCCNO</t>
  </si>
  <si>
    <t>ChangeCollected</t>
  </si>
  <si>
    <t>IDCHNG</t>
  </si>
  <si>
    <t>ChargeAffidavitNumber</t>
  </si>
  <si>
    <t>IDAFD1</t>
  </si>
  <si>
    <t>IDAFD2</t>
  </si>
  <si>
    <t>IDAFD3</t>
  </si>
  <si>
    <t>IDAFD4</t>
  </si>
  <si>
    <t>IDAFD5</t>
  </si>
  <si>
    <t>IDAFD6</t>
  </si>
  <si>
    <t>ChargeATN</t>
  </si>
  <si>
    <t>IDATN3</t>
  </si>
  <si>
    <t>IDATN5</t>
  </si>
  <si>
    <t>ChargeATNSequenceNumber</t>
  </si>
  <si>
    <t>IDATS3</t>
  </si>
  <si>
    <t>IDATS5</t>
  </si>
  <si>
    <t>IDCHD1</t>
  </si>
  <si>
    <t>IDCHD2</t>
  </si>
  <si>
    <t>IDCHD3</t>
  </si>
  <si>
    <t>IDCHD4</t>
  </si>
  <si>
    <t>IDCHD5</t>
  </si>
  <si>
    <t>IDCHD6</t>
  </si>
  <si>
    <t>IDCHK1</t>
  </si>
  <si>
    <t>IDCHK2</t>
  </si>
  <si>
    <t>IDCHK3</t>
  </si>
  <si>
    <t>IDCHK4</t>
  </si>
  <si>
    <t>IDCHK5</t>
  </si>
  <si>
    <t>IDCHK6</t>
  </si>
  <si>
    <t>IDLBR1</t>
  </si>
  <si>
    <t>IDLBR2</t>
  </si>
  <si>
    <t>IDLBR3</t>
  </si>
  <si>
    <t>IDLBR4</t>
  </si>
  <si>
    <t>IDLBR5</t>
  </si>
  <si>
    <t>IDLBR6</t>
  </si>
  <si>
    <t>IDSTA1</t>
  </si>
  <si>
    <t>IDSTA2</t>
  </si>
  <si>
    <t>IDSTA3</t>
  </si>
  <si>
    <t>IDSTA4</t>
  </si>
  <si>
    <t>IDSTA5</t>
  </si>
  <si>
    <t>IDSTA6</t>
  </si>
  <si>
    <t>IDSUB1</t>
  </si>
  <si>
    <t>IDSUB2</t>
  </si>
  <si>
    <t>IDSUB3</t>
  </si>
  <si>
    <t>IDSUB4</t>
  </si>
  <si>
    <t>IDSUB5</t>
  </si>
  <si>
    <t>IDSUB6</t>
  </si>
  <si>
    <t>IDVIO1</t>
  </si>
  <si>
    <t>IDVIO2</t>
  </si>
  <si>
    <t>IDVIO3</t>
  </si>
  <si>
    <t>IDVIO4</t>
  </si>
  <si>
    <t>IDVIO5</t>
  </si>
  <si>
    <t>IDVIO6</t>
  </si>
  <si>
    <t>IDCSEC</t>
  </si>
  <si>
    <t>CourtType</t>
  </si>
  <si>
    <t>IDCTYP</t>
  </si>
  <si>
    <t>IDDOBD</t>
  </si>
  <si>
    <t>DollarsCollected</t>
  </si>
  <si>
    <t>IDDOLR</t>
  </si>
  <si>
    <t>Doorman</t>
  </si>
  <si>
    <t>IDDRMN</t>
  </si>
  <si>
    <t>IDLICN</t>
  </si>
  <si>
    <t>IDSTCDL</t>
  </si>
  <si>
    <t>IDLICY</t>
  </si>
  <si>
    <t>IDDRGA</t>
  </si>
  <si>
    <t>DrugType</t>
  </si>
  <si>
    <t>IDDRGT</t>
  </si>
  <si>
    <t>IDEMPR</t>
  </si>
  <si>
    <t>IDENDT</t>
  </si>
  <si>
    <t>IDENTM</t>
  </si>
  <si>
    <t>IDEYES</t>
  </si>
  <si>
    <t>IDFBIN</t>
  </si>
  <si>
    <t>IDFNAM</t>
  </si>
  <si>
    <t>IDFLDR</t>
  </si>
  <si>
    <t>IDFPCN</t>
  </si>
  <si>
    <t>IDSEXC</t>
  </si>
  <si>
    <t>IDHAIR</t>
  </si>
  <si>
    <t>IDHGHT</t>
  </si>
  <si>
    <t>HourReceived</t>
  </si>
  <si>
    <t>IDHRIN</t>
  </si>
  <si>
    <t>ItemNumber</t>
  </si>
  <si>
    <t>IDITMN</t>
  </si>
  <si>
    <t>JMSChargeNumber</t>
  </si>
  <si>
    <t>IDCHN1</t>
  </si>
  <si>
    <t>IDCHN2</t>
  </si>
  <si>
    <t>IDCHN3</t>
  </si>
  <si>
    <t>IDCHN4</t>
  </si>
  <si>
    <t>IDCHN5</t>
  </si>
  <si>
    <t>IDCHN6</t>
  </si>
  <si>
    <t>IDLNAM</t>
  </si>
  <si>
    <t>LastUpdateAMPM</t>
  </si>
  <si>
    <t>IDLUPN</t>
  </si>
  <si>
    <t>IDLUDT</t>
  </si>
  <si>
    <t>LastUpdateTerm</t>
  </si>
  <si>
    <t>IDLUTI</t>
  </si>
  <si>
    <t>IDLUTM</t>
  </si>
  <si>
    <t>IDLUUP</t>
  </si>
  <si>
    <t>IDMARS</t>
  </si>
  <si>
    <t>MicellaneousText1</t>
  </si>
  <si>
    <t>IDMISC1</t>
  </si>
  <si>
    <t>MicellaneousText2</t>
  </si>
  <si>
    <t>IDMISC2</t>
  </si>
  <si>
    <t>MicellaneousText3</t>
  </si>
  <si>
    <t>IDMISC3</t>
  </si>
  <si>
    <t>IDMINI</t>
  </si>
  <si>
    <t>MinuteReceived</t>
  </si>
  <si>
    <t>IDMNIN</t>
  </si>
  <si>
    <t>IDNAMS</t>
  </si>
  <si>
    <t>IDNATN</t>
  </si>
  <si>
    <t>NextCourtAMPM</t>
  </si>
  <si>
    <t>IDCTFL</t>
  </si>
  <si>
    <t>NextCourtDate</t>
  </si>
  <si>
    <t>IDCDTE</t>
  </si>
  <si>
    <t>NextCourtTime</t>
  </si>
  <si>
    <t>IDCTIM</t>
  </si>
  <si>
    <t>IDOCUP</t>
  </si>
  <si>
    <t>OffenseAMPM</t>
  </si>
  <si>
    <t>IDAMPMO</t>
  </si>
  <si>
    <t>OffenseDate</t>
  </si>
  <si>
    <t>IDDATEO</t>
  </si>
  <si>
    <t>OffenseDay</t>
  </si>
  <si>
    <t>IDDAYCO</t>
  </si>
  <si>
    <t>OffenseLocation</t>
  </si>
  <si>
    <t>IDLOCTO</t>
  </si>
  <si>
    <t>OffenseLocationApartmentNumber</t>
  </si>
  <si>
    <t>IDSTSFOI</t>
  </si>
  <si>
    <t>OffenseLocationBoxRouteCode</t>
  </si>
  <si>
    <t>IDSTNMOI</t>
  </si>
  <si>
    <t>OffenseLocationStreet2Direction</t>
  </si>
  <si>
    <t>IDABRCO</t>
  </si>
  <si>
    <t>OffenseLocationStreet2Name</t>
  </si>
  <si>
    <t>IDABRNO</t>
  </si>
  <si>
    <t>OffenseLocationStreet2Suffix</t>
  </si>
  <si>
    <t>IDSTPFOI</t>
  </si>
  <si>
    <t>OffenseLocationStreetDirection</t>
  </si>
  <si>
    <t>IDSTPFO</t>
  </si>
  <si>
    <t>OffenseLocationStreetName</t>
  </si>
  <si>
    <t>IDSTNMO</t>
  </si>
  <si>
    <t>OffenseLocationStreetNumber</t>
  </si>
  <si>
    <t>IDSTNOO</t>
  </si>
  <si>
    <t>OffenseLocationStreetSuffix</t>
  </si>
  <si>
    <t>IDSTSFO</t>
  </si>
  <si>
    <t>OffenseLocationType</t>
  </si>
  <si>
    <t>IDHBICO</t>
  </si>
  <si>
    <t>OffenseTime</t>
  </si>
  <si>
    <t>IDTIMEO</t>
  </si>
  <si>
    <t>PostedCM</t>
  </si>
  <si>
    <t>IDPTCM</t>
  </si>
  <si>
    <t>PostedDA</t>
  </si>
  <si>
    <t>IDPTDA</t>
  </si>
  <si>
    <t>PostedPD</t>
  </si>
  <si>
    <t>IDPTPD</t>
  </si>
  <si>
    <t>RaceCode</t>
  </si>
  <si>
    <t>IDRACE</t>
  </si>
  <si>
    <t>Remark1</t>
  </si>
  <si>
    <t>IDRMK1</t>
  </si>
  <si>
    <t>Remark2</t>
  </si>
  <si>
    <t>IDRMK2</t>
  </si>
  <si>
    <t>Remark3</t>
  </si>
  <si>
    <t>IDRMK3</t>
  </si>
  <si>
    <t>Remark4</t>
  </si>
  <si>
    <t>IDRMK4</t>
  </si>
  <si>
    <t>Remark5</t>
  </si>
  <si>
    <t>IDRMK5</t>
  </si>
  <si>
    <t>Remark6</t>
  </si>
  <si>
    <t>IDRMK6</t>
  </si>
  <si>
    <t>Remark7</t>
  </si>
  <si>
    <t>IDRMK7</t>
  </si>
  <si>
    <t>Remark8</t>
  </si>
  <si>
    <t>IDRMK8</t>
  </si>
  <si>
    <t>Scar1Description</t>
  </si>
  <si>
    <t>IDSCD1</t>
  </si>
  <si>
    <t>Scar2Description</t>
  </si>
  <si>
    <t>IDSCD2</t>
  </si>
  <si>
    <t>ScarCode1</t>
  </si>
  <si>
    <t>IDSCN1</t>
  </si>
  <si>
    <t>ScarCode2</t>
  </si>
  <si>
    <t>IDSCN2</t>
  </si>
  <si>
    <t>IDSCNO</t>
  </si>
  <si>
    <t>SCNSequenceNumber</t>
  </si>
  <si>
    <t>IDSNS1</t>
  </si>
  <si>
    <t>IDSNS2</t>
  </si>
  <si>
    <t>IDSNS3</t>
  </si>
  <si>
    <t>IDSNS4</t>
  </si>
  <si>
    <t>IDSNS5</t>
  </si>
  <si>
    <t>IDSNS6</t>
  </si>
  <si>
    <t>IDSIDN</t>
  </si>
  <si>
    <t>SkinColorCode</t>
  </si>
  <si>
    <t>IDSKIN</t>
  </si>
  <si>
    <t>IDSSNO</t>
  </si>
  <si>
    <t>StateofBirth</t>
  </si>
  <si>
    <t>IDSTCDB</t>
  </si>
  <si>
    <t>IDSTPF</t>
  </si>
  <si>
    <t>IDSTNM</t>
  </si>
  <si>
    <t>IDSTNO</t>
  </si>
  <si>
    <t>IDSTSF</t>
  </si>
  <si>
    <t>TerminalEntered</t>
  </si>
  <si>
    <t>IDENTI</t>
  </si>
  <si>
    <t>ToBePrinted</t>
  </si>
  <si>
    <t>IDTOBP</t>
  </si>
  <si>
    <t>TotalCollected</t>
  </si>
  <si>
    <t>IDTOTL</t>
  </si>
  <si>
    <t>VehicleColor</t>
  </si>
  <si>
    <t>IDVCLR</t>
  </si>
  <si>
    <t>VehicleDisposition</t>
  </si>
  <si>
    <t>IDVDSP</t>
  </si>
  <si>
    <t>VehicleLicenseNumber</t>
  </si>
  <si>
    <t>IDVLCN</t>
  </si>
  <si>
    <t>VehicleLicenseYear</t>
  </si>
  <si>
    <t>IDVLCY</t>
  </si>
  <si>
    <t>VehicleMake</t>
  </si>
  <si>
    <t>IDVMAK</t>
  </si>
  <si>
    <t>VehicleModel</t>
  </si>
  <si>
    <t>IDVMDL</t>
  </si>
  <si>
    <t>VehicleModelYear</t>
  </si>
  <si>
    <t>IDVYR</t>
  </si>
  <si>
    <t>VehicleStateCode</t>
  </si>
  <si>
    <t>IDSTCDV</t>
  </si>
  <si>
    <t>VehicleType</t>
  </si>
  <si>
    <t>IDVTYP</t>
  </si>
  <si>
    <t>VehicleVIN</t>
  </si>
  <si>
    <t>IDVVIN</t>
  </si>
  <si>
    <t>IDWGHT</t>
  </si>
  <si>
    <t>Witness1Address</t>
  </si>
  <si>
    <t>IDADDRW1</t>
  </si>
  <si>
    <t>Witness1ApartmentBoxRoute</t>
  </si>
  <si>
    <t>IDABRCW1</t>
  </si>
  <si>
    <t>Witness1ApartmentBoxRouteNumber</t>
  </si>
  <si>
    <t>IDABRNW1</t>
  </si>
  <si>
    <t>Witness1City</t>
  </si>
  <si>
    <t>IDCITYW1</t>
  </si>
  <si>
    <t>Witness1DateofBirth</t>
  </si>
  <si>
    <t>IDDOBDW1</t>
  </si>
  <si>
    <t>Witness1FirstName</t>
  </si>
  <si>
    <t>IDFNAMW1</t>
  </si>
  <si>
    <t>Witness1HouseLocationType</t>
  </si>
  <si>
    <t>IDHBICW1</t>
  </si>
  <si>
    <t>Witness1LastName</t>
  </si>
  <si>
    <t>IDLNAMW1</t>
  </si>
  <si>
    <t>Witness1PhoneNumber</t>
  </si>
  <si>
    <t>IDPHONW1</t>
  </si>
  <si>
    <t>Witness1RaceCode</t>
  </si>
  <si>
    <t>IDRACEW1</t>
  </si>
  <si>
    <t>Witness1SexCode</t>
  </si>
  <si>
    <t>IDSEXCW1</t>
  </si>
  <si>
    <t>Witness1StateCode</t>
  </si>
  <si>
    <t>IDSTCDW1</t>
  </si>
  <si>
    <t>Witness1StreetName</t>
  </si>
  <si>
    <t>IDSTNMW1</t>
  </si>
  <si>
    <t>Witness1StreetNumber</t>
  </si>
  <si>
    <t>IDSTNOW1</t>
  </si>
  <si>
    <t>Witness1StreetPrefix</t>
  </si>
  <si>
    <t>IDSTPFW1</t>
  </si>
  <si>
    <t>Witness1StreetSuffix</t>
  </si>
  <si>
    <t>IDSTSFW1</t>
  </si>
  <si>
    <t>Witness2Address</t>
  </si>
  <si>
    <t>IDADDRW2</t>
  </si>
  <si>
    <t>Witness2ApartmentBoxRoute</t>
  </si>
  <si>
    <t>IDABRCW2</t>
  </si>
  <si>
    <t>Witness2ApartmentBoxRouteNumber</t>
  </si>
  <si>
    <t>IDABRNW2</t>
  </si>
  <si>
    <t>Witness2City</t>
  </si>
  <si>
    <t>IDCITYW2</t>
  </si>
  <si>
    <t>Witness2DateofBirth</t>
  </si>
  <si>
    <t>IDDOBDW2</t>
  </si>
  <si>
    <t>Witness2FirstName</t>
  </si>
  <si>
    <t>IDFNAMW2</t>
  </si>
  <si>
    <t>Witness2HouseBlockIntersectionCode</t>
  </si>
  <si>
    <t>IDHBICW2</t>
  </si>
  <si>
    <t>Witness2LastName</t>
  </si>
  <si>
    <t>IDLNAMW2</t>
  </si>
  <si>
    <t>Witness2PhoneNumber</t>
  </si>
  <si>
    <t>IDPHONW2</t>
  </si>
  <si>
    <t>Witness2RaceCode</t>
  </si>
  <si>
    <t>IDRACEW2</t>
  </si>
  <si>
    <t>Witness2SexCode</t>
  </si>
  <si>
    <t>IDSEXCW2</t>
  </si>
  <si>
    <t>Witness2StateCode</t>
  </si>
  <si>
    <t>IDSTCDW2</t>
  </si>
  <si>
    <t>Witness2StreetName</t>
  </si>
  <si>
    <t>IDSTNMW2</t>
  </si>
  <si>
    <t>Witness2StreetNumber</t>
  </si>
  <si>
    <t>IDSTNOW2</t>
  </si>
  <si>
    <t>Witness2StreetPrefix</t>
  </si>
  <si>
    <t>IDSTPFW2</t>
  </si>
  <si>
    <t>Witness2StreetSuffix</t>
  </si>
  <si>
    <t>IDSTSFW2</t>
  </si>
  <si>
    <t>WitnessName1</t>
  </si>
  <si>
    <t>IDNAMEW1</t>
  </si>
  <si>
    <t>WitnessName2</t>
  </si>
  <si>
    <t>IDNAMEW2</t>
  </si>
  <si>
    <t>TransportingOfficerName</t>
  </si>
  <si>
    <t>IDNAMETO</t>
  </si>
  <si>
    <t>TransportingOfficer2FirstName</t>
  </si>
  <si>
    <t>IDFNAMTO</t>
  </si>
  <si>
    <t>TransportingOfficer2LastName</t>
  </si>
  <si>
    <t>IDLNAMTO</t>
  </si>
  <si>
    <t>TransportingOfficer2BadgeNumber</t>
  </si>
  <si>
    <t>IDBADGTO</t>
  </si>
  <si>
    <t>TransportingOfficer2Unit</t>
  </si>
  <si>
    <t>IDUNITTO</t>
  </si>
  <si>
    <t>Expanded_ROWS_IMARRD</t>
  </si>
  <si>
    <t>BookingXPATH</t>
  </si>
  <si>
    <t>BookingPYTHON</t>
  </si>
  <si>
    <t>IMARRD_Col</t>
  </si>
  <si>
    <t>Expanded_ROWS_IMFLDR</t>
  </si>
  <si>
    <t>ReleaseXPATH</t>
  </si>
  <si>
    <t>ReleasePYTHON</t>
  </si>
  <si>
    <t>IMFLDR_Col</t>
  </si>
  <si>
    <t>A 1:1 mapping of XPATH:DataBase table for the IMFLDR table.</t>
  </si>
  <si>
    <t>All columns available in the IMFLDR Table and their use in the interim exchange.</t>
  </si>
  <si>
    <t>All columns available in the IMARRD Table and their use in the interim exchange.</t>
  </si>
  <si>
    <t>The complete xml message described by Xpaths, and the corresponding Python script, if it exists.</t>
  </si>
  <si>
    <t>An ordered and edited python script list, used to verify all mappings.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</si>
</sst>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b/>
      <sz val="11"/>
      <color rgb="FFFF0000"/>
      <name val="Calibri"/>
      <family val="2"/>
      <scheme val="minor"/>
    </font>
    <font>
      <u/>
      <sz val="11"/>
      <color theme="10"/>
      <name val="Calibri"/>
      <family val="2"/>
      <scheme val="minor"/>
    </font>
    <font>
      <b/>
      <sz val="11"/>
      <color indexed="8"/>
      <name val="Calibri"/>
      <family val="2"/>
      <scheme val="minor"/>
    </font>
    <font>
      <b/>
      <u/>
      <sz val="11"/>
      <color indexed="8"/>
      <name val="Calibri"/>
      <family val="2"/>
      <scheme val="minor"/>
    </font>
    <font>
      <sz val="11"/>
      <color rgb="FF000000"/>
      <name val="Calibri"/>
      <family val="2"/>
      <scheme val="minor"/>
    </font>
    <font>
      <b/>
      <u/>
      <sz val="11"/>
      <color rgb="FF002060"/>
      <name val="Calibri"/>
      <family val="2"/>
      <scheme val="minor"/>
    </font>
    <font>
      <b/>
      <sz val="11"/>
      <color rgb="FF000000"/>
      <name val="Calibri"/>
      <family val="2"/>
      <scheme val="minor"/>
    </font>
    <font>
      <sz val="11"/>
      <color indexed="8"/>
      <name val="Calibri"/>
      <family val="2"/>
      <scheme val="minor"/>
    </font>
    <font>
      <sz val="11"/>
      <color theme="0"/>
      <name val="Calibri"/>
      <family val="2"/>
      <scheme val="minor"/>
    </font>
    <font>
      <sz val="11"/>
      <color rgb="FF000000"/>
      <name val="Calibri"/>
      <family val="2"/>
    </font>
    <font>
      <sz val="11"/>
      <name val="Consolas"/>
      <family val="3"/>
    </font>
    <font>
      <b/>
      <sz val="11"/>
      <color theme="1"/>
      <name val="Calibri"/>
      <family val="2"/>
      <scheme val="minor"/>
    </font>
    <font>
      <sz val="9"/>
      <color indexed="81"/>
      <name val="Tahoma"/>
      <family val="2"/>
    </font>
    <font>
      <b/>
      <sz val="9"/>
      <color indexed="81"/>
      <name val="Tahoma"/>
      <family val="2"/>
    </font>
    <font>
      <u/>
      <sz val="11"/>
      <color rgb="FF002060"/>
      <name val="Calibri"/>
      <family val="2"/>
      <scheme val="minor"/>
    </font>
  </fonts>
  <fills count="29">
    <fill>
      <patternFill patternType="none"/>
    </fill>
    <fill>
      <patternFill patternType="gray125"/>
    </fill>
    <fill>
      <patternFill patternType="solid">
        <fgColor theme="9"/>
        <bgColor indexed="64"/>
      </patternFill>
    </fill>
    <fill>
      <patternFill patternType="solid">
        <fgColor rgb="FF0070C0"/>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CCCCFF"/>
        <bgColor indexed="64"/>
      </patternFill>
    </fill>
    <fill>
      <patternFill patternType="solid">
        <fgColor theme="8" tint="0.39997558519241921"/>
        <bgColor indexed="64"/>
      </patternFill>
    </fill>
    <fill>
      <patternFill patternType="solid">
        <fgColor rgb="FFFF66FF"/>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FFFF00"/>
        <bgColor indexed="64"/>
      </patternFill>
    </fill>
    <fill>
      <patternFill patternType="solid">
        <fgColor rgb="FFFAC800"/>
        <bgColor indexed="64"/>
      </patternFill>
    </fill>
    <fill>
      <patternFill patternType="solid">
        <fgColor rgb="FF90EE90"/>
        <bgColor indexed="64"/>
      </patternFill>
    </fill>
    <fill>
      <patternFill patternType="solid">
        <fgColor theme="3" tint="-0.249977111117893"/>
        <bgColor indexed="64"/>
      </patternFill>
    </fill>
    <fill>
      <patternFill patternType="solid">
        <fgColor rgb="FFC0000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0" tint="-0.14999847407452621"/>
        <bgColor theme="0" tint="-0.14999847407452621"/>
      </patternFill>
    </fill>
    <fill>
      <patternFill patternType="solid">
        <fgColor theme="3" tint="0.74999237037263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6" fillId="0" borderId="0" applyNumberFormat="0" applyFill="0" applyBorder="0" applyAlignment="0" applyProtection="0"/>
    <xf numFmtId="0" fontId="12" fillId="0" borderId="0"/>
    <xf numFmtId="0" fontId="2" fillId="0" borderId="0"/>
  </cellStyleXfs>
  <cellXfs count="79">
    <xf numFmtId="0" fontId="0" fillId="0" borderId="0" xfId="0"/>
    <xf numFmtId="0" fontId="0" fillId="0" borderId="0" xfId="0" applyAlignment="1">
      <alignment horizontal="left" vertical="top" wrapText="1"/>
    </xf>
    <xf numFmtId="0" fontId="0" fillId="2" borderId="0" xfId="0" applyFill="1" applyAlignment="1">
      <alignment horizontal="left" vertical="top" wrapText="1"/>
    </xf>
    <xf numFmtId="0" fontId="0" fillId="3" borderId="0" xfId="0" applyFill="1" applyAlignment="1">
      <alignment horizontal="left" vertical="top" wrapText="1"/>
    </xf>
    <xf numFmtId="0" fontId="4" fillId="4" borderId="0" xfId="0" applyFont="1" applyFill="1" applyAlignment="1">
      <alignment horizontal="left" vertical="top" wrapText="1"/>
    </xf>
    <xf numFmtId="0" fontId="0" fillId="0" borderId="0" xfId="0" applyAlignment="1">
      <alignment horizontal="left" vertical="top"/>
    </xf>
    <xf numFmtId="0" fontId="0" fillId="5" borderId="0" xfId="0" applyFill="1" applyAlignment="1">
      <alignment horizontal="left" vertical="top"/>
    </xf>
    <xf numFmtId="0" fontId="0" fillId="6" borderId="0" xfId="0" applyFill="1" applyAlignment="1">
      <alignment horizontal="left" vertical="top"/>
    </xf>
    <xf numFmtId="0" fontId="0" fillId="7" borderId="0" xfId="0" applyFill="1" applyAlignment="1">
      <alignment horizontal="left" vertical="top"/>
    </xf>
    <xf numFmtId="0" fontId="0" fillId="7" borderId="0" xfId="0" applyFill="1" applyAlignment="1">
      <alignment horizontal="left" vertical="top" wrapText="1"/>
    </xf>
    <xf numFmtId="0" fontId="5" fillId="6" borderId="0" xfId="0" applyFont="1" applyFill="1" applyAlignment="1">
      <alignment horizontal="left" vertical="top"/>
    </xf>
    <xf numFmtId="0" fontId="0" fillId="8" borderId="0" xfId="0" applyFill="1" applyAlignment="1">
      <alignment horizontal="left" vertical="top"/>
    </xf>
    <xf numFmtId="0" fontId="0" fillId="0" borderId="8" xfId="0" applyBorder="1" applyAlignment="1">
      <alignment horizontal="left" vertical="top" wrapText="1"/>
    </xf>
    <xf numFmtId="0" fontId="7" fillId="5" borderId="9" xfId="0" applyFont="1" applyFill="1" applyBorder="1" applyAlignment="1">
      <alignment horizontal="left" vertical="top"/>
    </xf>
    <xf numFmtId="0" fontId="7" fillId="5" borderId="10" xfId="0" applyFont="1" applyFill="1" applyBorder="1" applyAlignment="1">
      <alignment horizontal="left" vertical="top"/>
    </xf>
    <xf numFmtId="0" fontId="0" fillId="10" borderId="3" xfId="0" applyFill="1" applyBorder="1" applyAlignment="1">
      <alignment horizontal="left" vertical="top" wrapText="1"/>
    </xf>
    <xf numFmtId="0" fontId="0" fillId="0" borderId="11" xfId="0" applyBorder="1"/>
    <xf numFmtId="0" fontId="0" fillId="11" borderId="1" xfId="0" applyFill="1" applyBorder="1"/>
    <xf numFmtId="0" fontId="4" fillId="12" borderId="0" xfId="0" applyFont="1" applyFill="1" applyAlignment="1">
      <alignment horizontal="left" vertical="top" wrapText="1"/>
    </xf>
    <xf numFmtId="0" fontId="0" fillId="13" borderId="0" xfId="0" applyFill="1" applyAlignment="1">
      <alignment horizontal="left" vertical="top" wrapText="1"/>
    </xf>
    <xf numFmtId="0" fontId="9" fillId="14" borderId="0" xfId="0" applyFont="1" applyFill="1" applyAlignment="1">
      <alignment horizontal="left" vertical="top" wrapText="1"/>
    </xf>
    <xf numFmtId="0" fontId="0" fillId="0" borderId="0" xfId="0" applyAlignment="1">
      <alignment wrapText="1"/>
    </xf>
    <xf numFmtId="0" fontId="12" fillId="0" borderId="0" xfId="2" applyAlignment="1">
      <alignment horizontal="left" vertical="top" wrapText="1"/>
    </xf>
    <xf numFmtId="0" fontId="12" fillId="15" borderId="0" xfId="2" applyFill="1" applyAlignment="1">
      <alignment horizontal="left" vertical="top" wrapText="1"/>
    </xf>
    <xf numFmtId="0" fontId="12" fillId="16" borderId="0" xfId="2" applyFill="1" applyAlignment="1">
      <alignment horizontal="left" vertical="top" wrapText="1"/>
    </xf>
    <xf numFmtId="0" fontId="13" fillId="0" borderId="0" xfId="2" applyFont="1" applyAlignment="1">
      <alignment horizontal="left" vertical="top" wrapText="1"/>
    </xf>
    <xf numFmtId="0" fontId="13" fillId="17" borderId="0" xfId="2" applyFont="1" applyFill="1" applyAlignment="1">
      <alignment horizontal="left" vertical="top"/>
    </xf>
    <xf numFmtId="0" fontId="9" fillId="12" borderId="0" xfId="2" applyFont="1" applyFill="1" applyAlignment="1">
      <alignment horizontal="left" vertical="top" wrapText="1"/>
    </xf>
    <xf numFmtId="0" fontId="12" fillId="0" borderId="0" xfId="2" applyAlignment="1">
      <alignment horizontal="left" vertical="top"/>
    </xf>
    <xf numFmtId="0" fontId="12" fillId="5" borderId="0" xfId="2" applyFill="1" applyAlignment="1">
      <alignment horizontal="left" vertical="top"/>
    </xf>
    <xf numFmtId="0" fontId="12" fillId="6" borderId="0" xfId="2" applyFill="1" applyAlignment="1">
      <alignment horizontal="left" vertical="top"/>
    </xf>
    <xf numFmtId="0" fontId="12" fillId="18" borderId="0" xfId="2" applyFill="1" applyAlignment="1">
      <alignment horizontal="left" vertical="top"/>
    </xf>
    <xf numFmtId="0" fontId="14" fillId="0" borderId="0" xfId="2" applyFont="1" applyAlignment="1">
      <alignment horizontal="left" vertical="top"/>
    </xf>
    <xf numFmtId="0" fontId="12" fillId="0" borderId="0" xfId="2"/>
    <xf numFmtId="0" fontId="12" fillId="5" borderId="0" xfId="2" applyFill="1"/>
    <xf numFmtId="0" fontId="12" fillId="6" borderId="0" xfId="2" applyFill="1"/>
    <xf numFmtId="0" fontId="12" fillId="18" borderId="0" xfId="2" applyFill="1"/>
    <xf numFmtId="0" fontId="12" fillId="0" borderId="0" xfId="2" applyAlignment="1">
      <alignment wrapText="1"/>
    </xf>
    <xf numFmtId="0" fontId="3" fillId="0" borderId="0" xfId="2" applyFont="1" applyAlignment="1">
      <alignment horizontal="left" vertical="top"/>
    </xf>
    <xf numFmtId="0" fontId="3" fillId="5" borderId="0" xfId="2" applyFont="1" applyFill="1" applyAlignment="1">
      <alignment horizontal="left" vertical="top"/>
    </xf>
    <xf numFmtId="0" fontId="3" fillId="6" borderId="0" xfId="2" applyFont="1" applyFill="1" applyAlignment="1">
      <alignment horizontal="left" vertical="top"/>
    </xf>
    <xf numFmtId="0" fontId="3" fillId="18" borderId="0" xfId="2" applyFont="1" applyFill="1" applyAlignment="1">
      <alignment horizontal="left" vertical="top"/>
    </xf>
    <xf numFmtId="0" fontId="3" fillId="0" borderId="0" xfId="2" applyFont="1" applyAlignment="1">
      <alignment horizontal="left" vertical="top" wrapText="1"/>
    </xf>
    <xf numFmtId="0" fontId="3" fillId="12" borderId="0" xfId="2" applyFont="1" applyFill="1" applyAlignment="1">
      <alignment horizontal="left" vertical="top"/>
    </xf>
    <xf numFmtId="0" fontId="12" fillId="17" borderId="0" xfId="2" applyFill="1" applyAlignment="1">
      <alignment horizontal="left" vertical="top"/>
    </xf>
    <xf numFmtId="0" fontId="4" fillId="12" borderId="0" xfId="2" applyFont="1" applyFill="1" applyAlignment="1">
      <alignment horizontal="left" vertical="top"/>
    </xf>
    <xf numFmtId="0" fontId="12" fillId="3" borderId="0" xfId="2" applyFill="1"/>
    <xf numFmtId="0" fontId="12" fillId="17" borderId="0" xfId="2" applyFill="1"/>
    <xf numFmtId="0" fontId="15" fillId="0" borderId="0" xfId="0" applyFont="1" applyAlignment="1">
      <alignment vertical="center"/>
    </xf>
    <xf numFmtId="0" fontId="12" fillId="12" borderId="0" xfId="2" applyFill="1"/>
    <xf numFmtId="0" fontId="2" fillId="0" borderId="0" xfId="2" applyFont="1" applyAlignment="1">
      <alignment horizontal="left" vertical="top" wrapText="1"/>
    </xf>
    <xf numFmtId="0" fontId="12" fillId="0" borderId="0" xfId="2" applyAlignment="1">
      <alignment horizontal="center" vertical="top"/>
    </xf>
    <xf numFmtId="0" fontId="2" fillId="0" borderId="0" xfId="2" applyFont="1" applyAlignment="1">
      <alignment horizontal="left" vertical="top"/>
    </xf>
    <xf numFmtId="0" fontId="4" fillId="6" borderId="0" xfId="2" applyFont="1" applyFill="1" applyAlignment="1">
      <alignment horizontal="left" vertical="top"/>
    </xf>
    <xf numFmtId="0" fontId="15" fillId="0" borderId="0" xfId="2" applyFont="1"/>
    <xf numFmtId="0" fontId="2" fillId="0" borderId="0" xfId="3"/>
    <xf numFmtId="0" fontId="2" fillId="19" borderId="0" xfId="3" applyFill="1"/>
    <xf numFmtId="0" fontId="16" fillId="20" borderId="0" xfId="3" applyFont="1" applyFill="1"/>
    <xf numFmtId="0" fontId="11" fillId="0" borderId="0" xfId="2" applyFont="1" applyAlignment="1">
      <alignment horizontal="left" vertical="top" wrapText="1"/>
    </xf>
    <xf numFmtId="0" fontId="1" fillId="0" borderId="0" xfId="3" applyFont="1"/>
    <xf numFmtId="0" fontId="8" fillId="9" borderId="2" xfId="0" applyFont="1" applyFill="1" applyBorder="1" applyAlignment="1">
      <alignment horizontal="left" vertical="top"/>
    </xf>
    <xf numFmtId="0" fontId="8" fillId="9" borderId="3" xfId="0" applyFont="1" applyFill="1" applyBorder="1" applyAlignment="1">
      <alignment horizontal="left" vertical="top"/>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13" xfId="0" applyBorder="1"/>
    <xf numFmtId="0" fontId="0" fillId="0" borderId="15" xfId="0" applyBorder="1"/>
    <xf numFmtId="0" fontId="0" fillId="0" borderId="17" xfId="0" applyBorder="1"/>
    <xf numFmtId="0" fontId="0" fillId="0" borderId="19" xfId="0" applyBorder="1"/>
    <xf numFmtId="0" fontId="19" fillId="12" borderId="18" xfId="1" applyFont="1" applyFill="1" applyBorder="1"/>
    <xf numFmtId="0" fontId="19" fillId="21" borderId="12" xfId="1" applyFont="1" applyFill="1" applyBorder="1"/>
    <xf numFmtId="0" fontId="19" fillId="22" borderId="14" xfId="1" applyFont="1" applyFill="1" applyBorder="1"/>
    <xf numFmtId="0" fontId="19" fillId="23" borderId="14" xfId="1" applyFont="1" applyFill="1" applyBorder="1"/>
    <xf numFmtId="0" fontId="19" fillId="24" borderId="16" xfId="1" applyFont="1" applyFill="1" applyBorder="1"/>
    <xf numFmtId="0" fontId="19" fillId="25" borderId="12" xfId="1" applyFont="1" applyFill="1" applyBorder="1"/>
    <xf numFmtId="0" fontId="19" fillId="26" borderId="14" xfId="1" applyFont="1" applyFill="1" applyBorder="1"/>
    <xf numFmtId="0" fontId="19" fillId="27" borderId="14" xfId="1" applyFont="1" applyFill="1" applyBorder="1"/>
    <xf numFmtId="0" fontId="19" fillId="28" borderId="16" xfId="1" applyFont="1" applyFill="1" applyBorder="1"/>
  </cellXfs>
  <cellStyles count="4">
    <cellStyle name="Hyperlink" xfId="1" builtinId="8"/>
    <cellStyle name="Normal" xfId="0" builtinId="0"/>
    <cellStyle name="Normal 2" xfId="2" xr:uid="{3E96EC5A-8EF2-4C5C-9704-3E3C032A614D}"/>
    <cellStyle name="Normal 3" xfId="3" xr:uid="{17CACDF0-8330-4E6C-B340-575836528BB4}"/>
  </cellStyles>
  <dxfs count="172">
    <dxf>
      <font>
        <strike val="0"/>
        <outline val="0"/>
        <shadow val="0"/>
        <u/>
        <vertAlign val="baseline"/>
        <sz val="11"/>
        <color rgb="FF002060"/>
        <name val="Calibri"/>
        <family val="2"/>
        <scheme val="minor"/>
      </font>
    </dxf>
    <dxf>
      <font>
        <color rgb="FF9C0006"/>
      </font>
      <fill>
        <patternFill>
          <bgColor rgb="FFFFC7CE"/>
        </patternFill>
      </fill>
    </dxf>
    <dxf>
      <font>
        <color rgb="FF9C0006"/>
      </font>
      <fill>
        <patternFill>
          <bgColor rgb="FFFFC7CE"/>
        </patternFill>
      </fill>
    </dxf>
    <dxf>
      <fill>
        <patternFill>
          <b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9" tint="-0.499984740745262"/>
      </font>
      <fill>
        <patternFill>
          <bgColor theme="9" tint="0.39994506668294322"/>
        </patternFill>
      </fill>
    </dxf>
    <dxf>
      <font>
        <b/>
        <i val="0"/>
        <color rgb="FF9C0006"/>
      </font>
      <fill>
        <patternFill>
          <bgColor rgb="FFFFC7CE"/>
        </patternFill>
      </fill>
    </dxf>
    <dxf>
      <fill>
        <patternFill>
          <bgColor theme="8" tint="0.79998168889431442"/>
        </patternFill>
      </fill>
    </dxf>
    <dxf>
      <fill>
        <patternFill>
          <bgColor theme="7" tint="0.79998168889431442"/>
        </patternFill>
      </fill>
    </dxf>
    <dxf>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9" tint="-0.499984740745262"/>
      </font>
      <fill>
        <patternFill>
          <bgColor theme="9" tint="0.39994506668294322"/>
        </patternFill>
      </fill>
    </dxf>
    <dxf>
      <font>
        <b/>
        <i val="0"/>
        <color rgb="FF9C0006"/>
      </font>
      <fill>
        <patternFill>
          <bgColor rgb="FFFFC7CE"/>
        </patternFill>
      </fill>
    </dxf>
    <dxf>
      <fill>
        <patternFill>
          <bgColor theme="8" tint="0.79998168889431442"/>
        </patternFill>
      </fill>
    </dxf>
    <dxf>
      <fill>
        <patternFill>
          <bgColor theme="7" tint="0.79998168889431442"/>
        </patternFill>
      </fill>
    </dxf>
    <dxf>
      <fill>
        <patternFill>
          <bgColor theme="4" tint="0.79998168889431442"/>
        </patternFill>
      </fill>
    </dxf>
    <dxf>
      <font>
        <color rgb="FF9C0006"/>
      </font>
      <fill>
        <patternFill>
          <bgColor rgb="FFFFC7CE"/>
        </patternFill>
      </fill>
    </dxf>
    <dxf>
      <font>
        <strike/>
        <color rgb="FFC00000"/>
      </font>
      <fill>
        <patternFill>
          <bgColor rgb="FFFFCCCC"/>
        </patternFill>
      </fill>
    </dxf>
    <dxf>
      <font>
        <strike val="0"/>
        <color auto="1"/>
      </font>
      <fill>
        <patternFill>
          <bgColor theme="9" tint="0.79998168889431442"/>
        </patternFill>
      </fill>
    </dxf>
    <dxf>
      <font>
        <strike/>
        <color rgb="FFC00000"/>
      </font>
      <fill>
        <patternFill>
          <bgColor rgb="FFFFCCCC"/>
        </patternFill>
      </fill>
    </dxf>
    <dxf>
      <font>
        <b/>
        <i val="0"/>
        <strike val="0"/>
        <color rgb="FFC00000"/>
      </font>
      <fill>
        <patternFill>
          <bgColor rgb="FFFFCCCC"/>
        </patternFill>
      </fill>
    </dxf>
    <dxf>
      <font>
        <strike val="0"/>
        <color auto="1"/>
      </font>
      <fill>
        <patternFill>
          <bgColor theme="9" tint="0.79998168889431442"/>
        </patternFill>
      </fill>
    </dxf>
    <dxf>
      <fill>
        <patternFill>
          <bgColor theme="8" tint="0.79998168889431442"/>
        </patternFill>
      </fill>
    </dxf>
    <dxf>
      <font>
        <strike val="0"/>
        <color auto="1"/>
      </font>
      <fill>
        <patternFill>
          <bgColor theme="9" tint="0.79998168889431442"/>
        </patternFill>
      </fill>
    </dxf>
    <dxf>
      <fill>
        <patternFill>
          <bgColor theme="7" tint="0.79998168889431442"/>
        </patternFill>
      </fill>
    </dxf>
    <dxf>
      <fill>
        <patternFill>
          <bgColor theme="4" tint="0.79998168889431442"/>
        </patternFill>
      </fill>
    </dxf>
    <dxf>
      <numFmt numFmtId="0" formatCode="General"/>
    </dxf>
    <dxf>
      <font>
        <b/>
        <i val="0"/>
        <strike val="0"/>
        <condense val="0"/>
        <extend val="0"/>
        <outline val="0"/>
        <shadow val="0"/>
        <u val="none"/>
        <vertAlign val="baseline"/>
        <sz val="11"/>
        <color theme="1"/>
        <name val="Calibri"/>
        <family val="2"/>
        <scheme val="minor"/>
      </font>
      <fill>
        <patternFill patternType="solid">
          <fgColor indexed="64"/>
          <bgColor theme="3" tint="0.749992370372631"/>
        </patternFill>
      </fill>
    </dxf>
    <dxf>
      <numFmt numFmtId="0" formatCode="General"/>
      <fill>
        <patternFill patternType="none">
          <fgColor indexed="64"/>
          <bgColor auto="1"/>
        </patternFill>
      </fill>
    </dxf>
    <dxf>
      <font>
        <strike val="0"/>
        <outline val="0"/>
        <shadow val="0"/>
        <u val="none"/>
        <vertAlign val="baseline"/>
        <sz val="11"/>
        <color auto="1"/>
        <name val="Consolas"/>
        <family val="3"/>
        <scheme val="none"/>
      </font>
      <numFmt numFmtId="0" formatCode="General"/>
    </dxf>
    <dxf>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indexed="65"/>
        </patternFill>
      </fill>
    </dxf>
    <dxf>
      <fill>
        <patternFill patternType="none">
          <fgColor rgb="FF000000"/>
          <bgColor auto="1"/>
        </patternFill>
      </fill>
    </dxf>
    <dxf>
      <fill>
        <patternFill patternType="none">
          <fgColor indexed="64"/>
          <bgColor auto="1"/>
        </patternFill>
      </fill>
    </dxf>
    <dxf>
      <numFmt numFmtId="0" formatCode="General"/>
      <fill>
        <patternFill patternType="none">
          <fgColor indexed="64"/>
          <bgColor auto="1"/>
        </patternFill>
      </fill>
      <alignment textRotation="0" wrapText="0" indent="0" justifyLastLine="0" shrinkToFit="0" readingOrder="0"/>
    </dxf>
    <dxf>
      <numFmt numFmtId="0" formatCode="General"/>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numFmt numFmtId="0" formatCode="General"/>
      <fill>
        <patternFill patternType="none">
          <fgColor indexed="64"/>
          <bgColor auto="1"/>
        </patternFill>
      </fill>
    </dxf>
    <dxf>
      <fill>
        <patternFill patternType="none">
          <fgColor rgb="FF000000"/>
          <bgColor auto="1"/>
        </patternFill>
      </fill>
    </dxf>
    <dxf>
      <alignment horizontal="left" vertical="top" textRotation="0" wrapText="1"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ill>
        <patternFill patternType="none">
          <fgColor indexed="64"/>
          <bgColor auto="1"/>
        </patternFill>
      </fill>
      <alignment horizontal="center"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numFmt numFmtId="0" formatCode="General"/>
    </dxf>
    <dxf>
      <font>
        <b/>
        <i val="0"/>
        <strike val="0"/>
        <condense val="0"/>
        <extend val="0"/>
        <outline val="0"/>
        <shadow val="0"/>
        <u val="none"/>
        <vertAlign val="baseline"/>
        <sz val="11"/>
        <color theme="1"/>
        <name val="Calibri"/>
        <family val="2"/>
        <scheme val="minor"/>
      </font>
      <fill>
        <patternFill patternType="solid">
          <fgColor indexed="64"/>
          <bgColor theme="3" tint="0.749992370372631"/>
        </patternFill>
      </fill>
    </dxf>
    <dxf>
      <numFmt numFmtId="0" formatCode="General"/>
      <fill>
        <patternFill patternType="none">
          <fgColor indexed="64"/>
          <bgColor auto="1"/>
        </patternFill>
      </fill>
    </dxf>
    <dxf>
      <font>
        <strike val="0"/>
        <outline val="0"/>
        <shadow val="0"/>
        <u val="none"/>
        <vertAlign val="baseline"/>
        <sz val="11"/>
        <color auto="1"/>
        <name val="Consolas"/>
        <family val="3"/>
        <scheme val="none"/>
      </font>
    </dxf>
    <dxf>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alignment textRotation="0" wrapText="0" indent="0" justifyLastLine="0" shrinkToFit="0" readingOrder="0"/>
    </dxf>
    <dxf>
      <numFmt numFmtId="0" formatCode="General"/>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alignment horizontal="left"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none">
          <fgColor rgb="FF000000"/>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8" tint="0.5999938962981048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rgb="FFCCCCFF"/>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5" tint="0.79998168889431442"/>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border outline="0">
        <top style="medium">
          <color rgb="FF000000"/>
        </top>
        <bottom style="medium">
          <color rgb="FF000000"/>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left" vertical="top" textRotation="0" wrapText="0" indent="0" justifyLastLine="0" shrinkToFit="0" readingOrder="0"/>
    </dxf>
    <dxf>
      <font>
        <b/>
        <i val="0"/>
        <strike val="0"/>
        <condense val="0"/>
        <extend val="0"/>
        <outline val="0"/>
        <shadow val="0"/>
        <u val="none"/>
        <vertAlign val="baseline"/>
        <sz val="11"/>
        <color rgb="FF000000"/>
        <name val="Calibri"/>
        <family val="2"/>
        <scheme val="minor"/>
      </font>
      <numFmt numFmtId="0" formatCode="General"/>
      <fill>
        <patternFill patternType="none">
          <fgColor indexed="64"/>
          <bgColor auto="1"/>
        </patternFill>
      </fill>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numFmt numFmtId="0" formatCode="General"/>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ill>
        <patternFill patternType="solid">
          <fgColor indexed="64"/>
          <bgColor theme="8" tint="0.39997558519241921"/>
        </patternFill>
      </fill>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ill>
        <patternFill patternType="solid">
          <fgColor indexed="64"/>
          <bgColor theme="8" tint="0.39997558519241921"/>
        </patternFill>
      </fill>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ill>
        <patternFill patternType="solid">
          <fgColor indexed="64"/>
          <bgColor rgb="FFCCCCFF"/>
        </patternFill>
      </fill>
      <alignment horizontal="left" vertical="top" textRotation="0" indent="0" justifyLastLine="0" shrinkToFit="0" readingOrder="0"/>
    </dxf>
    <dxf>
      <fill>
        <patternFill patternType="solid">
          <fgColor indexed="64"/>
          <bgColor theme="5" tint="0.79998168889431442"/>
        </patternFill>
      </fill>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0" indent="0" justifyLastLine="0" shrinkToFit="0" readingOrder="0"/>
    </dxf>
    <dxf>
      <numFmt numFmtId="0" formatCode="General"/>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rgb="FF90EE90"/>
        </patternFill>
      </fill>
      <alignment horizontal="left" vertical="top" textRotation="0" wrapText="1" indent="0" justifyLastLine="0" shrinkToFit="0" readingOrder="0"/>
    </dxf>
  </dxfs>
  <tableStyles count="0" defaultTableStyle="TableStyleMedium2" defaultPivotStyle="PivotStyleLight16"/>
  <colors>
    <mruColors>
      <color rgb="FFCCCCFF"/>
      <color rgb="FF9999FF"/>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Guest User" id="{3105BA58-CF99-4546-A2EF-B6A3422FDDD8}" userId="S::urn:spo:anon#8e589e6d761b40e59295772b9c6210b666bab4d23cbb196c70e7d8b146f58b3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4D20530-20EF-42CA-B473-4D3C17048E24}" name="Table12" displayName="Table12" ref="B8:C17" totalsRowShown="0">
  <autoFilter ref="B8:C17" xr:uid="{94D20530-20EF-42CA-B473-4D3C17048E24}"/>
  <tableColumns count="2">
    <tableColumn id="1" xr3:uid="{B1F47FF7-E23D-4476-B9E0-0901C1504D1E}" name="Table of Contents" dataDxfId="0" dataCellStyle="Hyperlink"/>
    <tableColumn id="2" xr3:uid="{3B3425F8-9664-4088-88BF-A19430ECE104}" name="Description"/>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A7B567-B89D-485B-84D1-C4A7DB3317DF}" name="Table3" displayName="Table3" ref="A1:W1944" totalsRowShown="0" headerRowDxfId="171">
  <autoFilter ref="A1:W1944" xr:uid="{67D7285F-4963-4F61-AC98-54D4210716BD}"/>
  <tableColumns count="23">
    <tableColumn id="1" xr3:uid="{3C074FE8-D499-428D-9D52-BFF3D0595552}" name="Property Type"/>
    <tableColumn id="2" xr3:uid="{8C516012-7581-43C8-A90A-F4A148FC7F18}" name="ID"/>
    <tableColumn id="3" xr3:uid="{C8F6FB95-D885-4FB7-898E-815211D0AAE4}" name="Class"/>
    <tableColumn id="4" xr3:uid="{637CAEAF-3F57-44C5-9050-67F444ACD5D6}" name="Attribute"/>
    <tableColumn id="5" xr3:uid="{D8D38FE7-141F-4019-A5B5-8BE304B2B599}" name="Type"/>
    <tableColumn id="6" xr3:uid="{09B3205D-5E92-4534-9017-0C9BE2849616}" name="Description"/>
    <tableColumn id="7" xr3:uid="{23A7340E-EC0A-4139-BE3B-5DFD39FA01C8}" name="Multiplicity"/>
    <tableColumn id="8" xr3:uid="{A135F5F2-4B17-4B83-B560-7FD67104A004}" name="Repeat Values per attribute"/>
    <tableColumn id="9" xr3:uid="{F5B4AE34-5A84-4AB1-B3B4-AE62442F1383}" name="Name"/>
    <tableColumn id="10" xr3:uid="{8E870D07-E65B-4B4D-BC41-AD51A3C8F771}" name="Expanded JSON Formatted"/>
    <tableColumn id="11" xr3:uid="{6B5D42EE-717F-4D63-8B4D-83A900E15BC6}" name="Expanded JSON" dataDxfId="170"/>
    <tableColumn id="12" xr3:uid="{6BDB370C-486F-4689-9A40-0AEBC8E3690B}" name="&lt;&lt;JTMP_LegacySource&gt;&gt;_x000a_JSON_LegacySourceLocation" dataDxfId="169"/>
    <tableColumn id="13" xr3:uid="{176E8EFA-61E3-4A7E-A4AB-25E1FBC507B6}" name="&lt;&lt;NOLA&gt;&gt;_x000a_NIEM Element"/>
    <tableColumn id="14" xr3:uid="{10460169-955A-43F9-9DEA-2A7F6D03C7D6}" name="&lt;&lt;NOLA&gt;&gt;_x000a_NIEM Type"/>
    <tableColumn id="15" xr3:uid="{9E52F9C2-CA2F-45DC-AF44-863ADE6D8828}" name="&lt;&lt;NOLA&gt;&gt;_x000a_Parent Base Type"/>
    <tableColumn id="16" xr3:uid="{7A200AD3-0344-4C9F-95CE-9D6EA3B3A527}" name="&lt;&lt;NOLA&gt;&gt;_x000a_Comments"/>
    <tableColumn id="17" xr3:uid="{316DF472-2E74-45E5-8DCB-3DF27FC4CAF0}" name="&lt;&lt;NOLA&gt;&gt;_x000a_CodeList"/>
    <tableColumn id="18" xr3:uid="{D6E74718-F0BC-4C9D-B0E8-7EEC9AE06D53}" name="&lt;&lt;NOLA_Exchange&gt;&gt;_x000a_Booking"/>
    <tableColumn id="19" xr3:uid="{C0756C3C-C36D-44FD-8C7B-06D9A20E0012}" name="FINAL Expanded JSON"/>
    <tableColumn id="20" xr3:uid="{F6194940-74AB-4152-9676-0F376F57E55F}" name="db"/>
    <tableColumn id="21" xr3:uid="{6441AF8A-9DBB-4A04-8608-849743A4C32B}" name="table"/>
    <tableColumn id="22" xr3:uid="{23A69F31-8A58-4C14-806F-067D1A52D9C3}" name="field description"/>
    <tableColumn id="23" xr3:uid="{B622EB0B-A687-4A56-905B-40AD3719C31E}" name="field name"/>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2FE1D2-EA11-4B3C-A9C8-EADE5544F0B6}" name="Table58911" displayName="Table58911" ref="A1:AF369" totalsRowShown="0" headerRowDxfId="168" dataDxfId="167">
  <autoFilter ref="A1:AF369" xr:uid="{0EDA8F18-03B1-4329-AEB0-20AAE19D1645}"/>
  <tableColumns count="32">
    <tableColumn id="25" xr3:uid="{1ADC2341-8274-406C-8822-1285B1E612F2}" name="#" dataDxfId="166">
      <calculatedColumnFormula>ROW(A1)</calculatedColumnFormula>
    </tableColumn>
    <tableColumn id="26" xr3:uid="{EDEE89B8-1F28-48F7-AB48-4B5781F33142}" name="0" dataDxfId="165">
      <calculatedColumnFormula>IF(H1=H2,B1,B1+1)</calculatedColumnFormula>
    </tableColumn>
    <tableColumn id="27" xr3:uid="{CCE00672-E363-4D72-900A-5D815195DDD0}" name="1" dataDxfId="164">
      <calculatedColumnFormula>IF(I1=I2,C1,C1+1)</calculatedColumnFormula>
    </tableColumn>
    <tableColumn id="29" xr3:uid="{7564F9C1-F2CC-45A3-97C3-8B06AA87BC68}" name="2" dataDxfId="163">
      <calculatedColumnFormula>IF(AD1=AD2,D1,D1+1)</calculatedColumnFormula>
    </tableColumn>
    <tableColumn id="28" xr3:uid="{CEDD816A-2B32-48B6-AC4F-AB8CED5C4A20}" name="Delete?" dataDxfId="162"/>
    <tableColumn id="1" xr3:uid="{0921FB31-BE88-409A-A1CE-5B230E382280}" name="Property Type" dataDxfId="161"/>
    <tableColumn id="2" xr3:uid="{017FDD84-E01B-4119-857D-62C971D0B579}" name="ID" dataDxfId="160"/>
    <tableColumn id="3" xr3:uid="{D727FE58-1FD7-4CDE-8C6B-9E5E94C17D9C}" name="Class" dataDxfId="159"/>
    <tableColumn id="4" xr3:uid="{1C27FE2F-75FA-4B47-9DA1-BBCF8E1CF5F5}" name="Attribute" dataDxfId="158"/>
    <tableColumn id="5" xr3:uid="{724870B7-4DB8-4A10-B437-703A57122C57}" name="Type" dataDxfId="157"/>
    <tableColumn id="6" xr3:uid="{5584C420-04D3-46F1-B294-4CE6CFF9CA9C}" name="Description" dataDxfId="156"/>
    <tableColumn id="7" xr3:uid="{8ADB05EE-F2CB-461A-859C-24D2EDB7B5FD}" name="Multiplicity" dataDxfId="155"/>
    <tableColumn id="8" xr3:uid="{5DFA81E4-04A6-4A15-BC11-8F451126F242}" name="Repeat Values per attribute" dataDxfId="154"/>
    <tableColumn id="9" xr3:uid="{1C31EC08-085A-4717-9C83-6FE10496A511}" name="Name" dataDxfId="153"/>
    <tableColumn id="10" xr3:uid="{06EF47E2-F421-48F0-A419-5A04289343C5}" name="Expanded JSON Formatted" dataDxfId="152"/>
    <tableColumn id="11" xr3:uid="{BB9F2D87-BB5C-4187-AAD9-531630F343F2}" name="Expanded JSON" dataDxfId="151"/>
    <tableColumn id="12" xr3:uid="{6490D717-CFF9-4B5F-855F-D2237B79D48A}" name="&lt;&lt;JTMP_LegacySource&gt;&gt;_x000a_JSON_LegacySourceLocation" dataDxfId="150"/>
    <tableColumn id="13" xr3:uid="{47DB8E59-6749-4D92-8899-A3D609378B9D}" name="&lt;&lt;NOLA&gt;&gt;_x000a_NIEM Element" dataDxfId="149"/>
    <tableColumn id="14" xr3:uid="{EBF5AD6E-8296-4456-B5AF-70F15A2BA607}" name="&lt;&lt;NOLA&gt;&gt;_x000a_NIEM Type" dataDxfId="148"/>
    <tableColumn id="15" xr3:uid="{3C13D400-EAAE-4705-AA1D-02A94426050C}" name="&lt;&lt;NOLA&gt;&gt;_x000a_Parent Base Type" dataDxfId="147"/>
    <tableColumn id="16" xr3:uid="{A1873BFE-58F4-4E0E-94A9-439D0D1701EB}" name="&lt;&lt;NOLA&gt;&gt;_x000a_XPath (relative)" dataDxfId="146"/>
    <tableColumn id="17" xr3:uid="{0093AE58-6DC6-44AC-AA1D-6D24487B6B3A}" name="&lt;&lt;NOLA&gt;&gt;_x000a_Comments" dataDxfId="145"/>
    <tableColumn id="18" xr3:uid="{EDB4B98D-13A7-4AEB-84F4-9F77B2552260}" name="&lt;&lt;NOLA&gt;&gt;_x000a_CodeList" dataDxfId="144"/>
    <tableColumn id="19" xr3:uid="{E42E27BE-7031-4A05-8224-C568A2B99462}" name="&lt;&lt;NOLA_Exchange&gt;&gt; Booking XPATH" dataDxfId="143"/>
    <tableColumn id="20" xr3:uid="{D88F0B13-7D83-47F3-93E2-95A6042CD643}" name="FINAL Expanded JSON" dataDxfId="142"/>
    <tableColumn id="21" xr3:uid="{6F518B1E-911E-43F0-91B7-63F837AB48DD}" name="db" dataDxfId="141"/>
    <tableColumn id="22" xr3:uid="{38205ACF-62F4-4F1F-9AF0-4B0E9DE6C8F2}" name="table" dataDxfId="140"/>
    <tableColumn id="23" xr3:uid="{0681917A-8D74-4D18-82E1-9EF80429F592}" name="field description" dataDxfId="139"/>
    <tableColumn id="24" xr3:uid="{CF344E45-6397-4FC2-90CC-5E9AE3859C8E}" name="field name" dataDxfId="138"/>
    <tableColumn id="30" xr3:uid="{E353E172-2633-4E9E-AF31-6A5B0F06066C}" name="concat" dataDxfId="137">
      <calculatedColumnFormula>_xlfn.CONCAT(Table58911[[#This Row],[&lt;&lt;NOLA&gt;&gt;
NIEM Element]],Table58911[[#This Row],[Repeat Values per attribute]])</calculatedColumnFormula>
    </tableColumn>
    <tableColumn id="31" xr3:uid="{2D7D1FB5-CED2-44E8-A837-013B77B84A8B}" name="Column1" dataDxfId="136"/>
    <tableColumn id="32" xr3:uid="{1268D95F-9098-4916-9C6B-4D1D20DB9291}" name="Column2" dataDxfId="135"/>
  </tableColumns>
  <tableStyleInfo name="TableStyleMedium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C0A4215-87AD-4291-A5A7-C5352AC2D270}" name="Table610119" displayName="Table610119" ref="A1:AF110" totalsRowShown="0" headerRowDxfId="134" dataDxfId="133" tableBorderDxfId="132" headerRowCellStyle="Normal 2" dataCellStyle="Normal 2">
  <autoFilter ref="A1:AF110" xr:uid="{18F536AD-C4D4-4315-B165-D8334D803720}"/>
  <tableColumns count="32">
    <tableColumn id="1" xr3:uid="{BF095AD0-2288-47C6-8BB1-EADA21DC2B57}" name="#" dataDxfId="131" dataCellStyle="Normal 2">
      <calculatedColumnFormula>ROW(A1)&amp;"expanded_IMARRD_sorted"</calculatedColumnFormula>
    </tableColumn>
    <tableColumn id="2" xr3:uid="{6807AB48-AAF8-432E-ABE3-546994503567}" name="0" dataDxfId="130" dataCellStyle="Normal 2">
      <calculatedColumnFormula>IF(H1=H2,B1,B1+1)</calculatedColumnFormula>
    </tableColumn>
    <tableColumn id="3" xr3:uid="{9084784D-3503-4541-B38F-90D96D10587B}" name="1" dataDxfId="129" dataCellStyle="Normal 2">
      <calculatedColumnFormula>IF(I1=I2,C1,C1+1)</calculatedColumnFormula>
    </tableColumn>
    <tableColumn id="4" xr3:uid="{29605A75-0DBC-49A9-B072-D4C0DD6CA47C}" name="2" dataDxfId="128" dataCellStyle="Normal 2">
      <calculatedColumnFormula>IF(M1=M2,D1,D1+1)</calculatedColumnFormula>
    </tableColumn>
    <tableColumn id="28" xr3:uid="{7CEA9AB1-1166-4F55-B770-5414B7EE5E87}" name="DELETE?" dataDxfId="127" dataCellStyle="Normal 2"/>
    <tableColumn id="5" xr3:uid="{59AD9B30-F714-4878-BF14-055F93DC1BAC}" name="Property Type" dataDxfId="126" dataCellStyle="Normal 2"/>
    <tableColumn id="6" xr3:uid="{61A51910-C014-4D4B-9672-7D903AE42FFD}" name="ID" dataDxfId="125" dataCellStyle="Normal 2"/>
    <tableColumn id="7" xr3:uid="{29F652F6-7023-469F-A3EF-AF49C0294C90}" name="Class" dataDxfId="124" dataCellStyle="Normal 2"/>
    <tableColumn id="8" xr3:uid="{96FA4BCC-05BF-4D98-9C11-5ADE97C70DD7}" name="Attribute" dataDxfId="123" dataCellStyle="Normal 2"/>
    <tableColumn id="9" xr3:uid="{5B7984C8-34AB-4E80-89B0-4EF638189F70}" name="Type" dataDxfId="122" dataCellStyle="Normal 2"/>
    <tableColumn id="10" xr3:uid="{81659805-9A73-435F-A3D9-34F9AC7E9D08}" name="Description" dataDxfId="121" dataCellStyle="Normal 2"/>
    <tableColumn id="11" xr3:uid="{D584B9E7-0D6E-4D41-AE61-5FEB02C5CB52}" name="Multiplicity" dataDxfId="120" dataCellStyle="Normal 2"/>
    <tableColumn id="12" xr3:uid="{EA0FD017-378D-4D0B-BBAB-859313DDE6DF}" name="Repeat Values per attribute" dataDxfId="119" dataCellStyle="Normal 2"/>
    <tableColumn id="13" xr3:uid="{C5ADB5E3-5FE5-44FE-A565-B04CF7FCD99A}" name="Name" dataDxfId="118" dataCellStyle="Normal 2"/>
    <tableColumn id="14" xr3:uid="{F89BD505-0CC4-4732-8B0A-41DDBA072EA7}" name="Expanded JSON Formatted" dataDxfId="117" dataCellStyle="Normal 2"/>
    <tableColumn id="15" xr3:uid="{5D685568-64CE-4FD4-985A-4B5B8A9A7BF5}" name="Expanded JSON" dataDxfId="116" dataCellStyle="Normal 2"/>
    <tableColumn id="16" xr3:uid="{1608B1A9-D1EF-406D-9B12-AF7E1418DD80}" name="&lt;&lt;JTMP_LegacySource&gt;&gt;_x000a_JSON_LegacySourceLocation" dataDxfId="115" dataCellStyle="Normal 2"/>
    <tableColumn id="17" xr3:uid="{AB73A111-EBD3-4E51-B58B-DB2077F6F435}" name="&lt;&lt;NOLA&gt;&gt;_x000a_NIEM Element" dataDxfId="114" dataCellStyle="Normal 2"/>
    <tableColumn id="18" xr3:uid="{9E1087D4-CE57-4724-A358-90C10E3AFD3D}" name="&lt;&lt;NOLA&gt;&gt;_x000a_NIEM Type" dataDxfId="113" dataCellStyle="Normal 2"/>
    <tableColumn id="19" xr3:uid="{D8175C82-FB25-44B5-9C6E-31D8A0C10687}" name="&lt;&lt;NOLA&gt;&gt;_x000a_Parent Base Type" dataDxfId="112" dataCellStyle="Normal 2"/>
    <tableColumn id="20" xr3:uid="{E7CCBD29-D537-4DF8-8CAC-BAE0FD063E5D}" name="&lt;&lt;NOLA&gt;&gt;_x000a_Comments" dataDxfId="111" dataCellStyle="Normal 2"/>
    <tableColumn id="21" xr3:uid="{73870FCF-4447-4C37-8A94-1C1D1554255E}" name="&lt;&lt;NOLA&gt;&gt;_x000a_CodeList" dataDxfId="110" dataCellStyle="Normal 2"/>
    <tableColumn id="22" xr3:uid="{B9E6ADF6-666B-44A0-A980-B5F19F120D96}" name="&lt;&lt;NOLA_Exchange&gt;&gt;_x000a_Booking" dataDxfId="109" dataCellStyle="Normal 2"/>
    <tableColumn id="23" xr3:uid="{F232377B-7815-43EC-A0EF-050D98C6001A}" name="FINAL Expanded JSON" dataDxfId="108" dataCellStyle="Normal 2"/>
    <tableColumn id="24" xr3:uid="{2F6C944B-805B-46E5-915A-1848861F4F16}" name="db" dataDxfId="107" dataCellStyle="Normal 2"/>
    <tableColumn id="25" xr3:uid="{59B42A87-8F7D-43C1-B169-A0A767C6FA0A}" name="table" dataDxfId="106" dataCellStyle="Normal 2"/>
    <tableColumn id="26" xr3:uid="{04398274-64C8-4E0E-9D71-B1AD519CD98D}" name="field description" dataDxfId="105" dataCellStyle="Normal 2"/>
    <tableColumn id="27" xr3:uid="{CBEA0AA0-93B4-45E2-85D0-EEB455DB0B00}" name="field name" dataDxfId="104" dataCellStyle="Normal 2"/>
    <tableColumn id="29" xr3:uid="{0B3FA1AB-8E1C-440F-8833-C34636BF5C96}" name="field id" dataDxfId="103" dataCellStyle="Normal 2">
      <calculatedColumnFormula>SUBSTITUTE(Table610119[[#This Row],[field name]],"field: ","")</calculatedColumnFormula>
    </tableColumn>
    <tableColumn id="30" xr3:uid="{2BB1FE7A-CBFD-4CD2-B043-2FE4AEBD439A}" name="python script" dataDxfId="102" dataCellStyle="Normal 2">
      <calculatedColumnFormula>SUBSTITUTE((CLEAN(TRIM(Table610119[[#This Row],[field id]]))&amp;": "&amp;CHAR(34)&amp;Table610119[[#This Row],[&lt;&lt;NOLA_Exchange&gt;&gt;
Booking]]&amp;CHAR(34)&amp;CHAR(44)),"/nola:BookingExchange","")</calculatedColumnFormula>
    </tableColumn>
    <tableColumn id="36" xr3:uid="{742CEDD6-C440-4F9A-B073-048F51ACE1F2}" name="Exists in mapping?" dataDxfId="101" dataCellStyle="Normal 2">
      <calculatedColumnFormula>_xlfn.XLOOKUP(Table610119[[#This Row],[&lt;&lt;NOLA_Exchange&gt;&gt;
Booking]],Table26[XPATHS],Table26['#],"DNE")</calculatedColumnFormula>
    </tableColumn>
    <tableColumn id="31" xr3:uid="{4614B22C-0770-4FDB-8530-F9ED6505E8A7}" name="id field" dataDxfId="100" dataCellStyle="Normal 2">
      <calculatedColumnFormula>CLEAN(TRIM(SUBSTITUTE(Table610119[[#This Row],[field id]],CHAR(34),"")))</calculatedColumnFormula>
    </tableColumn>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F47D6B7-5B49-4363-90D7-A4D01B5EA670}" name="Table26" displayName="Table26" ref="A1:D396" totalsRowShown="0" headerRowDxfId="99" dataDxfId="98">
  <autoFilter ref="A1:D396" xr:uid="{B1DA4FB0-7539-4172-A5F9-0CAD8757817A}"/>
  <tableColumns count="4">
    <tableColumn id="1" xr3:uid="{3E2B06D6-07C6-4E95-8769-2EDEEDA45620}" name="#" dataDxfId="97">
      <calculatedColumnFormula>ROW(A1)&amp;"book_xpath"</calculatedColumnFormula>
    </tableColumn>
    <tableColumn id="2" xr3:uid="{172F792C-C0A3-4EFF-8106-D0F61D5C2E54}" name="XPATHS" dataDxfId="96"/>
    <tableColumn id="3" xr3:uid="{2095AA74-0BB8-428F-AA6C-6D2207625E3A}" name="Python.map" dataDxfId="95">
      <calculatedColumnFormula>_xlfn.XLOOKUP(Table26[[#This Row],[XPATHS]],Table610119[&lt;&lt;NOLA_Exchange&gt;&gt;
Booking],Table610119[python script],"")</calculatedColumnFormula>
    </tableColumn>
    <tableColumn id="4" xr3:uid="{BE58B818-3A2D-48D4-8854-5F206B85E8EB}" name="EXISTS in mapping?" dataDxfId="94" dataCellStyle="Normal 2">
      <calculatedColumnFormula>_xlfn.XLOOKUP(Table26[[#This Row],[XPATHS]],Table610119[&lt;&lt;NOLA_Exchange&gt;&gt;
Booking],Table610119['#],"")</calculatedColumnFormula>
    </tableColumn>
  </tableColumns>
  <tableStyleInfo name="TableStyleMedium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494B6A3-A2C8-46C6-82F3-961E24616252}" name="Table8" displayName="Table8" ref="A1:E110" totalsRowShown="0" headerRowDxfId="93" dataDxfId="92">
  <autoFilter ref="A1:E110" xr:uid="{857FEFEA-CF74-40C5-A24B-2F6C96927308}"/>
  <tableColumns count="5">
    <tableColumn id="1" xr3:uid="{606AFA1D-0760-4E48-A929-536E9AC4759A}" name="# scripted" dataDxfId="91">
      <calculatedColumnFormula>ROW(A1)&amp;"book_python"</calculatedColumnFormula>
    </tableColumn>
    <tableColumn id="5" xr3:uid="{B7C78557-AF40-404D-B45A-273C73C46A85}" name="# xpath" dataDxfId="90"/>
    <tableColumn id="2" xr3:uid="{4E0768D6-D03B-4D9F-8107-1609157A27BE}" name="XPATHS" dataDxfId="89"/>
    <tableColumn id="4" xr3:uid="{45082E50-CAD9-4841-90B0-0313EF4B1AAC}" name="Python.map" dataDxfId="88"/>
    <tableColumn id="7" xr3:uid="{EE84415F-38EA-412C-8963-14209E8C1E53}" name="field ids" dataDxfId="87">
      <calculatedColumnFormula>_xlfn.XLOOKUP(Table8[[#This Row],[Python.map]],Table610119[python script],Table610119[field id],"1!DNE!1")</calculatedColumnFormula>
    </tableColumn>
  </tableColumns>
  <tableStyleInfo name="TableStyleMedium2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489E37-61A2-42FE-80D6-0EDBB1F9B3F0}" name="Table712" displayName="Table712" ref="A1:F261" totalsRowShown="0" headerRowDxfId="86" headerRowCellStyle="Normal 3" dataCellStyle="Normal 3">
  <autoFilter ref="A1:F261" xr:uid="{F422E67D-A4E2-4F81-83F6-B8B303901179}">
    <filterColumn colId="4">
      <filters>
        <filter val="0 NOT found"/>
      </filters>
    </filterColumn>
  </autoFilter>
  <tableColumns count="6">
    <tableColumn id="6" xr3:uid="{29D65D78-83F3-49B5-9D32-FB833526A6CF}" name="#" dataCellStyle="Normal 3"/>
    <tableColumn id="1" xr3:uid="{1F2F5432-4AC4-49F2-A404-5269A838BDBF}" name="Table Name " dataCellStyle="Normal 3"/>
    <tableColumn id="2" xr3:uid="{72C55E0D-0DCF-4304-AFFA-3BE3EA2A04BC}" name="Field description " dataCellStyle="Normal 3"/>
    <tableColumn id="3" xr3:uid="{6041D55C-BB07-4628-822D-54B0E0C3F116}" name="Field/Column Name" dataCellStyle="Normal 3"/>
    <tableColumn id="4" xr3:uid="{7B8BF54C-379E-4AE8-9236-73E6C03D4387}" name="Found in Release xml?" dataDxfId="85" dataCellStyle="Normal 3"/>
    <tableColumn id="5" xr3:uid="{22E25673-EA08-402F-9ED6-1A6A864CACDC}" name="NOTES" dataCellStyle="Normal 3"/>
  </tableColumns>
  <tableStyleInfo name="TableStyleMedium2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DF09AA-2BDF-4DA1-A385-B330CE88609B}" name="Table33" displayName="Table33" ref="A1:AF56" totalsRowShown="0" headerRowDxfId="84" dataDxfId="83" dataCellStyle="Normal 2">
  <autoFilter ref="A1:AF56" xr:uid="{67D7285F-4963-4F61-AC98-54D4210716BD}"/>
  <tableColumns count="32">
    <tableColumn id="24" xr3:uid="{DF15FBEC-AEE2-49E2-807D-474EE75A53B5}" name="#" dataDxfId="82" dataCellStyle="Normal 2">
      <calculatedColumnFormula>ROW(A1)&amp;"expanded_IMFLDR_sorted"</calculatedColumnFormula>
    </tableColumn>
    <tableColumn id="25" xr3:uid="{1F0AE0C1-DF8A-493D-AD03-BD97711F8BB8}" name="0" dataDxfId="81" dataCellStyle="Normal 2">
      <calculatedColumnFormula>IF(H1=H2,B1,B1+1)</calculatedColumnFormula>
    </tableColumn>
    <tableColumn id="26" xr3:uid="{CFFB2C9F-4AA3-4968-BDAF-20D8A2455D9A}" name="1" dataDxfId="80" dataCellStyle="Normal 2">
      <calculatedColumnFormula>IF(I1=I2,C1,C1+1)</calculatedColumnFormula>
    </tableColumn>
    <tableColumn id="27" xr3:uid="{FF6BFB79-474C-42F6-9783-90CC7967BFD5}" name="2" dataDxfId="79" dataCellStyle="Normal 2">
      <calculatedColumnFormula>IF(M1=M2,D1,D1+1)</calculatedColumnFormula>
    </tableColumn>
    <tableColumn id="28" xr3:uid="{CCCF42BA-85CD-49C4-AABF-42CCDFEA7088}" name="DELETE?" dataDxfId="78" dataCellStyle="Normal 2"/>
    <tableColumn id="1" xr3:uid="{12F16C47-1108-4C83-A860-36B455428AF4}" name="Property Type" dataDxfId="77" dataCellStyle="Normal 2"/>
    <tableColumn id="2" xr3:uid="{FA3F1BE6-0990-4609-9E0A-23293317BFED}" name="ID" dataDxfId="76" dataCellStyle="Normal 2"/>
    <tableColumn id="3" xr3:uid="{D54750B9-09F8-477A-92C1-E1F46E3D8E9F}" name="Class" dataDxfId="75" dataCellStyle="Normal 2"/>
    <tableColumn id="4" xr3:uid="{EBA5DA53-E8DD-4388-8AD4-D03E83104E95}" name="Attribute" dataDxfId="74" dataCellStyle="Normal 2"/>
    <tableColumn id="5" xr3:uid="{090651FF-7315-4E10-B5EA-8DB4F7D7A145}" name="Type" dataDxfId="73" dataCellStyle="Normal 2"/>
    <tableColumn id="6" xr3:uid="{8C54EB2D-FBBA-4E4E-8C92-40A352250226}" name="Description" dataDxfId="72" dataCellStyle="Normal 2"/>
    <tableColumn id="7" xr3:uid="{1EC355C6-7FA5-46B0-A918-13EA50141E81}" name="Multiplicity" dataDxfId="71" dataCellStyle="Normal 2"/>
    <tableColumn id="8" xr3:uid="{009DC7DA-7B66-435E-9BB8-8D53168233D4}" name="Repeat Values per attribute" dataDxfId="70" dataCellStyle="Normal 2"/>
    <tableColumn id="9" xr3:uid="{598F2108-0DE9-4290-8184-C21622A167DD}" name="Name" dataDxfId="69" dataCellStyle="Normal 2"/>
    <tableColumn id="10" xr3:uid="{963C066B-3277-4EDC-B306-CDBADDCBC336}" name="Expanded JSON Formatted" dataDxfId="68" dataCellStyle="Normal 2"/>
    <tableColumn id="11" xr3:uid="{37946D82-EE9C-41BA-9583-E87351310863}" name="Expanded JSON" dataDxfId="67" dataCellStyle="Normal 2"/>
    <tableColumn id="12" xr3:uid="{1FA0FBA9-7A6F-4151-BF12-604F688E3E0B}" name="&lt;&lt;JTMP_LegacySource&gt;&gt;_x000a_JSON_LegacySourceLocation" dataDxfId="66" dataCellStyle="Normal 2"/>
    <tableColumn id="13" xr3:uid="{8A047075-3FFE-4068-B3AE-75D37CA3AB71}" name="&lt;&lt;NOLA&gt;&gt;_x000a_NIEM Element" dataDxfId="65" dataCellStyle="Normal 2"/>
    <tableColumn id="14" xr3:uid="{83E2E9CA-503F-4037-835B-A4164EFD858F}" name="&lt;&lt;NOLA&gt;&gt;_x000a_NIEM Type" dataDxfId="64" dataCellStyle="Normal 2"/>
    <tableColumn id="15" xr3:uid="{483E9E20-801F-4179-A0C3-E666C0A19010}" name="&lt;&lt;NOLA&gt;&gt;_x000a_Parent Base Type" dataDxfId="63" dataCellStyle="Normal 2"/>
    <tableColumn id="16" xr3:uid="{A6B5920E-1E54-44A2-8789-1ED8FEEF2DED}" name="&lt;&lt;NOLA&gt;&gt;_x000a_Comments" dataDxfId="62" dataCellStyle="Normal 2"/>
    <tableColumn id="17" xr3:uid="{FEED646A-490E-4B56-9A3E-35A82B1D9BF8}" name="&lt;&lt;NOLA&gt;&gt;_x000a_CodeList" dataDxfId="61" dataCellStyle="Normal 2"/>
    <tableColumn id="18" xr3:uid="{A023F7D0-7D08-48B8-84AA-C4004ECC5AE1}" name="&lt;&lt;NOLA_Exchange&gt;&gt;_x000a_Booking" dataDxfId="60" dataCellStyle="Normal 2"/>
    <tableColumn id="19" xr3:uid="{9CDEDA77-C24B-4084-BD74-92412D20129B}" name="FINAL Expanded JSON" dataDxfId="59" dataCellStyle="Normal 2"/>
    <tableColumn id="20" xr3:uid="{FF3345DA-E62B-4703-9AD4-0BD0FE2DF7E5}" name="db" dataDxfId="58" dataCellStyle="Normal 2"/>
    <tableColumn id="21" xr3:uid="{343CCB74-9CE4-4079-95DE-D8C6BD9D0E1D}" name="table" dataDxfId="57" dataCellStyle="Normal 2"/>
    <tableColumn id="22" xr3:uid="{07D414BC-DAF0-45D9-AD8E-B5E1541642F2}" name="field description" dataDxfId="56" dataCellStyle="Normal 2"/>
    <tableColumn id="23" xr3:uid="{6DF123D4-D74D-4DAB-BA95-F0A4210B8D58}" name="field name" dataDxfId="55" dataCellStyle="Normal 2"/>
    <tableColumn id="29" xr3:uid="{C7DD1AFB-EF1B-42A0-B55C-C43D6461C85A}" name="field id" dataDxfId="54" dataCellStyle="Normal 2">
      <calculatedColumnFormula>SUBSTITUTE(Table33[[#This Row],[field name]],"field: ","")</calculatedColumnFormula>
    </tableColumn>
    <tableColumn id="30" xr3:uid="{93B3CF77-DD2E-48EE-931E-FE0F38858A0C}" name="python script" dataDxfId="53" dataCellStyle="Normal 2">
      <calculatedColumnFormula>SUBSTITUTE((CLEAN(TRIM(Table33[[#This Row],[field id]]))&amp;": "&amp;CHAR(34)&amp;Table33[[#This Row],[&lt;&lt;NOLA_Exchange&gt;&gt;
Booking]]&amp;CHAR(34)&amp;CHAR(44)),"/nola:BookingExchange","")</calculatedColumnFormula>
    </tableColumn>
    <tableColumn id="31" xr3:uid="{28A98D56-5CBE-446E-BC4D-06181256DC7D}" name="Exists in mapping?" dataDxfId="52" dataCellStyle="Normal 2">
      <calculatedColumnFormula>_xlfn.XLOOKUP(Table33[[#This Row],[&lt;&lt;NOLA_Exchange&gt;&gt;
Booking]],Table264[XPATHS],Table264['#],"DNE")</calculatedColumnFormula>
    </tableColumn>
    <tableColumn id="32" xr3:uid="{EE8BCE94-AA07-4643-BC42-47FFBEF621B5}" name="id field" dataDxfId="51" dataCellStyle="Normal 2">
      <calculatedColumnFormula>SUBSTITUTE(Table33[[#This Row],[field id]],CHAR(34),"")</calculatedColumnFormula>
    </tableColumn>
  </tableColumns>
  <tableStyleInfo name="TableStyleMedium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C3189E-580E-4FC7-BAF1-9B8CD32E4D55}" name="Table264" displayName="Table264" ref="A1:D394" totalsRowShown="0" headerRowDxfId="50" dataDxfId="49">
  <autoFilter ref="A1:D394" xr:uid="{B1DA4FB0-7539-4172-A5F9-0CAD8757817A}"/>
  <tableColumns count="4">
    <tableColumn id="1" xr3:uid="{90A88D44-9054-4193-ADEB-07CE24995083}" name="#" dataDxfId="48">
      <calculatedColumnFormula>ROW(A1)&amp;"rel_xpath"</calculatedColumnFormula>
    </tableColumn>
    <tableColumn id="2" xr3:uid="{D7599454-9810-4301-A13D-FF073C27BFD4}" name="XPATHS" dataDxfId="47"/>
    <tableColumn id="3" xr3:uid="{EEFEB2A1-7DA3-4538-B101-18A338F6178C}" name="Python.map" dataDxfId="46">
      <calculatedColumnFormula>_xlfn.XLOOKUP(Table264[[#This Row],[XPATHS]],Table33[&lt;&lt;NOLA_Exchange&gt;&gt;
Booking],Table33[python script],"")</calculatedColumnFormula>
    </tableColumn>
    <tableColumn id="4" xr3:uid="{3C6FE1DE-2390-4B03-9E05-6C0C9544CB10}" name="EXISTS in mapping?" dataDxfId="45" dataCellStyle="Normal 2">
      <calculatedColumnFormula>_xlfn.XLOOKUP(Table264[[#This Row],[XPATHS]],Table33[&lt;&lt;NOLA_Exchange&gt;&gt;
Booking],Table33['#],"")</calculatedColumnFormula>
    </tableColumn>
  </tableColumns>
  <tableStyleInfo name="TableStyleMedium2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85B78F-2693-416D-8322-DCC6139DA60C}" name="Table85" displayName="Table85" ref="A1:E56" totalsRowShown="0" headerRowDxfId="44" dataDxfId="43">
  <autoFilter ref="A1:E56" xr:uid="{857FEFEA-CF74-40C5-A24B-2F6C96927308}"/>
  <tableColumns count="5">
    <tableColumn id="1" xr3:uid="{1E4C6695-A971-409C-9EB0-32120F3B66AA}" name="# scripted" dataDxfId="42" dataCellStyle="Normal 2">
      <calculatedColumnFormula>ROW(A1)&amp;"rel_python"</calculatedColumnFormula>
    </tableColumn>
    <tableColumn id="5" xr3:uid="{7239FBD4-7F2F-478F-8DC4-54D5AD214F31}" name="# xpath" dataDxfId="41"/>
    <tableColumn id="2" xr3:uid="{7B606E0B-688C-4D09-8359-F6205F0D8E22}" name="XPATHS" dataDxfId="40"/>
    <tableColumn id="4" xr3:uid="{6C410AEE-DBB1-41D8-AFCE-2317691DDD64}" name="Python.map" dataDxfId="39">
      <calculatedColumnFormula>_xlfn.XLOOKUP(Table85[[#This Row],[XPATHS]],Table264[XPATHS],Table264[Python.map],"0 Xpath does not exist")</calculatedColumnFormula>
    </tableColumn>
    <tableColumn id="7" xr3:uid="{C61A33BA-4B3B-44A9-AC46-57D519CA4B03}" name="field ids" dataDxfId="38">
      <calculatedColumnFormula>_xlfn.XLOOKUP(Table85[[#This Row],[Python.map]],Table33[python script],Table33[field description],"1!DNE!1")</calculatedColumnFormula>
    </tableColumn>
  </tableColumns>
  <tableStyleInfo name="TableStyleMedium2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422E67D-A4E2-4F81-83F6-B8B303901179}" name="Table7" displayName="Table7" ref="A1:F124" totalsRowShown="0" headerRowDxfId="37" headerRowCellStyle="Normal 3" dataCellStyle="Normal 3">
  <autoFilter ref="A1:F124" xr:uid="{F422E67D-A4E2-4F81-83F6-B8B303901179}">
    <filterColumn colId="4">
      <filters>
        <filter val="0 NOT found"/>
      </filters>
    </filterColumn>
  </autoFilter>
  <tableColumns count="6">
    <tableColumn id="6" xr3:uid="{ED2E1B18-3931-46C0-A929-5C26A7BD2AAB}" name="#" dataCellStyle="Normal 3"/>
    <tableColumn id="1" xr3:uid="{44E5C2EE-18DB-4397-B661-EAE20E33A928}" name="Table Name " dataCellStyle="Normal 3"/>
    <tableColumn id="2" xr3:uid="{009DBB9C-77BC-4C03-BEED-2DFC20EBFDED}" name="Field description " dataCellStyle="Normal 3"/>
    <tableColumn id="3" xr3:uid="{62B61897-15EB-408A-ABF5-EA4FAB39F12E}" name="Field/Column Name" dataCellStyle="Normal 3"/>
    <tableColumn id="4" xr3:uid="{5AF3EDAC-E83D-4BA9-A18E-D3C5CC2727EB}" name="Found in Release xml?" dataDxfId="36" dataCellStyle="Normal 3"/>
    <tableColumn id="5" xr3:uid="{EC607F6B-36B9-4E1A-97EC-6FAE4FB58070}" name="NOTES" dataCellStyle="Normal 3"/>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E171" dT="2024-06-26T17:10:05.90" personId="{3105BA58-CF99-4546-A2EF-B6A3422FDDD8}" id="{8905BB3C-CCF8-4488-8703-746B36B543A6}">
    <text>IDSCNO &amp; IFSCNO not same so we keep both ws</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7.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1.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F03BC-8C70-42AB-AFED-6595EBE6F10B}">
  <sheetPr>
    <tabColor rgb="FF00B0F0"/>
  </sheetPr>
  <dimension ref="B1:C17"/>
  <sheetViews>
    <sheetView tabSelected="1" workbookViewId="0">
      <selection activeCell="C22" sqref="C22"/>
    </sheetView>
  </sheetViews>
  <sheetFormatPr defaultRowHeight="14.4" x14ac:dyDescent="0.3"/>
  <cols>
    <col min="2" max="2" width="24" bestFit="1" customWidth="1"/>
    <col min="3" max="3" width="85.6640625" bestFit="1" customWidth="1"/>
  </cols>
  <sheetData>
    <row r="1" spans="2:3" x14ac:dyDescent="0.3">
      <c r="B1" s="60" t="s">
        <v>1218</v>
      </c>
      <c r="C1" s="61"/>
    </row>
    <row r="2" spans="2:3" x14ac:dyDescent="0.3">
      <c r="B2" s="62" t="s">
        <v>1223</v>
      </c>
      <c r="C2" s="63"/>
    </row>
    <row r="3" spans="2:3" ht="15" thickBot="1" x14ac:dyDescent="0.35">
      <c r="B3" s="64"/>
      <c r="C3" s="65"/>
    </row>
    <row r="4" spans="2:3" ht="28.8" x14ac:dyDescent="0.3">
      <c r="B4" s="13" t="s">
        <v>1221</v>
      </c>
      <c r="C4" s="15" t="s">
        <v>1225</v>
      </c>
    </row>
    <row r="5" spans="2:3" ht="29.4" thickBot="1" x14ac:dyDescent="0.35">
      <c r="B5" s="14" t="s">
        <v>1222</v>
      </c>
      <c r="C5" s="12" t="s">
        <v>1224</v>
      </c>
    </row>
    <row r="6" spans="2:3" ht="15" thickBot="1" x14ac:dyDescent="0.35">
      <c r="B6" s="17" t="s">
        <v>1227</v>
      </c>
      <c r="C6" s="16" t="s">
        <v>1226</v>
      </c>
    </row>
    <row r="8" spans="2:3" x14ac:dyDescent="0.3">
      <c r="B8" t="s">
        <v>1216</v>
      </c>
      <c r="C8" t="s">
        <v>10</v>
      </c>
    </row>
    <row r="9" spans="2:3" x14ac:dyDescent="0.3">
      <c r="B9" s="70" t="s">
        <v>1217</v>
      </c>
      <c r="C9" s="69" t="s">
        <v>1219</v>
      </c>
    </row>
    <row r="10" spans="2:3" x14ac:dyDescent="0.3">
      <c r="B10" s="71" t="s">
        <v>4231</v>
      </c>
      <c r="C10" s="66" t="s">
        <v>1220</v>
      </c>
    </row>
    <row r="11" spans="2:3" x14ac:dyDescent="0.3">
      <c r="B11" s="72" t="s">
        <v>4232</v>
      </c>
      <c r="C11" s="67" t="s">
        <v>4242</v>
      </c>
    </row>
    <row r="12" spans="2:3" x14ac:dyDescent="0.3">
      <c r="B12" s="73" t="s">
        <v>4233</v>
      </c>
      <c r="C12" s="67" t="s">
        <v>4243</v>
      </c>
    </row>
    <row r="13" spans="2:3" x14ac:dyDescent="0.3">
      <c r="B13" s="74" t="s">
        <v>4234</v>
      </c>
      <c r="C13" s="68" t="s">
        <v>4241</v>
      </c>
    </row>
    <row r="14" spans="2:3" x14ac:dyDescent="0.3">
      <c r="B14" s="75" t="s">
        <v>4235</v>
      </c>
      <c r="C14" s="66" t="s">
        <v>4239</v>
      </c>
    </row>
    <row r="15" spans="2:3" x14ac:dyDescent="0.3">
      <c r="B15" s="76" t="s">
        <v>4236</v>
      </c>
      <c r="C15" s="67" t="s">
        <v>4242</v>
      </c>
    </row>
    <row r="16" spans="2:3" x14ac:dyDescent="0.3">
      <c r="B16" s="77" t="s">
        <v>4237</v>
      </c>
      <c r="C16" s="67" t="s">
        <v>4243</v>
      </c>
    </row>
    <row r="17" spans="2:3" x14ac:dyDescent="0.3">
      <c r="B17" s="78" t="s">
        <v>4238</v>
      </c>
      <c r="C17" s="68" t="s">
        <v>4240</v>
      </c>
    </row>
  </sheetData>
  <mergeCells count="2">
    <mergeCell ref="B1:C1"/>
    <mergeCell ref="B2:C3"/>
  </mergeCells>
  <hyperlinks>
    <hyperlink ref="B9" location="'Expanded_ROWS'!A1" display="Expanded_ROWS" xr:uid="{AFDB048D-2A96-45C1-9958-65CE70F517DD}"/>
    <hyperlink ref="B10" location="'Expanded_ROWS_IMARRD'!A1" display="Expanded_ROWS_IMARRD" xr:uid="{E84C2C52-827D-40A4-AD0F-7784B8B2057C}"/>
    <hyperlink ref="B11" location="'BookingXPATH'!A1" display="BookingXPATH" xr:uid="{5D33B8C5-C95C-4E11-B8E9-6773FA13180F}"/>
    <hyperlink ref="B12" location="'BookingPYTHON'!A1" display="BookingPYTHON" xr:uid="{E4227C99-468A-4033-AAE3-F2CE0D55BD92}"/>
    <hyperlink ref="B13" location="'IMARRD_Col'!A1" display="IMARRD_Col" xr:uid="{8F0F6CBE-2B2F-4262-A501-8C99C9B67807}"/>
    <hyperlink ref="B14" location="'Expanded_ROWS_IMFLDR'!A1" display="Expanded_ROWS_IMFLDR" xr:uid="{7DBF5CE5-8FF8-4ECF-977C-54833FC1F6D5}"/>
    <hyperlink ref="B15" location="'ReleaseXPATH'!A1" display="ReleaseXPATH" xr:uid="{3ADA3D5E-11CF-4D35-91FF-5343155AE72E}"/>
    <hyperlink ref="B16" location="'ReleasePYTHON'!A1" display="ReleasePYTHON" xr:uid="{F18E09D7-7447-48C1-A84F-CD39BC67088F}"/>
    <hyperlink ref="B17" location="'IMFLDR_Col'!A1" display="IMFLDR_Col" xr:uid="{5B014F35-C2EE-4AC4-BDD8-657CBC3B2C9E}"/>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A9033-4AE4-4CFC-9AA3-BD7AF6609D5B}">
  <sheetPr>
    <tabColor rgb="FFFFFF00"/>
  </sheetPr>
  <dimension ref="A1:W1944"/>
  <sheetViews>
    <sheetView workbookViewId="0"/>
  </sheetViews>
  <sheetFormatPr defaultRowHeight="14.4" x14ac:dyDescent="0.3"/>
  <cols>
    <col min="1" max="1" width="10.109375" customWidth="1"/>
    <col min="2" max="2" width="5.109375" bestFit="1" customWidth="1"/>
    <col min="4" max="4" width="11.33203125" customWidth="1"/>
    <col min="6" max="6" width="13.33203125" customWidth="1"/>
    <col min="7" max="7" width="6.6640625" customWidth="1"/>
    <col min="8" max="8" width="11.6640625" customWidth="1"/>
    <col min="10" max="10" width="26.5546875" customWidth="1"/>
    <col min="11" max="11" width="11.33203125" customWidth="1"/>
    <col min="18" max="18" width="30.88671875" customWidth="1"/>
    <col min="19" max="19" width="22.44140625" customWidth="1"/>
    <col min="22" max="22" width="17.6640625" customWidth="1"/>
    <col min="23" max="23" width="12.6640625" customWidth="1"/>
  </cols>
  <sheetData>
    <row r="1" spans="1:23" s="5" customFormat="1" ht="45.75" customHeight="1" x14ac:dyDescent="0.3">
      <c r="A1" s="1" t="s">
        <v>5</v>
      </c>
      <c r="B1" s="1" t="s">
        <v>6</v>
      </c>
      <c r="C1" s="1" t="s">
        <v>7</v>
      </c>
      <c r="D1" s="1" t="s">
        <v>8</v>
      </c>
      <c r="E1" s="1" t="s">
        <v>9</v>
      </c>
      <c r="F1" s="1" t="s">
        <v>10</v>
      </c>
      <c r="G1" s="1" t="s">
        <v>11</v>
      </c>
      <c r="H1" s="1" t="s">
        <v>12</v>
      </c>
      <c r="I1" s="1" t="s">
        <v>13</v>
      </c>
      <c r="J1" s="1" t="s">
        <v>14</v>
      </c>
      <c r="K1" s="1" t="s">
        <v>15</v>
      </c>
      <c r="L1" s="1" t="s">
        <v>16</v>
      </c>
      <c r="M1" s="1" t="s">
        <v>17</v>
      </c>
      <c r="N1" s="1" t="s">
        <v>18</v>
      </c>
      <c r="O1" s="1" t="s">
        <v>19</v>
      </c>
      <c r="P1" s="1" t="s">
        <v>21</v>
      </c>
      <c r="Q1" s="1" t="s">
        <v>22</v>
      </c>
      <c r="R1" s="18" t="s">
        <v>1228</v>
      </c>
      <c r="S1" s="19" t="s">
        <v>24</v>
      </c>
      <c r="T1" s="20" t="s">
        <v>25</v>
      </c>
      <c r="U1" s="20" t="s">
        <v>26</v>
      </c>
      <c r="V1" s="20" t="s">
        <v>27</v>
      </c>
      <c r="W1" s="20" t="s">
        <v>28</v>
      </c>
    </row>
    <row r="2" spans="1:23" ht="15" customHeight="1" x14ac:dyDescent="0.3">
      <c r="A2" t="s">
        <v>8</v>
      </c>
      <c r="B2">
        <v>330</v>
      </c>
      <c r="C2" t="s">
        <v>33</v>
      </c>
      <c r="D2" t="s">
        <v>33</v>
      </c>
      <c r="E2" t="s">
        <v>34</v>
      </c>
      <c r="F2" t="s">
        <v>35</v>
      </c>
      <c r="G2" t="s">
        <v>36</v>
      </c>
      <c r="H2" t="s">
        <v>37</v>
      </c>
      <c r="I2" t="s">
        <v>33</v>
      </c>
      <c r="J2" t="s">
        <v>38</v>
      </c>
      <c r="K2" t="s">
        <v>39</v>
      </c>
      <c r="L2" s="21" t="s">
        <v>40</v>
      </c>
      <c r="M2" t="s">
        <v>41</v>
      </c>
      <c r="N2" t="s">
        <v>42</v>
      </c>
      <c r="R2" t="s">
        <v>44</v>
      </c>
      <c r="S2" t="s">
        <v>38</v>
      </c>
      <c r="T2" t="s">
        <v>45</v>
      </c>
      <c r="U2" t="s">
        <v>46</v>
      </c>
      <c r="V2" t="s">
        <v>47</v>
      </c>
      <c r="W2" t="s">
        <v>48</v>
      </c>
    </row>
    <row r="3" spans="1:23" ht="15" customHeight="1" x14ac:dyDescent="0.3">
      <c r="A3" t="s">
        <v>8</v>
      </c>
      <c r="B3">
        <v>330</v>
      </c>
      <c r="C3" t="s">
        <v>33</v>
      </c>
      <c r="D3" t="s">
        <v>33</v>
      </c>
      <c r="E3" t="s">
        <v>34</v>
      </c>
      <c r="F3" t="s">
        <v>35</v>
      </c>
      <c r="G3" t="s">
        <v>36</v>
      </c>
      <c r="H3" t="s">
        <v>37</v>
      </c>
      <c r="I3" t="s">
        <v>33</v>
      </c>
      <c r="J3" t="s">
        <v>38</v>
      </c>
      <c r="K3" t="s">
        <v>39</v>
      </c>
      <c r="L3" s="21" t="s">
        <v>40</v>
      </c>
      <c r="M3" t="s">
        <v>41</v>
      </c>
      <c r="N3" t="s">
        <v>42</v>
      </c>
      <c r="R3" t="s">
        <v>50</v>
      </c>
      <c r="S3" t="s">
        <v>38</v>
      </c>
      <c r="T3" t="s">
        <v>45</v>
      </c>
      <c r="U3" t="s">
        <v>46</v>
      </c>
      <c r="V3" t="s">
        <v>47</v>
      </c>
      <c r="W3" t="s">
        <v>48</v>
      </c>
    </row>
    <row r="4" spans="1:23" ht="15" customHeight="1" x14ac:dyDescent="0.3">
      <c r="A4" t="s">
        <v>8</v>
      </c>
      <c r="B4">
        <v>330</v>
      </c>
      <c r="C4" t="s">
        <v>33</v>
      </c>
      <c r="D4" t="s">
        <v>33</v>
      </c>
      <c r="E4" t="s">
        <v>34</v>
      </c>
      <c r="F4" t="s">
        <v>35</v>
      </c>
      <c r="G4" t="s">
        <v>36</v>
      </c>
      <c r="H4" t="s">
        <v>37</v>
      </c>
      <c r="I4" t="s">
        <v>33</v>
      </c>
      <c r="J4" t="s">
        <v>38</v>
      </c>
      <c r="K4" t="s">
        <v>39</v>
      </c>
      <c r="L4" s="21" t="s">
        <v>40</v>
      </c>
      <c r="M4" t="s">
        <v>41</v>
      </c>
      <c r="N4" t="s">
        <v>42</v>
      </c>
      <c r="R4" t="s">
        <v>51</v>
      </c>
      <c r="S4" t="s">
        <v>38</v>
      </c>
      <c r="T4" t="s">
        <v>45</v>
      </c>
      <c r="U4" t="s">
        <v>46</v>
      </c>
      <c r="V4" t="s">
        <v>47</v>
      </c>
      <c r="W4" t="s">
        <v>48</v>
      </c>
    </row>
    <row r="5" spans="1:23" ht="15" customHeight="1" x14ac:dyDescent="0.3">
      <c r="A5" t="s">
        <v>8</v>
      </c>
      <c r="B5">
        <v>330</v>
      </c>
      <c r="C5" t="s">
        <v>33</v>
      </c>
      <c r="D5" t="s">
        <v>33</v>
      </c>
      <c r="E5" t="s">
        <v>34</v>
      </c>
      <c r="F5" t="s">
        <v>35</v>
      </c>
      <c r="G5" t="s">
        <v>36</v>
      </c>
      <c r="H5" t="s">
        <v>52</v>
      </c>
      <c r="I5" t="s">
        <v>33</v>
      </c>
      <c r="J5" t="s">
        <v>53</v>
      </c>
      <c r="K5" s="21" t="s">
        <v>54</v>
      </c>
      <c r="L5" s="21" t="s">
        <v>40</v>
      </c>
      <c r="M5" t="s">
        <v>41</v>
      </c>
      <c r="N5" t="s">
        <v>42</v>
      </c>
      <c r="R5" t="s">
        <v>44</v>
      </c>
      <c r="S5" t="s">
        <v>53</v>
      </c>
      <c r="T5" t="s">
        <v>45</v>
      </c>
      <c r="U5" t="s">
        <v>46</v>
      </c>
      <c r="V5" t="s">
        <v>55</v>
      </c>
      <c r="W5" t="s">
        <v>56</v>
      </c>
    </row>
    <row r="6" spans="1:23" ht="15" customHeight="1" x14ac:dyDescent="0.3">
      <c r="A6" t="s">
        <v>8</v>
      </c>
      <c r="B6">
        <v>330</v>
      </c>
      <c r="C6" t="s">
        <v>33</v>
      </c>
      <c r="D6" t="s">
        <v>33</v>
      </c>
      <c r="E6" t="s">
        <v>34</v>
      </c>
      <c r="F6" t="s">
        <v>35</v>
      </c>
      <c r="G6" t="s">
        <v>36</v>
      </c>
      <c r="H6" t="s">
        <v>52</v>
      </c>
      <c r="I6" t="s">
        <v>33</v>
      </c>
      <c r="J6" t="s">
        <v>53</v>
      </c>
      <c r="K6" s="21" t="s">
        <v>54</v>
      </c>
      <c r="L6" s="21" t="s">
        <v>40</v>
      </c>
      <c r="M6" t="s">
        <v>41</v>
      </c>
      <c r="N6" t="s">
        <v>42</v>
      </c>
      <c r="R6" t="s">
        <v>50</v>
      </c>
      <c r="S6" t="s">
        <v>53</v>
      </c>
      <c r="T6" t="s">
        <v>45</v>
      </c>
      <c r="U6" t="s">
        <v>46</v>
      </c>
      <c r="V6" t="s">
        <v>55</v>
      </c>
      <c r="W6" t="s">
        <v>56</v>
      </c>
    </row>
    <row r="7" spans="1:23" ht="15" customHeight="1" x14ac:dyDescent="0.3">
      <c r="A7" t="s">
        <v>8</v>
      </c>
      <c r="B7">
        <v>330</v>
      </c>
      <c r="C7" t="s">
        <v>33</v>
      </c>
      <c r="D7" t="s">
        <v>33</v>
      </c>
      <c r="E7" t="s">
        <v>34</v>
      </c>
      <c r="F7" t="s">
        <v>35</v>
      </c>
      <c r="G7" t="s">
        <v>36</v>
      </c>
      <c r="H7" t="s">
        <v>52</v>
      </c>
      <c r="I7" t="s">
        <v>33</v>
      </c>
      <c r="J7" t="s">
        <v>53</v>
      </c>
      <c r="K7" s="21" t="s">
        <v>54</v>
      </c>
      <c r="L7" s="21" t="s">
        <v>40</v>
      </c>
      <c r="M7" t="s">
        <v>41</v>
      </c>
      <c r="N7" t="s">
        <v>42</v>
      </c>
      <c r="R7" t="s">
        <v>51</v>
      </c>
      <c r="S7" t="s">
        <v>53</v>
      </c>
      <c r="T7" t="s">
        <v>45</v>
      </c>
      <c r="U7" t="s">
        <v>46</v>
      </c>
      <c r="V7" t="s">
        <v>55</v>
      </c>
      <c r="W7" t="s">
        <v>56</v>
      </c>
    </row>
    <row r="8" spans="1:23" ht="15" customHeight="1" x14ac:dyDescent="0.3">
      <c r="A8" t="s">
        <v>8</v>
      </c>
      <c r="B8">
        <v>330</v>
      </c>
      <c r="C8" t="s">
        <v>33</v>
      </c>
      <c r="D8" t="s">
        <v>33</v>
      </c>
      <c r="E8" t="s">
        <v>34</v>
      </c>
      <c r="F8" t="s">
        <v>35</v>
      </c>
      <c r="G8" t="s">
        <v>36</v>
      </c>
      <c r="H8" t="s">
        <v>57</v>
      </c>
      <c r="I8" t="s">
        <v>33</v>
      </c>
      <c r="J8" t="s">
        <v>58</v>
      </c>
      <c r="K8" s="21" t="s">
        <v>59</v>
      </c>
      <c r="L8" s="21" t="s">
        <v>40</v>
      </c>
      <c r="M8" t="s">
        <v>41</v>
      </c>
      <c r="N8" t="s">
        <v>42</v>
      </c>
      <c r="R8" t="s">
        <v>44</v>
      </c>
      <c r="S8" t="s">
        <v>58</v>
      </c>
      <c r="T8" t="s">
        <v>45</v>
      </c>
      <c r="U8" t="s">
        <v>46</v>
      </c>
      <c r="V8" t="s">
        <v>60</v>
      </c>
      <c r="W8" t="s">
        <v>61</v>
      </c>
    </row>
    <row r="9" spans="1:23" ht="15" customHeight="1" x14ac:dyDescent="0.3">
      <c r="A9" t="s">
        <v>8</v>
      </c>
      <c r="B9">
        <v>330</v>
      </c>
      <c r="C9" t="s">
        <v>33</v>
      </c>
      <c r="D9" t="s">
        <v>33</v>
      </c>
      <c r="E9" t="s">
        <v>34</v>
      </c>
      <c r="F9" t="s">
        <v>35</v>
      </c>
      <c r="G9" t="s">
        <v>36</v>
      </c>
      <c r="H9" t="s">
        <v>57</v>
      </c>
      <c r="I9" t="s">
        <v>33</v>
      </c>
      <c r="J9" t="s">
        <v>58</v>
      </c>
      <c r="K9" s="21" t="s">
        <v>59</v>
      </c>
      <c r="L9" s="21" t="s">
        <v>40</v>
      </c>
      <c r="M9" t="s">
        <v>41</v>
      </c>
      <c r="N9" t="s">
        <v>42</v>
      </c>
      <c r="R9" t="s">
        <v>50</v>
      </c>
      <c r="S9" t="s">
        <v>58</v>
      </c>
      <c r="T9" t="s">
        <v>45</v>
      </c>
      <c r="U9" t="s">
        <v>46</v>
      </c>
      <c r="V9" t="s">
        <v>60</v>
      </c>
      <c r="W9" t="s">
        <v>61</v>
      </c>
    </row>
    <row r="10" spans="1:23" ht="15" customHeight="1" x14ac:dyDescent="0.3">
      <c r="A10" t="s">
        <v>8</v>
      </c>
      <c r="B10">
        <v>330</v>
      </c>
      <c r="C10" t="s">
        <v>33</v>
      </c>
      <c r="D10" t="s">
        <v>33</v>
      </c>
      <c r="E10" t="s">
        <v>34</v>
      </c>
      <c r="F10" t="s">
        <v>35</v>
      </c>
      <c r="G10" t="s">
        <v>36</v>
      </c>
      <c r="H10" t="s">
        <v>57</v>
      </c>
      <c r="I10" t="s">
        <v>33</v>
      </c>
      <c r="J10" t="s">
        <v>58</v>
      </c>
      <c r="K10" s="21" t="s">
        <v>59</v>
      </c>
      <c r="L10" s="21" t="s">
        <v>40</v>
      </c>
      <c r="M10" t="s">
        <v>41</v>
      </c>
      <c r="N10" t="s">
        <v>42</v>
      </c>
      <c r="R10" t="s">
        <v>51</v>
      </c>
      <c r="S10" t="s">
        <v>58</v>
      </c>
      <c r="T10" t="s">
        <v>45</v>
      </c>
      <c r="U10" t="s">
        <v>46</v>
      </c>
      <c r="V10" t="s">
        <v>60</v>
      </c>
      <c r="W10" t="s">
        <v>61</v>
      </c>
    </row>
    <row r="11" spans="1:23" ht="15" customHeight="1" x14ac:dyDescent="0.3">
      <c r="A11" t="s">
        <v>8</v>
      </c>
      <c r="B11">
        <v>330</v>
      </c>
      <c r="C11" t="s">
        <v>33</v>
      </c>
      <c r="D11" t="s">
        <v>33</v>
      </c>
      <c r="E11" t="s">
        <v>34</v>
      </c>
      <c r="F11" t="s">
        <v>35</v>
      </c>
      <c r="G11" t="s">
        <v>36</v>
      </c>
      <c r="H11" t="s">
        <v>49</v>
      </c>
      <c r="I11" t="s">
        <v>33</v>
      </c>
      <c r="J11" t="s">
        <v>62</v>
      </c>
      <c r="K11" s="21" t="s">
        <v>63</v>
      </c>
      <c r="L11" s="21" t="s">
        <v>40</v>
      </c>
      <c r="M11" t="s">
        <v>41</v>
      </c>
      <c r="N11" t="s">
        <v>42</v>
      </c>
      <c r="R11" t="s">
        <v>44</v>
      </c>
      <c r="S11" t="s">
        <v>62</v>
      </c>
      <c r="T11" t="s">
        <v>45</v>
      </c>
      <c r="U11" t="s">
        <v>46</v>
      </c>
      <c r="V11" t="s">
        <v>64</v>
      </c>
      <c r="W11" t="s">
        <v>65</v>
      </c>
    </row>
    <row r="12" spans="1:23" ht="15" customHeight="1" x14ac:dyDescent="0.3">
      <c r="A12" t="s">
        <v>8</v>
      </c>
      <c r="B12">
        <v>330</v>
      </c>
      <c r="C12" t="s">
        <v>33</v>
      </c>
      <c r="D12" t="s">
        <v>33</v>
      </c>
      <c r="E12" t="s">
        <v>34</v>
      </c>
      <c r="F12" t="s">
        <v>35</v>
      </c>
      <c r="G12" t="s">
        <v>36</v>
      </c>
      <c r="H12" t="s">
        <v>49</v>
      </c>
      <c r="I12" t="s">
        <v>33</v>
      </c>
      <c r="J12" t="s">
        <v>62</v>
      </c>
      <c r="K12" s="21" t="s">
        <v>63</v>
      </c>
      <c r="L12" s="21" t="s">
        <v>40</v>
      </c>
      <c r="M12" t="s">
        <v>41</v>
      </c>
      <c r="N12" t="s">
        <v>42</v>
      </c>
      <c r="R12" t="s">
        <v>50</v>
      </c>
      <c r="S12" t="s">
        <v>62</v>
      </c>
      <c r="T12" t="s">
        <v>45</v>
      </c>
      <c r="U12" t="s">
        <v>46</v>
      </c>
      <c r="V12" t="s">
        <v>64</v>
      </c>
      <c r="W12" t="s">
        <v>65</v>
      </c>
    </row>
    <row r="13" spans="1:23" ht="15" customHeight="1" x14ac:dyDescent="0.3">
      <c r="A13" t="s">
        <v>8</v>
      </c>
      <c r="B13">
        <v>330</v>
      </c>
      <c r="C13" t="s">
        <v>33</v>
      </c>
      <c r="D13" t="s">
        <v>33</v>
      </c>
      <c r="E13" t="s">
        <v>34</v>
      </c>
      <c r="F13" t="s">
        <v>35</v>
      </c>
      <c r="G13" t="s">
        <v>36</v>
      </c>
      <c r="H13" t="s">
        <v>49</v>
      </c>
      <c r="I13" t="s">
        <v>33</v>
      </c>
      <c r="J13" t="s">
        <v>62</v>
      </c>
      <c r="K13" s="21" t="s">
        <v>63</v>
      </c>
      <c r="L13" s="21" t="s">
        <v>40</v>
      </c>
      <c r="M13" t="s">
        <v>41</v>
      </c>
      <c r="N13" t="s">
        <v>42</v>
      </c>
      <c r="R13" t="s">
        <v>51</v>
      </c>
      <c r="S13" t="s">
        <v>62</v>
      </c>
      <c r="T13" t="s">
        <v>45</v>
      </c>
      <c r="U13" t="s">
        <v>46</v>
      </c>
      <c r="V13" t="s">
        <v>64</v>
      </c>
      <c r="W13" t="s">
        <v>65</v>
      </c>
    </row>
    <row r="14" spans="1:23" ht="15" customHeight="1" x14ac:dyDescent="0.3">
      <c r="A14" t="s">
        <v>8</v>
      </c>
      <c r="B14">
        <v>330</v>
      </c>
      <c r="C14" t="s">
        <v>33</v>
      </c>
      <c r="D14" t="s">
        <v>33</v>
      </c>
      <c r="E14" t="s">
        <v>34</v>
      </c>
      <c r="F14" t="s">
        <v>35</v>
      </c>
      <c r="G14" t="s">
        <v>36</v>
      </c>
      <c r="H14" t="s">
        <v>87</v>
      </c>
      <c r="I14" t="s">
        <v>33</v>
      </c>
      <c r="J14" t="s">
        <v>1229</v>
      </c>
      <c r="K14" s="21" t="s">
        <v>1230</v>
      </c>
      <c r="L14" s="21" t="s">
        <v>40</v>
      </c>
      <c r="M14" t="s">
        <v>41</v>
      </c>
      <c r="N14" t="s">
        <v>42</v>
      </c>
      <c r="R14" t="s">
        <v>44</v>
      </c>
      <c r="S14" t="s">
        <v>1229</v>
      </c>
      <c r="T14" t="s">
        <v>1231</v>
      </c>
      <c r="U14" t="s">
        <v>1232</v>
      </c>
      <c r="V14" t="s">
        <v>1233</v>
      </c>
      <c r="W14" t="s">
        <v>1234</v>
      </c>
    </row>
    <row r="15" spans="1:23" ht="15" customHeight="1" x14ac:dyDescent="0.3">
      <c r="A15" t="s">
        <v>8</v>
      </c>
      <c r="B15">
        <v>330</v>
      </c>
      <c r="C15" t="s">
        <v>33</v>
      </c>
      <c r="D15" t="s">
        <v>33</v>
      </c>
      <c r="E15" t="s">
        <v>34</v>
      </c>
      <c r="F15" t="s">
        <v>35</v>
      </c>
      <c r="G15" t="s">
        <v>36</v>
      </c>
      <c r="H15" t="s">
        <v>87</v>
      </c>
      <c r="I15" t="s">
        <v>33</v>
      </c>
      <c r="J15" t="s">
        <v>1229</v>
      </c>
      <c r="K15" s="21" t="s">
        <v>1230</v>
      </c>
      <c r="L15" s="21" t="s">
        <v>40</v>
      </c>
      <c r="M15" t="s">
        <v>41</v>
      </c>
      <c r="N15" t="s">
        <v>42</v>
      </c>
      <c r="R15" t="s">
        <v>50</v>
      </c>
      <c r="S15" t="s">
        <v>1229</v>
      </c>
      <c r="T15" t="s">
        <v>1231</v>
      </c>
      <c r="U15" t="s">
        <v>1232</v>
      </c>
      <c r="V15" t="s">
        <v>1233</v>
      </c>
      <c r="W15" t="s">
        <v>1234</v>
      </c>
    </row>
    <row r="16" spans="1:23" ht="15" customHeight="1" x14ac:dyDescent="0.3">
      <c r="A16" t="s">
        <v>8</v>
      </c>
      <c r="B16">
        <v>330</v>
      </c>
      <c r="C16" t="s">
        <v>33</v>
      </c>
      <c r="D16" t="s">
        <v>33</v>
      </c>
      <c r="E16" t="s">
        <v>34</v>
      </c>
      <c r="F16" t="s">
        <v>35</v>
      </c>
      <c r="G16" t="s">
        <v>36</v>
      </c>
      <c r="H16" t="s">
        <v>87</v>
      </c>
      <c r="I16" t="s">
        <v>33</v>
      </c>
      <c r="J16" t="s">
        <v>1229</v>
      </c>
      <c r="K16" s="21" t="s">
        <v>1230</v>
      </c>
      <c r="L16" s="21" t="s">
        <v>40</v>
      </c>
      <c r="M16" t="s">
        <v>41</v>
      </c>
      <c r="N16" t="s">
        <v>42</v>
      </c>
      <c r="R16" t="s">
        <v>51</v>
      </c>
      <c r="S16" t="s">
        <v>1229</v>
      </c>
      <c r="T16" t="s">
        <v>1231</v>
      </c>
      <c r="U16" t="s">
        <v>1232</v>
      </c>
      <c r="V16" t="s">
        <v>1233</v>
      </c>
      <c r="W16" t="s">
        <v>1234</v>
      </c>
    </row>
    <row r="17" spans="1:23" ht="15" customHeight="1" x14ac:dyDescent="0.3">
      <c r="A17" t="s">
        <v>8</v>
      </c>
      <c r="B17">
        <v>330</v>
      </c>
      <c r="C17" t="s">
        <v>33</v>
      </c>
      <c r="D17" t="s">
        <v>33</v>
      </c>
      <c r="E17" t="s">
        <v>34</v>
      </c>
      <c r="F17" t="s">
        <v>35</v>
      </c>
      <c r="G17" t="s">
        <v>36</v>
      </c>
      <c r="H17" t="s">
        <v>421</v>
      </c>
      <c r="I17" t="s">
        <v>33</v>
      </c>
      <c r="J17" t="s">
        <v>1235</v>
      </c>
      <c r="K17" s="21" t="s">
        <v>1236</v>
      </c>
      <c r="L17" s="21" t="s">
        <v>40</v>
      </c>
      <c r="M17" t="s">
        <v>41</v>
      </c>
      <c r="N17" t="s">
        <v>42</v>
      </c>
      <c r="R17" t="s">
        <v>44</v>
      </c>
      <c r="S17" t="s">
        <v>1235</v>
      </c>
      <c r="T17" t="s">
        <v>1231</v>
      </c>
      <c r="U17" t="s">
        <v>1232</v>
      </c>
      <c r="V17" t="s">
        <v>1237</v>
      </c>
      <c r="W17" t="s">
        <v>1238</v>
      </c>
    </row>
    <row r="18" spans="1:23" ht="15" customHeight="1" x14ac:dyDescent="0.3">
      <c r="A18" t="s">
        <v>8</v>
      </c>
      <c r="B18">
        <v>330</v>
      </c>
      <c r="C18" t="s">
        <v>33</v>
      </c>
      <c r="D18" t="s">
        <v>33</v>
      </c>
      <c r="E18" t="s">
        <v>34</v>
      </c>
      <c r="F18" t="s">
        <v>35</v>
      </c>
      <c r="G18" t="s">
        <v>36</v>
      </c>
      <c r="H18" t="s">
        <v>421</v>
      </c>
      <c r="I18" t="s">
        <v>33</v>
      </c>
      <c r="J18" t="s">
        <v>1235</v>
      </c>
      <c r="K18" s="21" t="s">
        <v>1236</v>
      </c>
      <c r="L18" s="21" t="s">
        <v>40</v>
      </c>
      <c r="M18" t="s">
        <v>41</v>
      </c>
      <c r="N18" t="s">
        <v>42</v>
      </c>
      <c r="R18" t="s">
        <v>50</v>
      </c>
      <c r="S18" t="s">
        <v>1235</v>
      </c>
      <c r="T18" t="s">
        <v>1231</v>
      </c>
      <c r="U18" t="s">
        <v>1232</v>
      </c>
      <c r="V18" t="s">
        <v>1237</v>
      </c>
      <c r="W18" t="s">
        <v>1238</v>
      </c>
    </row>
    <row r="19" spans="1:23" ht="15" customHeight="1" x14ac:dyDescent="0.3">
      <c r="A19" t="s">
        <v>8</v>
      </c>
      <c r="B19">
        <v>330</v>
      </c>
      <c r="C19" t="s">
        <v>33</v>
      </c>
      <c r="D19" t="s">
        <v>33</v>
      </c>
      <c r="E19" t="s">
        <v>34</v>
      </c>
      <c r="F19" t="s">
        <v>35</v>
      </c>
      <c r="G19" t="s">
        <v>36</v>
      </c>
      <c r="H19" t="s">
        <v>421</v>
      </c>
      <c r="I19" t="s">
        <v>33</v>
      </c>
      <c r="J19" t="s">
        <v>1235</v>
      </c>
      <c r="K19" s="21" t="s">
        <v>1236</v>
      </c>
      <c r="L19" s="21" t="s">
        <v>40</v>
      </c>
      <c r="M19" t="s">
        <v>41</v>
      </c>
      <c r="N19" t="s">
        <v>42</v>
      </c>
      <c r="R19" t="s">
        <v>51</v>
      </c>
      <c r="S19" t="s">
        <v>1235</v>
      </c>
      <c r="T19" t="s">
        <v>1231</v>
      </c>
      <c r="U19" t="s">
        <v>1232</v>
      </c>
      <c r="V19" t="s">
        <v>1237</v>
      </c>
      <c r="W19" t="s">
        <v>1238</v>
      </c>
    </row>
    <row r="20" spans="1:23" ht="15" customHeight="1" x14ac:dyDescent="0.3">
      <c r="A20" t="s">
        <v>8</v>
      </c>
      <c r="B20">
        <v>330</v>
      </c>
      <c r="C20" t="s">
        <v>33</v>
      </c>
      <c r="D20" t="s">
        <v>33</v>
      </c>
      <c r="E20" t="s">
        <v>34</v>
      </c>
      <c r="F20" t="s">
        <v>35</v>
      </c>
      <c r="G20" t="s">
        <v>36</v>
      </c>
      <c r="H20" t="s">
        <v>182</v>
      </c>
      <c r="I20" t="s">
        <v>33</v>
      </c>
      <c r="J20" t="s">
        <v>1239</v>
      </c>
      <c r="K20" s="21" t="s">
        <v>1240</v>
      </c>
      <c r="L20" s="21" t="s">
        <v>40</v>
      </c>
      <c r="M20" t="s">
        <v>41</v>
      </c>
      <c r="N20" t="s">
        <v>42</v>
      </c>
      <c r="R20" t="s">
        <v>44</v>
      </c>
      <c r="S20" t="s">
        <v>1239</v>
      </c>
      <c r="T20" t="s">
        <v>1231</v>
      </c>
      <c r="U20" t="s">
        <v>1241</v>
      </c>
      <c r="V20" t="s">
        <v>1237</v>
      </c>
      <c r="W20" t="s">
        <v>1238</v>
      </c>
    </row>
    <row r="21" spans="1:23" ht="15" customHeight="1" x14ac:dyDescent="0.3">
      <c r="A21" t="s">
        <v>8</v>
      </c>
      <c r="B21">
        <v>330</v>
      </c>
      <c r="C21" t="s">
        <v>33</v>
      </c>
      <c r="D21" t="s">
        <v>33</v>
      </c>
      <c r="E21" t="s">
        <v>34</v>
      </c>
      <c r="F21" t="s">
        <v>35</v>
      </c>
      <c r="G21" t="s">
        <v>36</v>
      </c>
      <c r="H21" t="s">
        <v>182</v>
      </c>
      <c r="I21" t="s">
        <v>33</v>
      </c>
      <c r="J21" t="s">
        <v>1239</v>
      </c>
      <c r="K21" s="21" t="s">
        <v>1240</v>
      </c>
      <c r="L21" s="21" t="s">
        <v>40</v>
      </c>
      <c r="M21" t="s">
        <v>41</v>
      </c>
      <c r="N21" t="s">
        <v>42</v>
      </c>
      <c r="R21" t="s">
        <v>50</v>
      </c>
      <c r="S21" t="s">
        <v>1239</v>
      </c>
      <c r="T21" t="s">
        <v>1231</v>
      </c>
      <c r="U21" t="s">
        <v>1241</v>
      </c>
      <c r="V21" t="s">
        <v>1237</v>
      </c>
      <c r="W21" t="s">
        <v>1238</v>
      </c>
    </row>
    <row r="22" spans="1:23" ht="15" customHeight="1" x14ac:dyDescent="0.3">
      <c r="A22" t="s">
        <v>8</v>
      </c>
      <c r="B22">
        <v>330</v>
      </c>
      <c r="C22" t="s">
        <v>33</v>
      </c>
      <c r="D22" t="s">
        <v>33</v>
      </c>
      <c r="E22" t="s">
        <v>34</v>
      </c>
      <c r="F22" t="s">
        <v>35</v>
      </c>
      <c r="G22" t="s">
        <v>36</v>
      </c>
      <c r="H22" t="s">
        <v>182</v>
      </c>
      <c r="I22" t="s">
        <v>33</v>
      </c>
      <c r="J22" t="s">
        <v>1239</v>
      </c>
      <c r="K22" s="21" t="s">
        <v>1240</v>
      </c>
      <c r="L22" s="21" t="s">
        <v>40</v>
      </c>
      <c r="M22" t="s">
        <v>41</v>
      </c>
      <c r="N22" t="s">
        <v>42</v>
      </c>
      <c r="R22" t="s">
        <v>51</v>
      </c>
      <c r="S22" t="s">
        <v>1239</v>
      </c>
      <c r="T22" t="s">
        <v>1231</v>
      </c>
      <c r="U22" t="s">
        <v>1241</v>
      </c>
      <c r="V22" t="s">
        <v>1237</v>
      </c>
      <c r="W22" t="s">
        <v>1238</v>
      </c>
    </row>
    <row r="23" spans="1:23" ht="15" customHeight="1" x14ac:dyDescent="0.3">
      <c r="A23" t="s">
        <v>8</v>
      </c>
      <c r="B23">
        <v>330</v>
      </c>
      <c r="C23" t="s">
        <v>33</v>
      </c>
      <c r="D23" t="s">
        <v>33</v>
      </c>
      <c r="E23" t="s">
        <v>34</v>
      </c>
      <c r="F23" t="s">
        <v>35</v>
      </c>
      <c r="G23" t="s">
        <v>36</v>
      </c>
      <c r="H23" t="s">
        <v>1242</v>
      </c>
      <c r="I23" t="s">
        <v>33</v>
      </c>
      <c r="J23" t="s">
        <v>1243</v>
      </c>
      <c r="K23" s="21" t="s">
        <v>1244</v>
      </c>
      <c r="L23" s="21" t="s">
        <v>40</v>
      </c>
      <c r="M23" t="s">
        <v>41</v>
      </c>
      <c r="N23" t="s">
        <v>42</v>
      </c>
      <c r="R23" t="s">
        <v>44</v>
      </c>
      <c r="S23" t="s">
        <v>1243</v>
      </c>
      <c r="T23" t="s">
        <v>1231</v>
      </c>
      <c r="U23" t="s">
        <v>1241</v>
      </c>
      <c r="V23" t="s">
        <v>1245</v>
      </c>
      <c r="W23" t="s">
        <v>1246</v>
      </c>
    </row>
    <row r="24" spans="1:23" ht="15" customHeight="1" x14ac:dyDescent="0.3">
      <c r="A24" t="s">
        <v>8</v>
      </c>
      <c r="B24">
        <v>330</v>
      </c>
      <c r="C24" t="s">
        <v>33</v>
      </c>
      <c r="D24" t="s">
        <v>33</v>
      </c>
      <c r="E24" t="s">
        <v>34</v>
      </c>
      <c r="F24" t="s">
        <v>35</v>
      </c>
      <c r="G24" t="s">
        <v>36</v>
      </c>
      <c r="H24" t="s">
        <v>1242</v>
      </c>
      <c r="I24" t="s">
        <v>33</v>
      </c>
      <c r="J24" t="s">
        <v>1243</v>
      </c>
      <c r="K24" s="21" t="s">
        <v>1244</v>
      </c>
      <c r="L24" s="21" t="s">
        <v>40</v>
      </c>
      <c r="M24" t="s">
        <v>41</v>
      </c>
      <c r="N24" t="s">
        <v>42</v>
      </c>
      <c r="R24" t="s">
        <v>50</v>
      </c>
      <c r="S24" t="s">
        <v>1243</v>
      </c>
      <c r="T24" t="s">
        <v>1231</v>
      </c>
      <c r="U24" t="s">
        <v>1241</v>
      </c>
      <c r="V24" t="s">
        <v>1245</v>
      </c>
      <c r="W24" t="s">
        <v>1246</v>
      </c>
    </row>
    <row r="25" spans="1:23" ht="15" customHeight="1" x14ac:dyDescent="0.3">
      <c r="A25" t="s">
        <v>8</v>
      </c>
      <c r="B25">
        <v>330</v>
      </c>
      <c r="C25" t="s">
        <v>33</v>
      </c>
      <c r="D25" t="s">
        <v>33</v>
      </c>
      <c r="E25" t="s">
        <v>34</v>
      </c>
      <c r="F25" t="s">
        <v>35</v>
      </c>
      <c r="G25" t="s">
        <v>36</v>
      </c>
      <c r="H25" t="s">
        <v>1242</v>
      </c>
      <c r="I25" t="s">
        <v>33</v>
      </c>
      <c r="J25" t="s">
        <v>1243</v>
      </c>
      <c r="K25" s="21" t="s">
        <v>1244</v>
      </c>
      <c r="L25" s="21" t="s">
        <v>40</v>
      </c>
      <c r="M25" t="s">
        <v>41</v>
      </c>
      <c r="N25" t="s">
        <v>42</v>
      </c>
      <c r="R25" t="s">
        <v>51</v>
      </c>
      <c r="S25" t="s">
        <v>1243</v>
      </c>
      <c r="T25" t="s">
        <v>1231</v>
      </c>
      <c r="U25" t="s">
        <v>1241</v>
      </c>
      <c r="V25" t="s">
        <v>1245</v>
      </c>
      <c r="W25" t="s">
        <v>1246</v>
      </c>
    </row>
    <row r="26" spans="1:23" ht="15" customHeight="1" x14ac:dyDescent="0.3">
      <c r="A26" t="s">
        <v>8</v>
      </c>
      <c r="B26">
        <v>330</v>
      </c>
      <c r="C26" t="s">
        <v>33</v>
      </c>
      <c r="D26" t="s">
        <v>33</v>
      </c>
      <c r="E26" t="s">
        <v>34</v>
      </c>
      <c r="F26" t="s">
        <v>35</v>
      </c>
      <c r="G26" t="s">
        <v>36</v>
      </c>
      <c r="H26" t="s">
        <v>425</v>
      </c>
      <c r="I26" t="s">
        <v>33</v>
      </c>
      <c r="J26" t="s">
        <v>1247</v>
      </c>
      <c r="K26" s="21" t="s">
        <v>1248</v>
      </c>
      <c r="L26" s="21" t="s">
        <v>40</v>
      </c>
      <c r="M26" t="s">
        <v>41</v>
      </c>
      <c r="N26" t="s">
        <v>42</v>
      </c>
      <c r="R26" t="s">
        <v>44</v>
      </c>
      <c r="S26" t="s">
        <v>1247</v>
      </c>
      <c r="T26" t="s">
        <v>1249</v>
      </c>
      <c r="U26" t="s">
        <v>1250</v>
      </c>
      <c r="V26" t="s">
        <v>1237</v>
      </c>
      <c r="W26" t="s">
        <v>1238</v>
      </c>
    </row>
    <row r="27" spans="1:23" ht="15" customHeight="1" x14ac:dyDescent="0.3">
      <c r="A27" t="s">
        <v>8</v>
      </c>
      <c r="B27">
        <v>330</v>
      </c>
      <c r="C27" t="s">
        <v>33</v>
      </c>
      <c r="D27" t="s">
        <v>33</v>
      </c>
      <c r="E27" t="s">
        <v>34</v>
      </c>
      <c r="F27" t="s">
        <v>35</v>
      </c>
      <c r="G27" t="s">
        <v>36</v>
      </c>
      <c r="H27" t="s">
        <v>425</v>
      </c>
      <c r="I27" t="s">
        <v>33</v>
      </c>
      <c r="J27" t="s">
        <v>1247</v>
      </c>
      <c r="K27" s="21" t="s">
        <v>1248</v>
      </c>
      <c r="L27" s="21" t="s">
        <v>40</v>
      </c>
      <c r="M27" t="s">
        <v>41</v>
      </c>
      <c r="N27" t="s">
        <v>42</v>
      </c>
      <c r="R27" t="s">
        <v>50</v>
      </c>
      <c r="S27" t="s">
        <v>1247</v>
      </c>
      <c r="T27" t="s">
        <v>1249</v>
      </c>
      <c r="U27" t="s">
        <v>1250</v>
      </c>
      <c r="V27" t="s">
        <v>1237</v>
      </c>
      <c r="W27" t="s">
        <v>1238</v>
      </c>
    </row>
    <row r="28" spans="1:23" ht="15" customHeight="1" x14ac:dyDescent="0.3">
      <c r="A28" t="s">
        <v>8</v>
      </c>
      <c r="B28">
        <v>330</v>
      </c>
      <c r="C28" t="s">
        <v>33</v>
      </c>
      <c r="D28" t="s">
        <v>33</v>
      </c>
      <c r="E28" t="s">
        <v>34</v>
      </c>
      <c r="F28" t="s">
        <v>35</v>
      </c>
      <c r="G28" t="s">
        <v>36</v>
      </c>
      <c r="H28" t="s">
        <v>425</v>
      </c>
      <c r="I28" t="s">
        <v>33</v>
      </c>
      <c r="J28" t="s">
        <v>1247</v>
      </c>
      <c r="K28" s="21" t="s">
        <v>1248</v>
      </c>
      <c r="L28" s="21" t="s">
        <v>40</v>
      </c>
      <c r="M28" t="s">
        <v>41</v>
      </c>
      <c r="N28" t="s">
        <v>42</v>
      </c>
      <c r="R28" t="s">
        <v>51</v>
      </c>
      <c r="S28" t="s">
        <v>1247</v>
      </c>
      <c r="T28" t="s">
        <v>1249</v>
      </c>
      <c r="U28" t="s">
        <v>1250</v>
      </c>
      <c r="V28" t="s">
        <v>1237</v>
      </c>
      <c r="W28" t="s">
        <v>1238</v>
      </c>
    </row>
    <row r="29" spans="1:23" ht="15" customHeight="1" x14ac:dyDescent="0.3">
      <c r="A29" t="s">
        <v>8</v>
      </c>
      <c r="B29">
        <v>330</v>
      </c>
      <c r="C29" t="s">
        <v>33</v>
      </c>
      <c r="D29" t="s">
        <v>33</v>
      </c>
      <c r="E29" t="s">
        <v>34</v>
      </c>
      <c r="F29" t="s">
        <v>35</v>
      </c>
      <c r="G29" t="s">
        <v>36</v>
      </c>
      <c r="H29" t="s">
        <v>996</v>
      </c>
      <c r="I29" t="s">
        <v>33</v>
      </c>
      <c r="J29" t="s">
        <v>1251</v>
      </c>
      <c r="K29" s="21" t="s">
        <v>1252</v>
      </c>
      <c r="L29" s="21" t="s">
        <v>40</v>
      </c>
      <c r="M29" t="s">
        <v>41</v>
      </c>
      <c r="N29" t="s">
        <v>42</v>
      </c>
      <c r="R29" t="s">
        <v>44</v>
      </c>
      <c r="S29" t="s">
        <v>1251</v>
      </c>
      <c r="T29" t="s">
        <v>1249</v>
      </c>
      <c r="U29" t="s">
        <v>1250</v>
      </c>
      <c r="V29" t="s">
        <v>1253</v>
      </c>
      <c r="W29" t="s">
        <v>1254</v>
      </c>
    </row>
    <row r="30" spans="1:23" ht="15" customHeight="1" x14ac:dyDescent="0.3">
      <c r="A30" t="s">
        <v>8</v>
      </c>
      <c r="B30">
        <v>330</v>
      </c>
      <c r="C30" t="s">
        <v>33</v>
      </c>
      <c r="D30" t="s">
        <v>33</v>
      </c>
      <c r="E30" t="s">
        <v>34</v>
      </c>
      <c r="F30" t="s">
        <v>35</v>
      </c>
      <c r="G30" t="s">
        <v>36</v>
      </c>
      <c r="H30" t="s">
        <v>996</v>
      </c>
      <c r="I30" t="s">
        <v>33</v>
      </c>
      <c r="J30" t="s">
        <v>1251</v>
      </c>
      <c r="K30" s="21" t="s">
        <v>1252</v>
      </c>
      <c r="L30" s="21" t="s">
        <v>40</v>
      </c>
      <c r="M30" t="s">
        <v>41</v>
      </c>
      <c r="N30" t="s">
        <v>42</v>
      </c>
      <c r="R30" t="s">
        <v>50</v>
      </c>
      <c r="S30" t="s">
        <v>1251</v>
      </c>
      <c r="T30" t="s">
        <v>1249</v>
      </c>
      <c r="U30" t="s">
        <v>1250</v>
      </c>
      <c r="V30" t="s">
        <v>1253</v>
      </c>
      <c r="W30" t="s">
        <v>1254</v>
      </c>
    </row>
    <row r="31" spans="1:23" ht="15" customHeight="1" x14ac:dyDescent="0.3">
      <c r="A31" t="s">
        <v>8</v>
      </c>
      <c r="B31">
        <v>330</v>
      </c>
      <c r="C31" t="s">
        <v>33</v>
      </c>
      <c r="D31" t="s">
        <v>33</v>
      </c>
      <c r="E31" t="s">
        <v>34</v>
      </c>
      <c r="F31" t="s">
        <v>35</v>
      </c>
      <c r="G31" t="s">
        <v>36</v>
      </c>
      <c r="H31" t="s">
        <v>996</v>
      </c>
      <c r="I31" t="s">
        <v>33</v>
      </c>
      <c r="J31" t="s">
        <v>1251</v>
      </c>
      <c r="K31" s="21" t="s">
        <v>1252</v>
      </c>
      <c r="L31" s="21" t="s">
        <v>40</v>
      </c>
      <c r="M31" t="s">
        <v>41</v>
      </c>
      <c r="N31" t="s">
        <v>42</v>
      </c>
      <c r="R31" t="s">
        <v>51</v>
      </c>
      <c r="S31" t="s">
        <v>1251</v>
      </c>
      <c r="T31" t="s">
        <v>1249</v>
      </c>
      <c r="U31" t="s">
        <v>1250</v>
      </c>
      <c r="V31" t="s">
        <v>1253</v>
      </c>
      <c r="W31" t="s">
        <v>1254</v>
      </c>
    </row>
    <row r="32" spans="1:23" ht="15" customHeight="1" x14ac:dyDescent="0.3">
      <c r="A32" t="s">
        <v>8</v>
      </c>
      <c r="B32">
        <v>334</v>
      </c>
      <c r="C32" t="s">
        <v>33</v>
      </c>
      <c r="D32" t="s">
        <v>66</v>
      </c>
      <c r="E32" t="s">
        <v>34</v>
      </c>
      <c r="F32" t="s">
        <v>67</v>
      </c>
      <c r="G32" t="s">
        <v>36</v>
      </c>
      <c r="H32" t="s">
        <v>37</v>
      </c>
      <c r="I32" t="s">
        <v>66</v>
      </c>
      <c r="J32" t="s">
        <v>68</v>
      </c>
      <c r="K32" t="s">
        <v>69</v>
      </c>
      <c r="L32" s="21" t="s">
        <v>70</v>
      </c>
      <c r="M32" t="s">
        <v>71</v>
      </c>
      <c r="N32" t="s">
        <v>72</v>
      </c>
      <c r="R32" t="s">
        <v>74</v>
      </c>
      <c r="S32" t="s">
        <v>68</v>
      </c>
      <c r="T32" t="s">
        <v>45</v>
      </c>
      <c r="U32" t="s">
        <v>46</v>
      </c>
      <c r="V32" t="s">
        <v>75</v>
      </c>
      <c r="W32" t="s">
        <v>76</v>
      </c>
    </row>
    <row r="33" spans="1:23" ht="15" customHeight="1" x14ac:dyDescent="0.3">
      <c r="A33" t="s">
        <v>8</v>
      </c>
      <c r="B33">
        <v>334</v>
      </c>
      <c r="C33" t="s">
        <v>33</v>
      </c>
      <c r="D33" t="s">
        <v>66</v>
      </c>
      <c r="E33" t="s">
        <v>34</v>
      </c>
      <c r="F33" t="s">
        <v>67</v>
      </c>
      <c r="G33" t="s">
        <v>36</v>
      </c>
      <c r="H33" t="s">
        <v>37</v>
      </c>
      <c r="I33" t="s">
        <v>66</v>
      </c>
      <c r="J33" t="s">
        <v>68</v>
      </c>
      <c r="K33" t="s">
        <v>69</v>
      </c>
      <c r="L33" s="21" t="s">
        <v>70</v>
      </c>
      <c r="M33" t="s">
        <v>71</v>
      </c>
      <c r="N33" t="s">
        <v>72</v>
      </c>
      <c r="R33" t="s">
        <v>77</v>
      </c>
      <c r="S33" t="s">
        <v>68</v>
      </c>
      <c r="T33" t="s">
        <v>45</v>
      </c>
      <c r="U33" t="s">
        <v>46</v>
      </c>
      <c r="V33" t="s">
        <v>75</v>
      </c>
      <c r="W33" t="s">
        <v>76</v>
      </c>
    </row>
    <row r="34" spans="1:23" ht="15" customHeight="1" x14ac:dyDescent="0.3">
      <c r="A34" t="s">
        <v>8</v>
      </c>
      <c r="B34">
        <v>334</v>
      </c>
      <c r="C34" t="s">
        <v>33</v>
      </c>
      <c r="D34" t="s">
        <v>66</v>
      </c>
      <c r="E34" t="s">
        <v>34</v>
      </c>
      <c r="F34" t="s">
        <v>67</v>
      </c>
      <c r="G34" t="s">
        <v>36</v>
      </c>
      <c r="H34" t="s">
        <v>37</v>
      </c>
      <c r="I34" t="s">
        <v>66</v>
      </c>
      <c r="J34" t="s">
        <v>68</v>
      </c>
      <c r="K34" t="s">
        <v>69</v>
      </c>
      <c r="L34" s="21" t="s">
        <v>70</v>
      </c>
      <c r="M34" t="s">
        <v>71</v>
      </c>
      <c r="N34" t="s">
        <v>72</v>
      </c>
      <c r="R34" t="s">
        <v>78</v>
      </c>
      <c r="S34" t="s">
        <v>68</v>
      </c>
      <c r="T34" t="s">
        <v>45</v>
      </c>
      <c r="U34" t="s">
        <v>46</v>
      </c>
      <c r="V34" t="s">
        <v>75</v>
      </c>
      <c r="W34" t="s">
        <v>76</v>
      </c>
    </row>
    <row r="35" spans="1:23" ht="15" customHeight="1" x14ac:dyDescent="0.3">
      <c r="A35" t="s">
        <v>8</v>
      </c>
      <c r="B35">
        <v>334</v>
      </c>
      <c r="C35" t="s">
        <v>33</v>
      </c>
      <c r="D35" t="s">
        <v>66</v>
      </c>
      <c r="E35" t="s">
        <v>34</v>
      </c>
      <c r="F35" t="s">
        <v>67</v>
      </c>
      <c r="G35" t="s">
        <v>36</v>
      </c>
      <c r="H35" t="s">
        <v>52</v>
      </c>
      <c r="I35" t="s">
        <v>66</v>
      </c>
      <c r="J35" t="s">
        <v>79</v>
      </c>
      <c r="K35" s="21" t="s">
        <v>80</v>
      </c>
      <c r="L35" s="21" t="s">
        <v>70</v>
      </c>
      <c r="M35" t="s">
        <v>71</v>
      </c>
      <c r="N35" t="s">
        <v>72</v>
      </c>
      <c r="R35" t="s">
        <v>74</v>
      </c>
      <c r="S35" t="s">
        <v>79</v>
      </c>
      <c r="T35" t="s">
        <v>45</v>
      </c>
      <c r="U35" t="s">
        <v>46</v>
      </c>
      <c r="V35" t="s">
        <v>81</v>
      </c>
      <c r="W35" t="s">
        <v>82</v>
      </c>
    </row>
    <row r="36" spans="1:23" ht="15" customHeight="1" x14ac:dyDescent="0.3">
      <c r="A36" t="s">
        <v>8</v>
      </c>
      <c r="B36">
        <v>334</v>
      </c>
      <c r="C36" t="s">
        <v>33</v>
      </c>
      <c r="D36" t="s">
        <v>66</v>
      </c>
      <c r="E36" t="s">
        <v>34</v>
      </c>
      <c r="F36" t="s">
        <v>67</v>
      </c>
      <c r="G36" t="s">
        <v>36</v>
      </c>
      <c r="H36" t="s">
        <v>52</v>
      </c>
      <c r="I36" t="s">
        <v>66</v>
      </c>
      <c r="J36" t="s">
        <v>79</v>
      </c>
      <c r="K36" s="21" t="s">
        <v>80</v>
      </c>
      <c r="L36" s="21" t="s">
        <v>70</v>
      </c>
      <c r="M36" t="s">
        <v>71</v>
      </c>
      <c r="N36" t="s">
        <v>72</v>
      </c>
      <c r="R36" t="s">
        <v>77</v>
      </c>
      <c r="S36" t="s">
        <v>79</v>
      </c>
      <c r="T36" t="s">
        <v>45</v>
      </c>
      <c r="U36" t="s">
        <v>46</v>
      </c>
      <c r="V36" t="s">
        <v>81</v>
      </c>
      <c r="W36" t="s">
        <v>82</v>
      </c>
    </row>
    <row r="37" spans="1:23" ht="15" customHeight="1" x14ac:dyDescent="0.3">
      <c r="A37" t="s">
        <v>8</v>
      </c>
      <c r="B37">
        <v>334</v>
      </c>
      <c r="C37" t="s">
        <v>33</v>
      </c>
      <c r="D37" t="s">
        <v>66</v>
      </c>
      <c r="E37" t="s">
        <v>34</v>
      </c>
      <c r="F37" t="s">
        <v>67</v>
      </c>
      <c r="G37" t="s">
        <v>36</v>
      </c>
      <c r="H37" t="s">
        <v>52</v>
      </c>
      <c r="I37" t="s">
        <v>66</v>
      </c>
      <c r="J37" t="s">
        <v>79</v>
      </c>
      <c r="K37" s="21" t="s">
        <v>80</v>
      </c>
      <c r="L37" s="21" t="s">
        <v>70</v>
      </c>
      <c r="M37" t="s">
        <v>71</v>
      </c>
      <c r="N37" t="s">
        <v>72</v>
      </c>
      <c r="R37" t="s">
        <v>78</v>
      </c>
      <c r="S37" t="s">
        <v>79</v>
      </c>
      <c r="T37" t="s">
        <v>45</v>
      </c>
      <c r="U37" t="s">
        <v>46</v>
      </c>
      <c r="V37" t="s">
        <v>81</v>
      </c>
      <c r="W37" t="s">
        <v>82</v>
      </c>
    </row>
    <row r="38" spans="1:23" ht="15" customHeight="1" x14ac:dyDescent="0.3">
      <c r="A38" t="s">
        <v>8</v>
      </c>
      <c r="B38">
        <v>334</v>
      </c>
      <c r="C38" t="s">
        <v>33</v>
      </c>
      <c r="D38" t="s">
        <v>66</v>
      </c>
      <c r="E38" t="s">
        <v>34</v>
      </c>
      <c r="F38" t="s">
        <v>67</v>
      </c>
      <c r="G38" t="s">
        <v>36</v>
      </c>
      <c r="H38" t="s">
        <v>57</v>
      </c>
      <c r="I38" t="s">
        <v>66</v>
      </c>
      <c r="J38" t="s">
        <v>83</v>
      </c>
      <c r="K38" s="21" t="s">
        <v>84</v>
      </c>
      <c r="L38" s="21" t="s">
        <v>70</v>
      </c>
      <c r="M38" t="s">
        <v>71</v>
      </c>
      <c r="N38" t="s">
        <v>72</v>
      </c>
      <c r="R38" t="s">
        <v>74</v>
      </c>
      <c r="S38" t="s">
        <v>83</v>
      </c>
      <c r="T38" t="s">
        <v>45</v>
      </c>
      <c r="U38" t="s">
        <v>46</v>
      </c>
      <c r="V38" t="s">
        <v>85</v>
      </c>
      <c r="W38" t="s">
        <v>86</v>
      </c>
    </row>
    <row r="39" spans="1:23" ht="15" customHeight="1" x14ac:dyDescent="0.3">
      <c r="A39" t="s">
        <v>8</v>
      </c>
      <c r="B39">
        <v>334</v>
      </c>
      <c r="C39" t="s">
        <v>33</v>
      </c>
      <c r="D39" t="s">
        <v>66</v>
      </c>
      <c r="E39" t="s">
        <v>34</v>
      </c>
      <c r="F39" t="s">
        <v>67</v>
      </c>
      <c r="G39" t="s">
        <v>36</v>
      </c>
      <c r="H39" t="s">
        <v>57</v>
      </c>
      <c r="I39" t="s">
        <v>66</v>
      </c>
      <c r="J39" t="s">
        <v>83</v>
      </c>
      <c r="K39" s="21" t="s">
        <v>84</v>
      </c>
      <c r="L39" s="21" t="s">
        <v>70</v>
      </c>
      <c r="M39" t="s">
        <v>71</v>
      </c>
      <c r="N39" t="s">
        <v>72</v>
      </c>
      <c r="R39" t="s">
        <v>77</v>
      </c>
      <c r="S39" t="s">
        <v>83</v>
      </c>
      <c r="T39" t="s">
        <v>45</v>
      </c>
      <c r="U39" t="s">
        <v>46</v>
      </c>
      <c r="V39" t="s">
        <v>85</v>
      </c>
      <c r="W39" t="s">
        <v>86</v>
      </c>
    </row>
    <row r="40" spans="1:23" ht="15" customHeight="1" x14ac:dyDescent="0.3">
      <c r="A40" t="s">
        <v>8</v>
      </c>
      <c r="B40">
        <v>334</v>
      </c>
      <c r="C40" t="s">
        <v>33</v>
      </c>
      <c r="D40" t="s">
        <v>66</v>
      </c>
      <c r="E40" t="s">
        <v>34</v>
      </c>
      <c r="F40" t="s">
        <v>67</v>
      </c>
      <c r="G40" t="s">
        <v>36</v>
      </c>
      <c r="H40" t="s">
        <v>57</v>
      </c>
      <c r="I40" t="s">
        <v>66</v>
      </c>
      <c r="J40" t="s">
        <v>83</v>
      </c>
      <c r="K40" s="21" t="s">
        <v>84</v>
      </c>
      <c r="L40" s="21" t="s">
        <v>70</v>
      </c>
      <c r="M40" t="s">
        <v>71</v>
      </c>
      <c r="N40" t="s">
        <v>72</v>
      </c>
      <c r="R40" t="s">
        <v>78</v>
      </c>
      <c r="S40" t="s">
        <v>83</v>
      </c>
      <c r="T40" t="s">
        <v>45</v>
      </c>
      <c r="U40" t="s">
        <v>46</v>
      </c>
      <c r="V40" t="s">
        <v>85</v>
      </c>
      <c r="W40" t="s">
        <v>86</v>
      </c>
    </row>
    <row r="41" spans="1:23" ht="15" customHeight="1" x14ac:dyDescent="0.3">
      <c r="A41" t="s">
        <v>8</v>
      </c>
      <c r="B41">
        <v>334</v>
      </c>
      <c r="C41" t="s">
        <v>33</v>
      </c>
      <c r="D41" t="s">
        <v>66</v>
      </c>
      <c r="E41" t="s">
        <v>34</v>
      </c>
      <c r="F41" t="s">
        <v>67</v>
      </c>
      <c r="G41" t="s">
        <v>36</v>
      </c>
      <c r="H41" t="s">
        <v>49</v>
      </c>
      <c r="I41" t="s">
        <v>66</v>
      </c>
      <c r="J41" t="s">
        <v>1255</v>
      </c>
      <c r="K41" s="21" t="s">
        <v>1256</v>
      </c>
      <c r="L41" s="21" t="s">
        <v>70</v>
      </c>
      <c r="M41" t="s">
        <v>71</v>
      </c>
      <c r="N41" t="s">
        <v>72</v>
      </c>
      <c r="R41" t="s">
        <v>74</v>
      </c>
      <c r="S41" t="s">
        <v>1255</v>
      </c>
      <c r="T41" t="s">
        <v>45</v>
      </c>
      <c r="U41" t="s">
        <v>1257</v>
      </c>
      <c r="V41" t="s">
        <v>91</v>
      </c>
      <c r="W41" t="s">
        <v>1258</v>
      </c>
    </row>
    <row r="42" spans="1:23" ht="15" customHeight="1" x14ac:dyDescent="0.3">
      <c r="A42" t="s">
        <v>8</v>
      </c>
      <c r="B42">
        <v>334</v>
      </c>
      <c r="C42" t="s">
        <v>33</v>
      </c>
      <c r="D42" t="s">
        <v>66</v>
      </c>
      <c r="E42" t="s">
        <v>34</v>
      </c>
      <c r="F42" t="s">
        <v>67</v>
      </c>
      <c r="G42" t="s">
        <v>36</v>
      </c>
      <c r="H42" t="s">
        <v>49</v>
      </c>
      <c r="I42" t="s">
        <v>66</v>
      </c>
      <c r="J42" t="s">
        <v>1255</v>
      </c>
      <c r="K42" s="21" t="s">
        <v>1256</v>
      </c>
      <c r="L42" s="21" t="s">
        <v>70</v>
      </c>
      <c r="M42" t="s">
        <v>71</v>
      </c>
      <c r="N42" t="s">
        <v>72</v>
      </c>
      <c r="R42" t="s">
        <v>77</v>
      </c>
      <c r="S42" t="s">
        <v>1255</v>
      </c>
      <c r="T42" t="s">
        <v>45</v>
      </c>
      <c r="U42" t="s">
        <v>1257</v>
      </c>
      <c r="V42" t="s">
        <v>91</v>
      </c>
      <c r="W42" t="s">
        <v>1258</v>
      </c>
    </row>
    <row r="43" spans="1:23" ht="15" customHeight="1" x14ac:dyDescent="0.3">
      <c r="A43" t="s">
        <v>8</v>
      </c>
      <c r="B43">
        <v>334</v>
      </c>
      <c r="C43" t="s">
        <v>33</v>
      </c>
      <c r="D43" t="s">
        <v>66</v>
      </c>
      <c r="E43" t="s">
        <v>34</v>
      </c>
      <c r="F43" t="s">
        <v>67</v>
      </c>
      <c r="G43" t="s">
        <v>36</v>
      </c>
      <c r="H43" t="s">
        <v>49</v>
      </c>
      <c r="I43" t="s">
        <v>66</v>
      </c>
      <c r="J43" t="s">
        <v>1255</v>
      </c>
      <c r="K43" s="21" t="s">
        <v>1256</v>
      </c>
      <c r="L43" s="21" t="s">
        <v>70</v>
      </c>
      <c r="M43" t="s">
        <v>71</v>
      </c>
      <c r="N43" t="s">
        <v>72</v>
      </c>
      <c r="R43" t="s">
        <v>78</v>
      </c>
      <c r="S43" t="s">
        <v>1255</v>
      </c>
      <c r="T43" t="s">
        <v>45</v>
      </c>
      <c r="U43" t="s">
        <v>1257</v>
      </c>
      <c r="V43" t="s">
        <v>91</v>
      </c>
      <c r="W43" t="s">
        <v>1258</v>
      </c>
    </row>
    <row r="44" spans="1:23" ht="15" customHeight="1" x14ac:dyDescent="0.3">
      <c r="A44" t="s">
        <v>8</v>
      </c>
      <c r="B44">
        <v>334</v>
      </c>
      <c r="C44" t="s">
        <v>33</v>
      </c>
      <c r="D44" t="s">
        <v>66</v>
      </c>
      <c r="E44" t="s">
        <v>34</v>
      </c>
      <c r="F44" t="s">
        <v>67</v>
      </c>
      <c r="G44" t="s">
        <v>36</v>
      </c>
      <c r="H44" t="s">
        <v>87</v>
      </c>
      <c r="I44" t="s">
        <v>66</v>
      </c>
      <c r="J44" t="s">
        <v>88</v>
      </c>
      <c r="K44" s="21" t="s">
        <v>89</v>
      </c>
      <c r="L44" s="21" t="s">
        <v>70</v>
      </c>
      <c r="M44" t="s">
        <v>71</v>
      </c>
      <c r="N44" t="s">
        <v>72</v>
      </c>
      <c r="R44" t="s">
        <v>74</v>
      </c>
      <c r="S44" t="s">
        <v>88</v>
      </c>
      <c r="T44" t="s">
        <v>45</v>
      </c>
      <c r="U44" t="s">
        <v>90</v>
      </c>
      <c r="V44" t="s">
        <v>91</v>
      </c>
      <c r="W44" t="s">
        <v>92</v>
      </c>
    </row>
    <row r="45" spans="1:23" ht="15" customHeight="1" x14ac:dyDescent="0.3">
      <c r="A45" t="s">
        <v>8</v>
      </c>
      <c r="B45">
        <v>334</v>
      </c>
      <c r="C45" t="s">
        <v>33</v>
      </c>
      <c r="D45" t="s">
        <v>66</v>
      </c>
      <c r="E45" t="s">
        <v>34</v>
      </c>
      <c r="F45" t="s">
        <v>67</v>
      </c>
      <c r="G45" t="s">
        <v>36</v>
      </c>
      <c r="H45" t="s">
        <v>87</v>
      </c>
      <c r="I45" t="s">
        <v>66</v>
      </c>
      <c r="J45" t="s">
        <v>88</v>
      </c>
      <c r="K45" s="21" t="s">
        <v>89</v>
      </c>
      <c r="L45" s="21" t="s">
        <v>70</v>
      </c>
      <c r="M45" t="s">
        <v>71</v>
      </c>
      <c r="N45" t="s">
        <v>72</v>
      </c>
      <c r="R45" t="s">
        <v>77</v>
      </c>
      <c r="S45" t="s">
        <v>88</v>
      </c>
      <c r="T45" t="s">
        <v>45</v>
      </c>
      <c r="U45" t="s">
        <v>90</v>
      </c>
      <c r="V45" t="s">
        <v>91</v>
      </c>
      <c r="W45" t="s">
        <v>92</v>
      </c>
    </row>
    <row r="46" spans="1:23" ht="15" customHeight="1" x14ac:dyDescent="0.3">
      <c r="A46" t="s">
        <v>8</v>
      </c>
      <c r="B46">
        <v>334</v>
      </c>
      <c r="C46" t="s">
        <v>33</v>
      </c>
      <c r="D46" t="s">
        <v>66</v>
      </c>
      <c r="E46" t="s">
        <v>34</v>
      </c>
      <c r="F46" t="s">
        <v>67</v>
      </c>
      <c r="G46" t="s">
        <v>36</v>
      </c>
      <c r="H46" t="s">
        <v>87</v>
      </c>
      <c r="I46" t="s">
        <v>66</v>
      </c>
      <c r="J46" t="s">
        <v>88</v>
      </c>
      <c r="K46" s="21" t="s">
        <v>89</v>
      </c>
      <c r="L46" s="21" t="s">
        <v>70</v>
      </c>
      <c r="M46" t="s">
        <v>71</v>
      </c>
      <c r="N46" t="s">
        <v>72</v>
      </c>
      <c r="R46" t="s">
        <v>78</v>
      </c>
      <c r="S46" t="s">
        <v>88</v>
      </c>
      <c r="T46" t="s">
        <v>45</v>
      </c>
      <c r="U46" t="s">
        <v>90</v>
      </c>
      <c r="V46" t="s">
        <v>91</v>
      </c>
      <c r="W46" t="s">
        <v>92</v>
      </c>
    </row>
    <row r="47" spans="1:23" ht="15" customHeight="1" x14ac:dyDescent="0.3">
      <c r="A47" t="s">
        <v>8</v>
      </c>
      <c r="B47">
        <v>334</v>
      </c>
      <c r="C47" t="s">
        <v>33</v>
      </c>
      <c r="D47" t="s">
        <v>66</v>
      </c>
      <c r="E47" t="s">
        <v>34</v>
      </c>
      <c r="F47" t="s">
        <v>67</v>
      </c>
      <c r="G47" t="s">
        <v>36</v>
      </c>
      <c r="H47" t="s">
        <v>421</v>
      </c>
      <c r="I47" t="s">
        <v>66</v>
      </c>
      <c r="J47" t="s">
        <v>1259</v>
      </c>
      <c r="K47" s="21" t="s">
        <v>1260</v>
      </c>
      <c r="L47" s="21" t="s">
        <v>70</v>
      </c>
      <c r="M47" t="s">
        <v>71</v>
      </c>
      <c r="N47" t="s">
        <v>72</v>
      </c>
      <c r="R47" t="s">
        <v>74</v>
      </c>
      <c r="S47" t="s">
        <v>1259</v>
      </c>
      <c r="T47" t="s">
        <v>1231</v>
      </c>
      <c r="U47" t="s">
        <v>1232</v>
      </c>
      <c r="V47" t="s">
        <v>91</v>
      </c>
      <c r="W47" t="s">
        <v>1261</v>
      </c>
    </row>
    <row r="48" spans="1:23" ht="15" customHeight="1" x14ac:dyDescent="0.3">
      <c r="A48" t="s">
        <v>8</v>
      </c>
      <c r="B48">
        <v>334</v>
      </c>
      <c r="C48" t="s">
        <v>33</v>
      </c>
      <c r="D48" t="s">
        <v>66</v>
      </c>
      <c r="E48" t="s">
        <v>34</v>
      </c>
      <c r="F48" t="s">
        <v>67</v>
      </c>
      <c r="G48" t="s">
        <v>36</v>
      </c>
      <c r="H48" t="s">
        <v>421</v>
      </c>
      <c r="I48" t="s">
        <v>66</v>
      </c>
      <c r="J48" t="s">
        <v>1259</v>
      </c>
      <c r="K48" s="21" t="s">
        <v>1260</v>
      </c>
      <c r="L48" s="21" t="s">
        <v>70</v>
      </c>
      <c r="M48" t="s">
        <v>71</v>
      </c>
      <c r="N48" t="s">
        <v>72</v>
      </c>
      <c r="R48" t="s">
        <v>77</v>
      </c>
      <c r="S48" t="s">
        <v>1259</v>
      </c>
      <c r="T48" t="s">
        <v>1231</v>
      </c>
      <c r="U48" t="s">
        <v>1232</v>
      </c>
      <c r="V48" t="s">
        <v>91</v>
      </c>
      <c r="W48" t="s">
        <v>1261</v>
      </c>
    </row>
    <row r="49" spans="1:23" ht="15" customHeight="1" x14ac:dyDescent="0.3">
      <c r="A49" t="s">
        <v>8</v>
      </c>
      <c r="B49">
        <v>334</v>
      </c>
      <c r="C49" t="s">
        <v>33</v>
      </c>
      <c r="D49" t="s">
        <v>66</v>
      </c>
      <c r="E49" t="s">
        <v>34</v>
      </c>
      <c r="F49" t="s">
        <v>67</v>
      </c>
      <c r="G49" t="s">
        <v>36</v>
      </c>
      <c r="H49" t="s">
        <v>421</v>
      </c>
      <c r="I49" t="s">
        <v>66</v>
      </c>
      <c r="J49" t="s">
        <v>1259</v>
      </c>
      <c r="K49" s="21" t="s">
        <v>1260</v>
      </c>
      <c r="L49" s="21" t="s">
        <v>70</v>
      </c>
      <c r="M49" t="s">
        <v>71</v>
      </c>
      <c r="N49" t="s">
        <v>72</v>
      </c>
      <c r="R49" t="s">
        <v>78</v>
      </c>
      <c r="S49" t="s">
        <v>1259</v>
      </c>
      <c r="T49" t="s">
        <v>1231</v>
      </c>
      <c r="U49" t="s">
        <v>1232</v>
      </c>
      <c r="V49" t="s">
        <v>91</v>
      </c>
      <c r="W49" t="s">
        <v>1261</v>
      </c>
    </row>
    <row r="50" spans="1:23" ht="15" customHeight="1" x14ac:dyDescent="0.3">
      <c r="A50" t="s">
        <v>8</v>
      </c>
      <c r="B50">
        <v>334</v>
      </c>
      <c r="C50" t="s">
        <v>33</v>
      </c>
      <c r="D50" t="s">
        <v>66</v>
      </c>
      <c r="E50" t="s">
        <v>34</v>
      </c>
      <c r="F50" t="s">
        <v>67</v>
      </c>
      <c r="G50" t="s">
        <v>36</v>
      </c>
      <c r="H50" t="s">
        <v>182</v>
      </c>
      <c r="I50" t="s">
        <v>66</v>
      </c>
      <c r="J50" t="s">
        <v>1262</v>
      </c>
      <c r="K50" s="21" t="s">
        <v>1263</v>
      </c>
      <c r="L50" s="21" t="s">
        <v>70</v>
      </c>
      <c r="M50" t="s">
        <v>71</v>
      </c>
      <c r="N50" t="s">
        <v>72</v>
      </c>
      <c r="R50" t="s">
        <v>74</v>
      </c>
      <c r="S50" t="s">
        <v>1262</v>
      </c>
      <c r="T50" t="s">
        <v>1231</v>
      </c>
      <c r="U50" t="s">
        <v>1241</v>
      </c>
      <c r="V50" t="s">
        <v>91</v>
      </c>
      <c r="W50" t="s">
        <v>1261</v>
      </c>
    </row>
    <row r="51" spans="1:23" ht="15" customHeight="1" x14ac:dyDescent="0.3">
      <c r="A51" t="s">
        <v>8</v>
      </c>
      <c r="B51">
        <v>334</v>
      </c>
      <c r="C51" t="s">
        <v>33</v>
      </c>
      <c r="D51" t="s">
        <v>66</v>
      </c>
      <c r="E51" t="s">
        <v>34</v>
      </c>
      <c r="F51" t="s">
        <v>67</v>
      </c>
      <c r="G51" t="s">
        <v>36</v>
      </c>
      <c r="H51" t="s">
        <v>182</v>
      </c>
      <c r="I51" t="s">
        <v>66</v>
      </c>
      <c r="J51" t="s">
        <v>1262</v>
      </c>
      <c r="K51" s="21" t="s">
        <v>1263</v>
      </c>
      <c r="L51" s="21" t="s">
        <v>70</v>
      </c>
      <c r="M51" t="s">
        <v>71</v>
      </c>
      <c r="N51" t="s">
        <v>72</v>
      </c>
      <c r="R51" t="s">
        <v>77</v>
      </c>
      <c r="S51" t="s">
        <v>1262</v>
      </c>
      <c r="T51" t="s">
        <v>1231</v>
      </c>
      <c r="U51" t="s">
        <v>1241</v>
      </c>
      <c r="V51" t="s">
        <v>91</v>
      </c>
      <c r="W51" t="s">
        <v>1261</v>
      </c>
    </row>
    <row r="52" spans="1:23" ht="15" customHeight="1" x14ac:dyDescent="0.3">
      <c r="A52" t="s">
        <v>8</v>
      </c>
      <c r="B52">
        <v>334</v>
      </c>
      <c r="C52" t="s">
        <v>33</v>
      </c>
      <c r="D52" t="s">
        <v>66</v>
      </c>
      <c r="E52" t="s">
        <v>34</v>
      </c>
      <c r="F52" t="s">
        <v>67</v>
      </c>
      <c r="G52" t="s">
        <v>36</v>
      </c>
      <c r="H52" t="s">
        <v>182</v>
      </c>
      <c r="I52" t="s">
        <v>66</v>
      </c>
      <c r="J52" t="s">
        <v>1262</v>
      </c>
      <c r="K52" s="21" t="s">
        <v>1263</v>
      </c>
      <c r="L52" s="21" t="s">
        <v>70</v>
      </c>
      <c r="M52" t="s">
        <v>71</v>
      </c>
      <c r="N52" t="s">
        <v>72</v>
      </c>
      <c r="R52" t="s">
        <v>78</v>
      </c>
      <c r="S52" t="s">
        <v>1262</v>
      </c>
      <c r="T52" t="s">
        <v>1231</v>
      </c>
      <c r="U52" t="s">
        <v>1241</v>
      </c>
      <c r="V52" t="s">
        <v>91</v>
      </c>
      <c r="W52" t="s">
        <v>1261</v>
      </c>
    </row>
    <row r="53" spans="1:23" ht="15" customHeight="1" x14ac:dyDescent="0.3">
      <c r="A53" t="s">
        <v>8</v>
      </c>
      <c r="B53">
        <v>334</v>
      </c>
      <c r="C53" t="s">
        <v>33</v>
      </c>
      <c r="D53" t="s">
        <v>66</v>
      </c>
      <c r="E53" t="s">
        <v>34</v>
      </c>
      <c r="F53" t="s">
        <v>67</v>
      </c>
      <c r="G53" t="s">
        <v>36</v>
      </c>
      <c r="H53" t="s">
        <v>1242</v>
      </c>
      <c r="I53" t="s">
        <v>66</v>
      </c>
      <c r="J53" t="s">
        <v>1259</v>
      </c>
      <c r="K53" s="21" t="s">
        <v>1260</v>
      </c>
      <c r="L53" s="21" t="s">
        <v>70</v>
      </c>
      <c r="M53" t="s">
        <v>71</v>
      </c>
      <c r="N53" t="s">
        <v>72</v>
      </c>
      <c r="R53" t="s">
        <v>74</v>
      </c>
      <c r="S53" t="s">
        <v>1259</v>
      </c>
      <c r="T53" t="s">
        <v>1231</v>
      </c>
      <c r="U53" t="s">
        <v>1232</v>
      </c>
      <c r="V53" t="s">
        <v>91</v>
      </c>
      <c r="W53" t="s">
        <v>1261</v>
      </c>
    </row>
    <row r="54" spans="1:23" ht="15" customHeight="1" x14ac:dyDescent="0.3">
      <c r="A54" t="s">
        <v>8</v>
      </c>
      <c r="B54">
        <v>334</v>
      </c>
      <c r="C54" t="s">
        <v>33</v>
      </c>
      <c r="D54" t="s">
        <v>66</v>
      </c>
      <c r="E54" t="s">
        <v>34</v>
      </c>
      <c r="F54" t="s">
        <v>67</v>
      </c>
      <c r="G54" t="s">
        <v>36</v>
      </c>
      <c r="H54" t="s">
        <v>1242</v>
      </c>
      <c r="I54" t="s">
        <v>66</v>
      </c>
      <c r="J54" t="s">
        <v>1259</v>
      </c>
      <c r="K54" s="21" t="s">
        <v>1260</v>
      </c>
      <c r="L54" s="21" t="s">
        <v>70</v>
      </c>
      <c r="M54" t="s">
        <v>71</v>
      </c>
      <c r="N54" t="s">
        <v>72</v>
      </c>
      <c r="R54" t="s">
        <v>77</v>
      </c>
      <c r="S54" t="s">
        <v>1259</v>
      </c>
      <c r="T54" t="s">
        <v>1231</v>
      </c>
      <c r="U54" t="s">
        <v>1232</v>
      </c>
      <c r="V54" t="s">
        <v>91</v>
      </c>
      <c r="W54" t="s">
        <v>1261</v>
      </c>
    </row>
    <row r="55" spans="1:23" ht="15" customHeight="1" x14ac:dyDescent="0.3">
      <c r="A55" t="s">
        <v>8</v>
      </c>
      <c r="B55">
        <v>334</v>
      </c>
      <c r="C55" t="s">
        <v>33</v>
      </c>
      <c r="D55" t="s">
        <v>66</v>
      </c>
      <c r="E55" t="s">
        <v>34</v>
      </c>
      <c r="F55" t="s">
        <v>67</v>
      </c>
      <c r="G55" t="s">
        <v>36</v>
      </c>
      <c r="H55" t="s">
        <v>1242</v>
      </c>
      <c r="I55" t="s">
        <v>66</v>
      </c>
      <c r="J55" t="s">
        <v>1259</v>
      </c>
      <c r="K55" s="21" t="s">
        <v>1260</v>
      </c>
      <c r="L55" s="21" t="s">
        <v>70</v>
      </c>
      <c r="M55" t="s">
        <v>71</v>
      </c>
      <c r="N55" t="s">
        <v>72</v>
      </c>
      <c r="R55" t="s">
        <v>78</v>
      </c>
      <c r="S55" t="s">
        <v>1259</v>
      </c>
      <c r="T55" t="s">
        <v>1231</v>
      </c>
      <c r="U55" t="s">
        <v>1232</v>
      </c>
      <c r="V55" t="s">
        <v>91</v>
      </c>
      <c r="W55" t="s">
        <v>1261</v>
      </c>
    </row>
    <row r="56" spans="1:23" ht="15" customHeight="1" x14ac:dyDescent="0.3">
      <c r="A56" t="s">
        <v>8</v>
      </c>
      <c r="B56">
        <v>334</v>
      </c>
      <c r="C56" t="s">
        <v>33</v>
      </c>
      <c r="D56" t="s">
        <v>66</v>
      </c>
      <c r="E56" t="s">
        <v>34</v>
      </c>
      <c r="F56" t="s">
        <v>67</v>
      </c>
      <c r="G56" t="s">
        <v>36</v>
      </c>
      <c r="H56" t="s">
        <v>425</v>
      </c>
      <c r="I56" t="s">
        <v>66</v>
      </c>
      <c r="J56" t="s">
        <v>1262</v>
      </c>
      <c r="K56" s="21" t="s">
        <v>1263</v>
      </c>
      <c r="L56" s="21" t="s">
        <v>70</v>
      </c>
      <c r="M56" t="s">
        <v>71</v>
      </c>
      <c r="N56" t="s">
        <v>72</v>
      </c>
      <c r="R56" t="s">
        <v>74</v>
      </c>
      <c r="S56" t="s">
        <v>1262</v>
      </c>
      <c r="T56" t="s">
        <v>1231</v>
      </c>
      <c r="U56" t="s">
        <v>1241</v>
      </c>
      <c r="V56" t="s">
        <v>91</v>
      </c>
      <c r="W56" t="s">
        <v>1261</v>
      </c>
    </row>
    <row r="57" spans="1:23" ht="15" customHeight="1" x14ac:dyDescent="0.3">
      <c r="A57" t="s">
        <v>8</v>
      </c>
      <c r="B57">
        <v>334</v>
      </c>
      <c r="C57" t="s">
        <v>33</v>
      </c>
      <c r="D57" t="s">
        <v>66</v>
      </c>
      <c r="E57" t="s">
        <v>34</v>
      </c>
      <c r="F57" t="s">
        <v>67</v>
      </c>
      <c r="G57" t="s">
        <v>36</v>
      </c>
      <c r="H57" t="s">
        <v>425</v>
      </c>
      <c r="I57" t="s">
        <v>66</v>
      </c>
      <c r="J57" t="s">
        <v>1262</v>
      </c>
      <c r="K57" s="21" t="s">
        <v>1263</v>
      </c>
      <c r="L57" s="21" t="s">
        <v>70</v>
      </c>
      <c r="M57" t="s">
        <v>71</v>
      </c>
      <c r="N57" t="s">
        <v>72</v>
      </c>
      <c r="R57" t="s">
        <v>77</v>
      </c>
      <c r="S57" t="s">
        <v>1262</v>
      </c>
      <c r="T57" t="s">
        <v>1231</v>
      </c>
      <c r="U57" t="s">
        <v>1241</v>
      </c>
      <c r="V57" t="s">
        <v>91</v>
      </c>
      <c r="W57" t="s">
        <v>1261</v>
      </c>
    </row>
    <row r="58" spans="1:23" ht="15" customHeight="1" x14ac:dyDescent="0.3">
      <c r="A58" t="s">
        <v>8</v>
      </c>
      <c r="B58">
        <v>334</v>
      </c>
      <c r="C58" t="s">
        <v>33</v>
      </c>
      <c r="D58" t="s">
        <v>66</v>
      </c>
      <c r="E58" t="s">
        <v>34</v>
      </c>
      <c r="F58" t="s">
        <v>67</v>
      </c>
      <c r="G58" t="s">
        <v>36</v>
      </c>
      <c r="H58" t="s">
        <v>425</v>
      </c>
      <c r="I58" t="s">
        <v>66</v>
      </c>
      <c r="J58" t="s">
        <v>1262</v>
      </c>
      <c r="K58" s="21" t="s">
        <v>1263</v>
      </c>
      <c r="L58" s="21" t="s">
        <v>70</v>
      </c>
      <c r="M58" t="s">
        <v>71</v>
      </c>
      <c r="N58" t="s">
        <v>72</v>
      </c>
      <c r="R58" t="s">
        <v>78</v>
      </c>
      <c r="S58" t="s">
        <v>1262</v>
      </c>
      <c r="T58" t="s">
        <v>1231</v>
      </c>
      <c r="U58" t="s">
        <v>1241</v>
      </c>
      <c r="V58" t="s">
        <v>91</v>
      </c>
      <c r="W58" t="s">
        <v>1261</v>
      </c>
    </row>
    <row r="59" spans="1:23" ht="15" customHeight="1" x14ac:dyDescent="0.3">
      <c r="A59" t="s">
        <v>8</v>
      </c>
      <c r="B59">
        <v>334</v>
      </c>
      <c r="C59" t="s">
        <v>33</v>
      </c>
      <c r="D59" t="s">
        <v>66</v>
      </c>
      <c r="E59" t="s">
        <v>34</v>
      </c>
      <c r="F59" t="s">
        <v>67</v>
      </c>
      <c r="G59" t="s">
        <v>36</v>
      </c>
      <c r="H59" t="s">
        <v>996</v>
      </c>
      <c r="I59" t="s">
        <v>66</v>
      </c>
      <c r="J59" t="s">
        <v>1264</v>
      </c>
      <c r="K59" s="21" t="s">
        <v>1265</v>
      </c>
      <c r="L59" s="21" t="s">
        <v>70</v>
      </c>
      <c r="M59" t="s">
        <v>71</v>
      </c>
      <c r="N59" t="s">
        <v>72</v>
      </c>
      <c r="R59" t="s">
        <v>74</v>
      </c>
      <c r="S59" t="s">
        <v>1264</v>
      </c>
      <c r="T59" t="s">
        <v>1231</v>
      </c>
      <c r="U59" t="s">
        <v>1241</v>
      </c>
      <c r="V59" t="s">
        <v>1266</v>
      </c>
      <c r="W59" t="s">
        <v>1267</v>
      </c>
    </row>
    <row r="60" spans="1:23" ht="15" customHeight="1" x14ac:dyDescent="0.3">
      <c r="A60" t="s">
        <v>8</v>
      </c>
      <c r="B60">
        <v>334</v>
      </c>
      <c r="C60" t="s">
        <v>33</v>
      </c>
      <c r="D60" t="s">
        <v>66</v>
      </c>
      <c r="E60" t="s">
        <v>34</v>
      </c>
      <c r="F60" t="s">
        <v>67</v>
      </c>
      <c r="G60" t="s">
        <v>36</v>
      </c>
      <c r="H60" t="s">
        <v>996</v>
      </c>
      <c r="I60" t="s">
        <v>66</v>
      </c>
      <c r="J60" t="s">
        <v>1264</v>
      </c>
      <c r="K60" s="21" t="s">
        <v>1265</v>
      </c>
      <c r="L60" s="21" t="s">
        <v>70</v>
      </c>
      <c r="M60" t="s">
        <v>71</v>
      </c>
      <c r="N60" t="s">
        <v>72</v>
      </c>
      <c r="R60" t="s">
        <v>77</v>
      </c>
      <c r="S60" t="s">
        <v>1264</v>
      </c>
      <c r="T60" t="s">
        <v>1231</v>
      </c>
      <c r="U60" t="s">
        <v>1241</v>
      </c>
      <c r="V60" t="s">
        <v>1266</v>
      </c>
      <c r="W60" t="s">
        <v>1267</v>
      </c>
    </row>
    <row r="61" spans="1:23" ht="15" customHeight="1" x14ac:dyDescent="0.3">
      <c r="A61" t="s">
        <v>8</v>
      </c>
      <c r="B61">
        <v>334</v>
      </c>
      <c r="C61" t="s">
        <v>33</v>
      </c>
      <c r="D61" t="s">
        <v>66</v>
      </c>
      <c r="E61" t="s">
        <v>34</v>
      </c>
      <c r="F61" t="s">
        <v>67</v>
      </c>
      <c r="G61" t="s">
        <v>36</v>
      </c>
      <c r="H61" t="s">
        <v>996</v>
      </c>
      <c r="I61" t="s">
        <v>66</v>
      </c>
      <c r="J61" t="s">
        <v>1264</v>
      </c>
      <c r="K61" s="21" t="s">
        <v>1265</v>
      </c>
      <c r="L61" s="21" t="s">
        <v>70</v>
      </c>
      <c r="M61" t="s">
        <v>71</v>
      </c>
      <c r="N61" t="s">
        <v>72</v>
      </c>
      <c r="R61" t="s">
        <v>78</v>
      </c>
      <c r="S61" t="s">
        <v>1264</v>
      </c>
      <c r="T61" t="s">
        <v>1231</v>
      </c>
      <c r="U61" t="s">
        <v>1241</v>
      </c>
      <c r="V61" t="s">
        <v>1266</v>
      </c>
      <c r="W61" t="s">
        <v>1267</v>
      </c>
    </row>
    <row r="62" spans="1:23" ht="15" customHeight="1" x14ac:dyDescent="0.3">
      <c r="A62" t="s">
        <v>8</v>
      </c>
      <c r="B62">
        <v>334</v>
      </c>
      <c r="C62" t="s">
        <v>33</v>
      </c>
      <c r="D62" t="s">
        <v>66</v>
      </c>
      <c r="E62" t="s">
        <v>34</v>
      </c>
      <c r="F62" t="s">
        <v>67</v>
      </c>
      <c r="G62" t="s">
        <v>36</v>
      </c>
      <c r="H62" t="s">
        <v>1000</v>
      </c>
      <c r="I62" t="s">
        <v>66</v>
      </c>
      <c r="J62" t="s">
        <v>1268</v>
      </c>
      <c r="K62" s="21" t="s">
        <v>1269</v>
      </c>
      <c r="L62" s="21" t="s">
        <v>70</v>
      </c>
      <c r="M62" t="s">
        <v>71</v>
      </c>
      <c r="N62" t="s">
        <v>72</v>
      </c>
      <c r="R62" t="s">
        <v>74</v>
      </c>
      <c r="S62" t="s">
        <v>1268</v>
      </c>
      <c r="T62" t="s">
        <v>1249</v>
      </c>
      <c r="U62" t="s">
        <v>1270</v>
      </c>
      <c r="V62" t="s">
        <v>1271</v>
      </c>
      <c r="W62" t="s">
        <v>1261</v>
      </c>
    </row>
    <row r="63" spans="1:23" ht="15" customHeight="1" x14ac:dyDescent="0.3">
      <c r="A63" t="s">
        <v>8</v>
      </c>
      <c r="B63">
        <v>334</v>
      </c>
      <c r="C63" t="s">
        <v>33</v>
      </c>
      <c r="D63" t="s">
        <v>66</v>
      </c>
      <c r="E63" t="s">
        <v>34</v>
      </c>
      <c r="F63" t="s">
        <v>67</v>
      </c>
      <c r="G63" t="s">
        <v>36</v>
      </c>
      <c r="H63" t="s">
        <v>1000</v>
      </c>
      <c r="I63" t="s">
        <v>66</v>
      </c>
      <c r="J63" t="s">
        <v>1268</v>
      </c>
      <c r="K63" s="21" t="s">
        <v>1269</v>
      </c>
      <c r="L63" s="21" t="s">
        <v>70</v>
      </c>
      <c r="M63" t="s">
        <v>71</v>
      </c>
      <c r="N63" t="s">
        <v>72</v>
      </c>
      <c r="R63" t="s">
        <v>77</v>
      </c>
      <c r="S63" t="s">
        <v>1268</v>
      </c>
      <c r="T63" t="s">
        <v>1249</v>
      </c>
      <c r="U63" t="s">
        <v>1270</v>
      </c>
      <c r="V63" t="s">
        <v>1271</v>
      </c>
      <c r="W63" t="s">
        <v>1261</v>
      </c>
    </row>
    <row r="64" spans="1:23" ht="15" customHeight="1" x14ac:dyDescent="0.3">
      <c r="A64" t="s">
        <v>8</v>
      </c>
      <c r="B64">
        <v>334</v>
      </c>
      <c r="C64" t="s">
        <v>33</v>
      </c>
      <c r="D64" t="s">
        <v>66</v>
      </c>
      <c r="E64" t="s">
        <v>34</v>
      </c>
      <c r="F64" t="s">
        <v>67</v>
      </c>
      <c r="G64" t="s">
        <v>36</v>
      </c>
      <c r="H64" t="s">
        <v>1000</v>
      </c>
      <c r="I64" t="s">
        <v>66</v>
      </c>
      <c r="J64" t="s">
        <v>1268</v>
      </c>
      <c r="K64" s="21" t="s">
        <v>1269</v>
      </c>
      <c r="L64" s="21" t="s">
        <v>70</v>
      </c>
      <c r="M64" t="s">
        <v>71</v>
      </c>
      <c r="N64" t="s">
        <v>72</v>
      </c>
      <c r="R64" t="s">
        <v>78</v>
      </c>
      <c r="S64" t="s">
        <v>1268</v>
      </c>
      <c r="T64" t="s">
        <v>1249</v>
      </c>
      <c r="U64" t="s">
        <v>1270</v>
      </c>
      <c r="V64" t="s">
        <v>1271</v>
      </c>
      <c r="W64" t="s">
        <v>1261</v>
      </c>
    </row>
    <row r="65" spans="1:23" ht="15" customHeight="1" x14ac:dyDescent="0.3">
      <c r="A65" t="s">
        <v>8</v>
      </c>
      <c r="B65">
        <v>334</v>
      </c>
      <c r="C65" t="s">
        <v>33</v>
      </c>
      <c r="D65" t="s">
        <v>66</v>
      </c>
      <c r="E65" t="s">
        <v>34</v>
      </c>
      <c r="F65" t="s">
        <v>67</v>
      </c>
      <c r="G65" t="s">
        <v>36</v>
      </c>
      <c r="H65" t="s">
        <v>1272</v>
      </c>
      <c r="I65" t="s">
        <v>66</v>
      </c>
      <c r="J65" t="s">
        <v>1273</v>
      </c>
      <c r="K65" s="21" t="s">
        <v>1274</v>
      </c>
      <c r="L65" s="21" t="s">
        <v>70</v>
      </c>
      <c r="M65" t="s">
        <v>71</v>
      </c>
      <c r="N65" t="s">
        <v>72</v>
      </c>
      <c r="R65" t="s">
        <v>74</v>
      </c>
      <c r="S65" t="s">
        <v>1273</v>
      </c>
      <c r="T65" t="s">
        <v>1249</v>
      </c>
      <c r="U65" t="s">
        <v>1275</v>
      </c>
      <c r="V65" t="s">
        <v>91</v>
      </c>
      <c r="W65" t="s">
        <v>1261</v>
      </c>
    </row>
    <row r="66" spans="1:23" ht="15" customHeight="1" x14ac:dyDescent="0.3">
      <c r="A66" t="s">
        <v>8</v>
      </c>
      <c r="B66">
        <v>334</v>
      </c>
      <c r="C66" t="s">
        <v>33</v>
      </c>
      <c r="D66" t="s">
        <v>66</v>
      </c>
      <c r="E66" t="s">
        <v>34</v>
      </c>
      <c r="F66" t="s">
        <v>67</v>
      </c>
      <c r="G66" t="s">
        <v>36</v>
      </c>
      <c r="H66" t="s">
        <v>1272</v>
      </c>
      <c r="I66" t="s">
        <v>66</v>
      </c>
      <c r="J66" t="s">
        <v>1273</v>
      </c>
      <c r="K66" s="21" t="s">
        <v>1274</v>
      </c>
      <c r="L66" s="21" t="s">
        <v>70</v>
      </c>
      <c r="M66" t="s">
        <v>71</v>
      </c>
      <c r="N66" t="s">
        <v>72</v>
      </c>
      <c r="R66" t="s">
        <v>77</v>
      </c>
      <c r="S66" t="s">
        <v>1273</v>
      </c>
      <c r="T66" t="s">
        <v>1249</v>
      </c>
      <c r="U66" t="s">
        <v>1275</v>
      </c>
      <c r="V66" t="s">
        <v>91</v>
      </c>
      <c r="W66" t="s">
        <v>1261</v>
      </c>
    </row>
    <row r="67" spans="1:23" ht="15" customHeight="1" x14ac:dyDescent="0.3">
      <c r="A67" t="s">
        <v>8</v>
      </c>
      <c r="B67">
        <v>334</v>
      </c>
      <c r="C67" t="s">
        <v>33</v>
      </c>
      <c r="D67" t="s">
        <v>66</v>
      </c>
      <c r="E67" t="s">
        <v>34</v>
      </c>
      <c r="F67" t="s">
        <v>67</v>
      </c>
      <c r="G67" t="s">
        <v>36</v>
      </c>
      <c r="H67" t="s">
        <v>1272</v>
      </c>
      <c r="I67" t="s">
        <v>66</v>
      </c>
      <c r="J67" t="s">
        <v>1273</v>
      </c>
      <c r="K67" s="21" t="s">
        <v>1274</v>
      </c>
      <c r="L67" s="21" t="s">
        <v>70</v>
      </c>
      <c r="M67" t="s">
        <v>71</v>
      </c>
      <c r="N67" t="s">
        <v>72</v>
      </c>
      <c r="R67" t="s">
        <v>78</v>
      </c>
      <c r="S67" t="s">
        <v>1273</v>
      </c>
      <c r="T67" t="s">
        <v>1249</v>
      </c>
      <c r="U67" t="s">
        <v>1275</v>
      </c>
      <c r="V67" t="s">
        <v>91</v>
      </c>
      <c r="W67" t="s">
        <v>1261</v>
      </c>
    </row>
    <row r="68" spans="1:23" ht="15" customHeight="1" x14ac:dyDescent="0.3">
      <c r="A68" t="s">
        <v>8</v>
      </c>
      <c r="B68">
        <v>334</v>
      </c>
      <c r="C68" t="s">
        <v>33</v>
      </c>
      <c r="D68" t="s">
        <v>66</v>
      </c>
      <c r="E68" t="s">
        <v>34</v>
      </c>
      <c r="F68" t="s">
        <v>67</v>
      </c>
      <c r="G68" t="s">
        <v>36</v>
      </c>
      <c r="H68" t="s">
        <v>1276</v>
      </c>
      <c r="I68" t="s">
        <v>66</v>
      </c>
      <c r="J68" t="s">
        <v>1277</v>
      </c>
      <c r="K68" s="21" t="s">
        <v>1278</v>
      </c>
      <c r="L68" s="21" t="s">
        <v>70</v>
      </c>
      <c r="M68" t="s">
        <v>71</v>
      </c>
      <c r="N68" t="s">
        <v>72</v>
      </c>
      <c r="R68" t="s">
        <v>74</v>
      </c>
      <c r="S68" t="s">
        <v>1277</v>
      </c>
      <c r="T68" t="s">
        <v>1249</v>
      </c>
      <c r="U68" t="s">
        <v>1250</v>
      </c>
      <c r="V68" t="s">
        <v>91</v>
      </c>
      <c r="W68" t="s">
        <v>1261</v>
      </c>
    </row>
    <row r="69" spans="1:23" ht="15" customHeight="1" x14ac:dyDescent="0.3">
      <c r="A69" t="s">
        <v>8</v>
      </c>
      <c r="B69">
        <v>334</v>
      </c>
      <c r="C69" t="s">
        <v>33</v>
      </c>
      <c r="D69" t="s">
        <v>66</v>
      </c>
      <c r="E69" t="s">
        <v>34</v>
      </c>
      <c r="F69" t="s">
        <v>67</v>
      </c>
      <c r="G69" t="s">
        <v>36</v>
      </c>
      <c r="H69" t="s">
        <v>1276</v>
      </c>
      <c r="I69" t="s">
        <v>66</v>
      </c>
      <c r="J69" t="s">
        <v>1277</v>
      </c>
      <c r="K69" s="21" t="s">
        <v>1278</v>
      </c>
      <c r="L69" s="21" t="s">
        <v>70</v>
      </c>
      <c r="M69" t="s">
        <v>71</v>
      </c>
      <c r="N69" t="s">
        <v>72</v>
      </c>
      <c r="R69" t="s">
        <v>77</v>
      </c>
      <c r="S69" t="s">
        <v>1277</v>
      </c>
      <c r="T69" t="s">
        <v>1249</v>
      </c>
      <c r="U69" t="s">
        <v>1250</v>
      </c>
      <c r="V69" t="s">
        <v>91</v>
      </c>
      <c r="W69" t="s">
        <v>1261</v>
      </c>
    </row>
    <row r="70" spans="1:23" ht="15" customHeight="1" x14ac:dyDescent="0.3">
      <c r="A70" t="s">
        <v>8</v>
      </c>
      <c r="B70">
        <v>334</v>
      </c>
      <c r="C70" t="s">
        <v>33</v>
      </c>
      <c r="D70" t="s">
        <v>66</v>
      </c>
      <c r="E70" t="s">
        <v>34</v>
      </c>
      <c r="F70" t="s">
        <v>67</v>
      </c>
      <c r="G70" t="s">
        <v>36</v>
      </c>
      <c r="H70" t="s">
        <v>1276</v>
      </c>
      <c r="I70" t="s">
        <v>66</v>
      </c>
      <c r="J70" t="s">
        <v>1277</v>
      </c>
      <c r="K70" s="21" t="s">
        <v>1278</v>
      </c>
      <c r="L70" s="21" t="s">
        <v>70</v>
      </c>
      <c r="M70" t="s">
        <v>71</v>
      </c>
      <c r="N70" t="s">
        <v>72</v>
      </c>
      <c r="R70" t="s">
        <v>78</v>
      </c>
      <c r="S70" t="s">
        <v>1277</v>
      </c>
      <c r="T70" t="s">
        <v>1249</v>
      </c>
      <c r="U70" t="s">
        <v>1250</v>
      </c>
      <c r="V70" t="s">
        <v>91</v>
      </c>
      <c r="W70" t="s">
        <v>1261</v>
      </c>
    </row>
    <row r="71" spans="1:23" ht="15" customHeight="1" x14ac:dyDescent="0.3">
      <c r="A71" t="s">
        <v>8</v>
      </c>
      <c r="B71">
        <v>334</v>
      </c>
      <c r="C71" t="s">
        <v>33</v>
      </c>
      <c r="D71" t="s">
        <v>66</v>
      </c>
      <c r="E71" t="s">
        <v>34</v>
      </c>
      <c r="F71" t="s">
        <v>67</v>
      </c>
      <c r="G71" t="s">
        <v>36</v>
      </c>
      <c r="H71" t="s">
        <v>1279</v>
      </c>
      <c r="I71" t="s">
        <v>66</v>
      </c>
      <c r="J71" t="s">
        <v>1280</v>
      </c>
      <c r="K71" s="21" t="s">
        <v>1281</v>
      </c>
      <c r="L71" s="21" t="s">
        <v>70</v>
      </c>
      <c r="M71" t="s">
        <v>71</v>
      </c>
      <c r="N71" t="s">
        <v>72</v>
      </c>
      <c r="R71" t="s">
        <v>74</v>
      </c>
      <c r="S71" t="s">
        <v>1280</v>
      </c>
      <c r="T71" t="s">
        <v>1249</v>
      </c>
      <c r="U71" t="s">
        <v>1282</v>
      </c>
      <c r="V71" t="s">
        <v>91</v>
      </c>
      <c r="W71" t="s">
        <v>1261</v>
      </c>
    </row>
    <row r="72" spans="1:23" ht="15" customHeight="1" x14ac:dyDescent="0.3">
      <c r="A72" t="s">
        <v>8</v>
      </c>
      <c r="B72">
        <v>334</v>
      </c>
      <c r="C72" t="s">
        <v>33</v>
      </c>
      <c r="D72" t="s">
        <v>66</v>
      </c>
      <c r="E72" t="s">
        <v>34</v>
      </c>
      <c r="F72" t="s">
        <v>67</v>
      </c>
      <c r="G72" t="s">
        <v>36</v>
      </c>
      <c r="H72" t="s">
        <v>1279</v>
      </c>
      <c r="I72" t="s">
        <v>66</v>
      </c>
      <c r="J72" t="s">
        <v>1280</v>
      </c>
      <c r="K72" s="21" t="s">
        <v>1281</v>
      </c>
      <c r="L72" s="21" t="s">
        <v>70</v>
      </c>
      <c r="M72" t="s">
        <v>71</v>
      </c>
      <c r="N72" t="s">
        <v>72</v>
      </c>
      <c r="R72" t="s">
        <v>77</v>
      </c>
      <c r="S72" t="s">
        <v>1280</v>
      </c>
      <c r="T72" t="s">
        <v>1249</v>
      </c>
      <c r="U72" t="s">
        <v>1282</v>
      </c>
      <c r="V72" t="s">
        <v>91</v>
      </c>
      <c r="W72" t="s">
        <v>1261</v>
      </c>
    </row>
    <row r="73" spans="1:23" ht="15" customHeight="1" x14ac:dyDescent="0.3">
      <c r="A73" t="s">
        <v>8</v>
      </c>
      <c r="B73">
        <v>334</v>
      </c>
      <c r="C73" t="s">
        <v>33</v>
      </c>
      <c r="D73" t="s">
        <v>66</v>
      </c>
      <c r="E73" t="s">
        <v>34</v>
      </c>
      <c r="F73" t="s">
        <v>67</v>
      </c>
      <c r="G73" t="s">
        <v>36</v>
      </c>
      <c r="H73" t="s">
        <v>1279</v>
      </c>
      <c r="I73" t="s">
        <v>66</v>
      </c>
      <c r="J73" t="s">
        <v>1280</v>
      </c>
      <c r="K73" s="21" t="s">
        <v>1281</v>
      </c>
      <c r="L73" s="21" t="s">
        <v>70</v>
      </c>
      <c r="M73" t="s">
        <v>71</v>
      </c>
      <c r="N73" t="s">
        <v>72</v>
      </c>
      <c r="R73" t="s">
        <v>78</v>
      </c>
      <c r="S73" t="s">
        <v>1280</v>
      </c>
      <c r="T73" t="s">
        <v>1249</v>
      </c>
      <c r="U73" t="s">
        <v>1282</v>
      </c>
      <c r="V73" t="s">
        <v>91</v>
      </c>
      <c r="W73" t="s">
        <v>1261</v>
      </c>
    </row>
    <row r="74" spans="1:23" ht="15" customHeight="1" x14ac:dyDescent="0.3">
      <c r="A74" t="s">
        <v>8</v>
      </c>
      <c r="B74">
        <v>334</v>
      </c>
      <c r="C74" t="s">
        <v>33</v>
      </c>
      <c r="D74" t="s">
        <v>66</v>
      </c>
      <c r="E74" t="s">
        <v>34</v>
      </c>
      <c r="F74" t="s">
        <v>67</v>
      </c>
      <c r="G74" t="s">
        <v>36</v>
      </c>
      <c r="H74" t="s">
        <v>1283</v>
      </c>
      <c r="I74" t="s">
        <v>66</v>
      </c>
      <c r="J74" t="s">
        <v>1284</v>
      </c>
      <c r="K74" s="21" t="s">
        <v>1285</v>
      </c>
      <c r="L74" s="21" t="s">
        <v>70</v>
      </c>
      <c r="M74" t="s">
        <v>71</v>
      </c>
      <c r="N74" t="s">
        <v>72</v>
      </c>
      <c r="R74" t="s">
        <v>74</v>
      </c>
      <c r="S74" t="s">
        <v>1284</v>
      </c>
      <c r="T74" t="s">
        <v>1249</v>
      </c>
      <c r="U74" t="s">
        <v>1286</v>
      </c>
      <c r="V74" t="s">
        <v>91</v>
      </c>
      <c r="W74" t="s">
        <v>1261</v>
      </c>
    </row>
    <row r="75" spans="1:23" ht="15" customHeight="1" x14ac:dyDescent="0.3">
      <c r="A75" t="s">
        <v>8</v>
      </c>
      <c r="B75">
        <v>334</v>
      </c>
      <c r="C75" t="s">
        <v>33</v>
      </c>
      <c r="D75" t="s">
        <v>66</v>
      </c>
      <c r="E75" t="s">
        <v>34</v>
      </c>
      <c r="F75" t="s">
        <v>67</v>
      </c>
      <c r="G75" t="s">
        <v>36</v>
      </c>
      <c r="H75" t="s">
        <v>1283</v>
      </c>
      <c r="I75" t="s">
        <v>66</v>
      </c>
      <c r="J75" t="s">
        <v>1284</v>
      </c>
      <c r="K75" s="21" t="s">
        <v>1285</v>
      </c>
      <c r="L75" s="21" t="s">
        <v>70</v>
      </c>
      <c r="M75" t="s">
        <v>71</v>
      </c>
      <c r="N75" t="s">
        <v>72</v>
      </c>
      <c r="R75" t="s">
        <v>77</v>
      </c>
      <c r="S75" t="s">
        <v>1284</v>
      </c>
      <c r="T75" t="s">
        <v>1249</v>
      </c>
      <c r="U75" t="s">
        <v>1286</v>
      </c>
      <c r="V75" t="s">
        <v>91</v>
      </c>
      <c r="W75" t="s">
        <v>1261</v>
      </c>
    </row>
    <row r="76" spans="1:23" ht="15" customHeight="1" x14ac:dyDescent="0.3">
      <c r="A76" t="s">
        <v>8</v>
      </c>
      <c r="B76">
        <v>334</v>
      </c>
      <c r="C76" t="s">
        <v>33</v>
      </c>
      <c r="D76" t="s">
        <v>66</v>
      </c>
      <c r="E76" t="s">
        <v>34</v>
      </c>
      <c r="F76" t="s">
        <v>67</v>
      </c>
      <c r="G76" t="s">
        <v>36</v>
      </c>
      <c r="H76" t="s">
        <v>1283</v>
      </c>
      <c r="I76" t="s">
        <v>66</v>
      </c>
      <c r="J76" t="s">
        <v>1284</v>
      </c>
      <c r="K76" s="21" t="s">
        <v>1285</v>
      </c>
      <c r="L76" s="21" t="s">
        <v>70</v>
      </c>
      <c r="M76" t="s">
        <v>71</v>
      </c>
      <c r="N76" t="s">
        <v>72</v>
      </c>
      <c r="R76" t="s">
        <v>78</v>
      </c>
      <c r="S76" t="s">
        <v>1284</v>
      </c>
      <c r="T76" t="s">
        <v>1249</v>
      </c>
      <c r="U76" t="s">
        <v>1286</v>
      </c>
      <c r="V76" t="s">
        <v>91</v>
      </c>
      <c r="W76" t="s">
        <v>1261</v>
      </c>
    </row>
    <row r="77" spans="1:23" ht="15" customHeight="1" x14ac:dyDescent="0.3">
      <c r="A77" t="s">
        <v>8</v>
      </c>
      <c r="B77">
        <v>334</v>
      </c>
      <c r="C77" t="s">
        <v>33</v>
      </c>
      <c r="D77" t="s">
        <v>66</v>
      </c>
      <c r="E77" t="s">
        <v>34</v>
      </c>
      <c r="F77" t="s">
        <v>67</v>
      </c>
      <c r="G77" t="s">
        <v>36</v>
      </c>
      <c r="H77" t="s">
        <v>1287</v>
      </c>
      <c r="I77" t="s">
        <v>66</v>
      </c>
      <c r="J77" t="s">
        <v>1288</v>
      </c>
      <c r="K77" s="21" t="s">
        <v>1289</v>
      </c>
      <c r="L77" s="21" t="s">
        <v>70</v>
      </c>
      <c r="M77" t="s">
        <v>71</v>
      </c>
      <c r="N77" t="s">
        <v>72</v>
      </c>
      <c r="R77" t="s">
        <v>74</v>
      </c>
      <c r="S77" t="s">
        <v>1288</v>
      </c>
      <c r="T77" t="s">
        <v>1290</v>
      </c>
      <c r="U77" t="s">
        <v>1291</v>
      </c>
      <c r="V77" t="s">
        <v>91</v>
      </c>
      <c r="W77" t="s">
        <v>1292</v>
      </c>
    </row>
    <row r="78" spans="1:23" ht="15" customHeight="1" x14ac:dyDescent="0.3">
      <c r="A78" t="s">
        <v>8</v>
      </c>
      <c r="B78">
        <v>334</v>
      </c>
      <c r="C78" t="s">
        <v>33</v>
      </c>
      <c r="D78" t="s">
        <v>66</v>
      </c>
      <c r="E78" t="s">
        <v>34</v>
      </c>
      <c r="F78" t="s">
        <v>67</v>
      </c>
      <c r="G78" t="s">
        <v>36</v>
      </c>
      <c r="H78" t="s">
        <v>1287</v>
      </c>
      <c r="I78" t="s">
        <v>66</v>
      </c>
      <c r="J78" t="s">
        <v>1288</v>
      </c>
      <c r="K78" s="21" t="s">
        <v>1289</v>
      </c>
      <c r="L78" s="21" t="s">
        <v>70</v>
      </c>
      <c r="M78" t="s">
        <v>71</v>
      </c>
      <c r="N78" t="s">
        <v>72</v>
      </c>
      <c r="R78" t="s">
        <v>77</v>
      </c>
      <c r="S78" t="s">
        <v>1288</v>
      </c>
      <c r="T78" t="s">
        <v>1290</v>
      </c>
      <c r="U78" t="s">
        <v>1291</v>
      </c>
      <c r="V78" t="s">
        <v>91</v>
      </c>
      <c r="W78" t="s">
        <v>1292</v>
      </c>
    </row>
    <row r="79" spans="1:23" ht="15" customHeight="1" x14ac:dyDescent="0.3">
      <c r="A79" t="s">
        <v>8</v>
      </c>
      <c r="B79">
        <v>334</v>
      </c>
      <c r="C79" t="s">
        <v>33</v>
      </c>
      <c r="D79" t="s">
        <v>66</v>
      </c>
      <c r="E79" t="s">
        <v>34</v>
      </c>
      <c r="F79" t="s">
        <v>67</v>
      </c>
      <c r="G79" t="s">
        <v>36</v>
      </c>
      <c r="H79" t="s">
        <v>1287</v>
      </c>
      <c r="I79" t="s">
        <v>66</v>
      </c>
      <c r="J79" t="s">
        <v>1288</v>
      </c>
      <c r="K79" s="21" t="s">
        <v>1289</v>
      </c>
      <c r="L79" s="21" t="s">
        <v>70</v>
      </c>
      <c r="M79" t="s">
        <v>71</v>
      </c>
      <c r="N79" t="s">
        <v>72</v>
      </c>
      <c r="R79" t="s">
        <v>78</v>
      </c>
      <c r="S79" t="s">
        <v>1288</v>
      </c>
      <c r="T79" t="s">
        <v>1290</v>
      </c>
      <c r="U79" t="s">
        <v>1291</v>
      </c>
      <c r="V79" t="s">
        <v>91</v>
      </c>
      <c r="W79" t="s">
        <v>1292</v>
      </c>
    </row>
    <row r="80" spans="1:23" ht="15" customHeight="1" x14ac:dyDescent="0.3">
      <c r="A80" t="s">
        <v>8</v>
      </c>
      <c r="B80">
        <v>334</v>
      </c>
      <c r="C80" t="s">
        <v>33</v>
      </c>
      <c r="D80" t="s">
        <v>66</v>
      </c>
      <c r="E80" t="s">
        <v>34</v>
      </c>
      <c r="F80" t="s">
        <v>67</v>
      </c>
      <c r="G80" t="s">
        <v>36</v>
      </c>
      <c r="H80" t="s">
        <v>1293</v>
      </c>
      <c r="I80" t="s">
        <v>66</v>
      </c>
      <c r="J80" t="s">
        <v>1294</v>
      </c>
      <c r="K80" s="21" t="s">
        <v>1295</v>
      </c>
      <c r="L80" s="21" t="s">
        <v>70</v>
      </c>
      <c r="M80" t="s">
        <v>71</v>
      </c>
      <c r="N80" t="s">
        <v>72</v>
      </c>
      <c r="R80" t="s">
        <v>74</v>
      </c>
      <c r="S80" t="s">
        <v>1294</v>
      </c>
      <c r="T80" t="s">
        <v>1290</v>
      </c>
      <c r="U80" t="s">
        <v>1296</v>
      </c>
      <c r="V80" t="s">
        <v>91</v>
      </c>
      <c r="W80" t="s">
        <v>1292</v>
      </c>
    </row>
    <row r="81" spans="1:23" ht="15" customHeight="1" x14ac:dyDescent="0.3">
      <c r="A81" t="s">
        <v>8</v>
      </c>
      <c r="B81">
        <v>334</v>
      </c>
      <c r="C81" t="s">
        <v>33</v>
      </c>
      <c r="D81" t="s">
        <v>66</v>
      </c>
      <c r="E81" t="s">
        <v>34</v>
      </c>
      <c r="F81" t="s">
        <v>67</v>
      </c>
      <c r="G81" t="s">
        <v>36</v>
      </c>
      <c r="H81" t="s">
        <v>1293</v>
      </c>
      <c r="I81" t="s">
        <v>66</v>
      </c>
      <c r="J81" t="s">
        <v>1294</v>
      </c>
      <c r="K81" s="21" t="s">
        <v>1295</v>
      </c>
      <c r="L81" s="21" t="s">
        <v>70</v>
      </c>
      <c r="M81" t="s">
        <v>71</v>
      </c>
      <c r="N81" t="s">
        <v>72</v>
      </c>
      <c r="R81" t="s">
        <v>77</v>
      </c>
      <c r="S81" t="s">
        <v>1294</v>
      </c>
      <c r="T81" t="s">
        <v>1290</v>
      </c>
      <c r="U81" t="s">
        <v>1296</v>
      </c>
      <c r="V81" t="s">
        <v>91</v>
      </c>
      <c r="W81" t="s">
        <v>1292</v>
      </c>
    </row>
    <row r="82" spans="1:23" ht="15" customHeight="1" x14ac:dyDescent="0.3">
      <c r="A82" t="s">
        <v>8</v>
      </c>
      <c r="B82">
        <v>334</v>
      </c>
      <c r="C82" t="s">
        <v>33</v>
      </c>
      <c r="D82" t="s">
        <v>66</v>
      </c>
      <c r="E82" t="s">
        <v>34</v>
      </c>
      <c r="F82" t="s">
        <v>67</v>
      </c>
      <c r="G82" t="s">
        <v>36</v>
      </c>
      <c r="H82" t="s">
        <v>1293</v>
      </c>
      <c r="I82" t="s">
        <v>66</v>
      </c>
      <c r="J82" t="s">
        <v>1294</v>
      </c>
      <c r="K82" s="21" t="s">
        <v>1295</v>
      </c>
      <c r="L82" s="21" t="s">
        <v>70</v>
      </c>
      <c r="M82" t="s">
        <v>71</v>
      </c>
      <c r="N82" t="s">
        <v>72</v>
      </c>
      <c r="R82" t="s">
        <v>78</v>
      </c>
      <c r="S82" t="s">
        <v>1294</v>
      </c>
      <c r="T82" t="s">
        <v>1290</v>
      </c>
      <c r="U82" t="s">
        <v>1296</v>
      </c>
      <c r="V82" t="s">
        <v>91</v>
      </c>
      <c r="W82" t="s">
        <v>1292</v>
      </c>
    </row>
    <row r="83" spans="1:23" ht="15" customHeight="1" x14ac:dyDescent="0.3">
      <c r="A83" t="s">
        <v>8</v>
      </c>
      <c r="B83">
        <v>332</v>
      </c>
      <c r="C83" t="s">
        <v>33</v>
      </c>
      <c r="D83" t="s">
        <v>105</v>
      </c>
      <c r="E83" t="s">
        <v>34</v>
      </c>
      <c r="F83" t="s">
        <v>94</v>
      </c>
      <c r="G83" t="s">
        <v>36</v>
      </c>
      <c r="H83" t="s">
        <v>37</v>
      </c>
      <c r="I83" t="s">
        <v>105</v>
      </c>
      <c r="J83" t="s">
        <v>95</v>
      </c>
      <c r="K83" t="s">
        <v>96</v>
      </c>
      <c r="L83" s="21" t="s">
        <v>97</v>
      </c>
      <c r="M83" t="s">
        <v>106</v>
      </c>
      <c r="N83" t="s">
        <v>72</v>
      </c>
      <c r="R83" t="s">
        <v>108</v>
      </c>
      <c r="S83" t="s">
        <v>95</v>
      </c>
      <c r="T83" t="s">
        <v>45</v>
      </c>
      <c r="U83" t="s">
        <v>46</v>
      </c>
      <c r="V83" t="s">
        <v>109</v>
      </c>
      <c r="W83" t="s">
        <v>101</v>
      </c>
    </row>
    <row r="84" spans="1:23" ht="15" customHeight="1" x14ac:dyDescent="0.3">
      <c r="A84" t="s">
        <v>8</v>
      </c>
      <c r="B84">
        <v>332</v>
      </c>
      <c r="C84" t="s">
        <v>33</v>
      </c>
      <c r="D84" t="s">
        <v>105</v>
      </c>
      <c r="E84" t="s">
        <v>34</v>
      </c>
      <c r="F84" t="s">
        <v>94</v>
      </c>
      <c r="G84" t="s">
        <v>36</v>
      </c>
      <c r="H84" t="s">
        <v>37</v>
      </c>
      <c r="I84" t="s">
        <v>105</v>
      </c>
      <c r="J84" t="s">
        <v>95</v>
      </c>
      <c r="K84" t="s">
        <v>96</v>
      </c>
      <c r="L84" s="21" t="s">
        <v>97</v>
      </c>
      <c r="M84" t="s">
        <v>106</v>
      </c>
      <c r="N84" t="s">
        <v>72</v>
      </c>
      <c r="R84" t="s">
        <v>110</v>
      </c>
      <c r="S84" t="s">
        <v>95</v>
      </c>
      <c r="T84" t="s">
        <v>45</v>
      </c>
      <c r="U84" t="s">
        <v>46</v>
      </c>
      <c r="V84" t="s">
        <v>109</v>
      </c>
      <c r="W84" t="s">
        <v>101</v>
      </c>
    </row>
    <row r="85" spans="1:23" ht="15" customHeight="1" x14ac:dyDescent="0.3">
      <c r="A85" t="s">
        <v>8</v>
      </c>
      <c r="B85">
        <v>332</v>
      </c>
      <c r="C85" t="s">
        <v>33</v>
      </c>
      <c r="D85" t="s">
        <v>105</v>
      </c>
      <c r="E85" t="s">
        <v>34</v>
      </c>
      <c r="F85" t="s">
        <v>94</v>
      </c>
      <c r="G85" t="s">
        <v>36</v>
      </c>
      <c r="H85" t="s">
        <v>37</v>
      </c>
      <c r="I85" t="s">
        <v>105</v>
      </c>
      <c r="J85" t="s">
        <v>95</v>
      </c>
      <c r="K85" t="s">
        <v>96</v>
      </c>
      <c r="L85" s="21" t="s">
        <v>97</v>
      </c>
      <c r="M85" t="s">
        <v>106</v>
      </c>
      <c r="N85" t="s">
        <v>72</v>
      </c>
      <c r="R85" t="s">
        <v>111</v>
      </c>
      <c r="S85" t="s">
        <v>95</v>
      </c>
      <c r="T85" t="s">
        <v>45</v>
      </c>
      <c r="U85" t="s">
        <v>46</v>
      </c>
      <c r="V85" t="s">
        <v>109</v>
      </c>
      <c r="W85" t="s">
        <v>101</v>
      </c>
    </row>
    <row r="86" spans="1:23" ht="15" customHeight="1" x14ac:dyDescent="0.3">
      <c r="A86" t="s">
        <v>8</v>
      </c>
      <c r="B86">
        <v>332</v>
      </c>
      <c r="C86" t="s">
        <v>33</v>
      </c>
      <c r="D86" t="s">
        <v>105</v>
      </c>
      <c r="E86" t="s">
        <v>34</v>
      </c>
      <c r="F86" t="s">
        <v>94</v>
      </c>
      <c r="G86" t="s">
        <v>36</v>
      </c>
      <c r="H86" t="s">
        <v>37</v>
      </c>
      <c r="I86" t="s">
        <v>105</v>
      </c>
      <c r="J86" t="s">
        <v>95</v>
      </c>
      <c r="K86" t="s">
        <v>96</v>
      </c>
      <c r="L86" s="21" t="s">
        <v>97</v>
      </c>
      <c r="M86" t="s">
        <v>106</v>
      </c>
      <c r="N86" t="s">
        <v>72</v>
      </c>
      <c r="R86" t="s">
        <v>112</v>
      </c>
      <c r="S86" t="s">
        <v>95</v>
      </c>
      <c r="T86" t="s">
        <v>45</v>
      </c>
      <c r="U86" t="s">
        <v>46</v>
      </c>
      <c r="V86" t="s">
        <v>109</v>
      </c>
      <c r="W86" t="s">
        <v>101</v>
      </c>
    </row>
    <row r="87" spans="1:23" ht="15" customHeight="1" x14ac:dyDescent="0.3">
      <c r="A87" t="s">
        <v>8</v>
      </c>
      <c r="B87">
        <v>332</v>
      </c>
      <c r="C87" t="s">
        <v>33</v>
      </c>
      <c r="D87" t="s">
        <v>105</v>
      </c>
      <c r="E87" t="s">
        <v>34</v>
      </c>
      <c r="F87" t="s">
        <v>94</v>
      </c>
      <c r="G87" t="s">
        <v>36</v>
      </c>
      <c r="H87" t="s">
        <v>52</v>
      </c>
      <c r="I87" t="s">
        <v>105</v>
      </c>
      <c r="J87" t="s">
        <v>1297</v>
      </c>
      <c r="K87" s="21" t="s">
        <v>1298</v>
      </c>
      <c r="L87" s="21" t="s">
        <v>97</v>
      </c>
      <c r="M87" t="s">
        <v>106</v>
      </c>
      <c r="N87" t="s">
        <v>72</v>
      </c>
      <c r="R87" t="s">
        <v>108</v>
      </c>
      <c r="S87" t="s">
        <v>1297</v>
      </c>
      <c r="T87" t="s">
        <v>1231</v>
      </c>
      <c r="U87" t="s">
        <v>1232</v>
      </c>
      <c r="V87" t="s">
        <v>1299</v>
      </c>
      <c r="W87" t="s">
        <v>1300</v>
      </c>
    </row>
    <row r="88" spans="1:23" ht="15" customHeight="1" x14ac:dyDescent="0.3">
      <c r="A88" t="s">
        <v>8</v>
      </c>
      <c r="B88">
        <v>332</v>
      </c>
      <c r="C88" t="s">
        <v>33</v>
      </c>
      <c r="D88" t="s">
        <v>105</v>
      </c>
      <c r="E88" t="s">
        <v>34</v>
      </c>
      <c r="F88" t="s">
        <v>94</v>
      </c>
      <c r="G88" t="s">
        <v>36</v>
      </c>
      <c r="H88" t="s">
        <v>52</v>
      </c>
      <c r="I88" t="s">
        <v>105</v>
      </c>
      <c r="J88" t="s">
        <v>1297</v>
      </c>
      <c r="K88" s="21" t="s">
        <v>1298</v>
      </c>
      <c r="L88" s="21" t="s">
        <v>97</v>
      </c>
      <c r="M88" t="s">
        <v>106</v>
      </c>
      <c r="N88" t="s">
        <v>72</v>
      </c>
      <c r="R88" t="s">
        <v>110</v>
      </c>
      <c r="S88" t="s">
        <v>1297</v>
      </c>
      <c r="T88" t="s">
        <v>1231</v>
      </c>
      <c r="U88" t="s">
        <v>1232</v>
      </c>
      <c r="V88" t="s">
        <v>1299</v>
      </c>
      <c r="W88" t="s">
        <v>1300</v>
      </c>
    </row>
    <row r="89" spans="1:23" ht="15" customHeight="1" x14ac:dyDescent="0.3">
      <c r="A89" t="s">
        <v>8</v>
      </c>
      <c r="B89">
        <v>332</v>
      </c>
      <c r="C89" t="s">
        <v>33</v>
      </c>
      <c r="D89" t="s">
        <v>105</v>
      </c>
      <c r="E89" t="s">
        <v>34</v>
      </c>
      <c r="F89" t="s">
        <v>94</v>
      </c>
      <c r="G89" t="s">
        <v>36</v>
      </c>
      <c r="H89" t="s">
        <v>52</v>
      </c>
      <c r="I89" t="s">
        <v>105</v>
      </c>
      <c r="J89" t="s">
        <v>1297</v>
      </c>
      <c r="K89" s="21" t="s">
        <v>1298</v>
      </c>
      <c r="L89" s="21" t="s">
        <v>97</v>
      </c>
      <c r="M89" t="s">
        <v>106</v>
      </c>
      <c r="N89" t="s">
        <v>72</v>
      </c>
      <c r="R89" t="s">
        <v>111</v>
      </c>
      <c r="S89" t="s">
        <v>1297</v>
      </c>
      <c r="T89" t="s">
        <v>1231</v>
      </c>
      <c r="U89" t="s">
        <v>1232</v>
      </c>
      <c r="V89" t="s">
        <v>1299</v>
      </c>
      <c r="W89" t="s">
        <v>1300</v>
      </c>
    </row>
    <row r="90" spans="1:23" ht="15" customHeight="1" x14ac:dyDescent="0.3">
      <c r="A90" t="s">
        <v>8</v>
      </c>
      <c r="B90">
        <v>332</v>
      </c>
      <c r="C90" t="s">
        <v>33</v>
      </c>
      <c r="D90" t="s">
        <v>105</v>
      </c>
      <c r="E90" t="s">
        <v>34</v>
      </c>
      <c r="F90" t="s">
        <v>94</v>
      </c>
      <c r="G90" t="s">
        <v>36</v>
      </c>
      <c r="H90" t="s">
        <v>52</v>
      </c>
      <c r="I90" t="s">
        <v>105</v>
      </c>
      <c r="J90" t="s">
        <v>1297</v>
      </c>
      <c r="K90" s="21" t="s">
        <v>1298</v>
      </c>
      <c r="L90" s="21" t="s">
        <v>97</v>
      </c>
      <c r="M90" t="s">
        <v>106</v>
      </c>
      <c r="N90" t="s">
        <v>72</v>
      </c>
      <c r="R90" t="s">
        <v>112</v>
      </c>
      <c r="S90" t="s">
        <v>1297</v>
      </c>
      <c r="T90" t="s">
        <v>1231</v>
      </c>
      <c r="U90" t="s">
        <v>1232</v>
      </c>
      <c r="V90" t="s">
        <v>1299</v>
      </c>
      <c r="W90" t="s">
        <v>1300</v>
      </c>
    </row>
    <row r="91" spans="1:23" ht="15" customHeight="1" x14ac:dyDescent="0.3">
      <c r="A91" t="s">
        <v>8</v>
      </c>
      <c r="B91">
        <v>332</v>
      </c>
      <c r="C91" t="s">
        <v>33</v>
      </c>
      <c r="D91" t="s">
        <v>105</v>
      </c>
      <c r="E91" t="s">
        <v>34</v>
      </c>
      <c r="F91" t="s">
        <v>94</v>
      </c>
      <c r="G91" t="s">
        <v>36</v>
      </c>
      <c r="H91" t="s">
        <v>57</v>
      </c>
      <c r="I91" t="s">
        <v>105</v>
      </c>
      <c r="J91" t="s">
        <v>1301</v>
      </c>
      <c r="K91" s="21" t="s">
        <v>1302</v>
      </c>
      <c r="L91" s="21" t="s">
        <v>97</v>
      </c>
      <c r="M91" t="s">
        <v>106</v>
      </c>
      <c r="N91" t="s">
        <v>72</v>
      </c>
      <c r="R91" t="s">
        <v>108</v>
      </c>
      <c r="S91" t="s">
        <v>1301</v>
      </c>
      <c r="T91" t="s">
        <v>1231</v>
      </c>
      <c r="U91" t="s">
        <v>1241</v>
      </c>
      <c r="V91" t="s">
        <v>1299</v>
      </c>
      <c r="W91" t="s">
        <v>1300</v>
      </c>
    </row>
    <row r="92" spans="1:23" ht="15" customHeight="1" x14ac:dyDescent="0.3">
      <c r="A92" t="s">
        <v>8</v>
      </c>
      <c r="B92">
        <v>332</v>
      </c>
      <c r="C92" t="s">
        <v>33</v>
      </c>
      <c r="D92" t="s">
        <v>105</v>
      </c>
      <c r="E92" t="s">
        <v>34</v>
      </c>
      <c r="F92" t="s">
        <v>94</v>
      </c>
      <c r="G92" t="s">
        <v>36</v>
      </c>
      <c r="H92" t="s">
        <v>57</v>
      </c>
      <c r="I92" t="s">
        <v>105</v>
      </c>
      <c r="J92" t="s">
        <v>1301</v>
      </c>
      <c r="K92" s="21" t="s">
        <v>1302</v>
      </c>
      <c r="L92" s="21" t="s">
        <v>97</v>
      </c>
      <c r="M92" t="s">
        <v>106</v>
      </c>
      <c r="N92" t="s">
        <v>72</v>
      </c>
      <c r="R92" t="s">
        <v>110</v>
      </c>
      <c r="S92" t="s">
        <v>1301</v>
      </c>
      <c r="T92" t="s">
        <v>1231</v>
      </c>
      <c r="U92" t="s">
        <v>1241</v>
      </c>
      <c r="V92" t="s">
        <v>1299</v>
      </c>
      <c r="W92" t="s">
        <v>1300</v>
      </c>
    </row>
    <row r="93" spans="1:23" ht="15" customHeight="1" x14ac:dyDescent="0.3">
      <c r="A93" t="s">
        <v>8</v>
      </c>
      <c r="B93">
        <v>332</v>
      </c>
      <c r="C93" t="s">
        <v>33</v>
      </c>
      <c r="D93" t="s">
        <v>105</v>
      </c>
      <c r="E93" t="s">
        <v>34</v>
      </c>
      <c r="F93" t="s">
        <v>94</v>
      </c>
      <c r="G93" t="s">
        <v>36</v>
      </c>
      <c r="H93" t="s">
        <v>57</v>
      </c>
      <c r="I93" t="s">
        <v>105</v>
      </c>
      <c r="J93" t="s">
        <v>1301</v>
      </c>
      <c r="K93" s="21" t="s">
        <v>1302</v>
      </c>
      <c r="L93" s="21" t="s">
        <v>97</v>
      </c>
      <c r="M93" t="s">
        <v>106</v>
      </c>
      <c r="N93" t="s">
        <v>72</v>
      </c>
      <c r="R93" t="s">
        <v>111</v>
      </c>
      <c r="S93" t="s">
        <v>1301</v>
      </c>
      <c r="T93" t="s">
        <v>1231</v>
      </c>
      <c r="U93" t="s">
        <v>1241</v>
      </c>
      <c r="V93" t="s">
        <v>1299</v>
      </c>
      <c r="W93" t="s">
        <v>1300</v>
      </c>
    </row>
    <row r="94" spans="1:23" ht="15" customHeight="1" x14ac:dyDescent="0.3">
      <c r="A94" t="s">
        <v>8</v>
      </c>
      <c r="B94">
        <v>332</v>
      </c>
      <c r="C94" t="s">
        <v>33</v>
      </c>
      <c r="D94" t="s">
        <v>105</v>
      </c>
      <c r="E94" t="s">
        <v>34</v>
      </c>
      <c r="F94" t="s">
        <v>94</v>
      </c>
      <c r="G94" t="s">
        <v>36</v>
      </c>
      <c r="H94" t="s">
        <v>57</v>
      </c>
      <c r="I94" t="s">
        <v>105</v>
      </c>
      <c r="J94" t="s">
        <v>1301</v>
      </c>
      <c r="K94" s="21" t="s">
        <v>1302</v>
      </c>
      <c r="L94" s="21" t="s">
        <v>97</v>
      </c>
      <c r="M94" t="s">
        <v>106</v>
      </c>
      <c r="N94" t="s">
        <v>72</v>
      </c>
      <c r="R94" t="s">
        <v>112</v>
      </c>
      <c r="S94" t="s">
        <v>1301</v>
      </c>
      <c r="T94" t="s">
        <v>1231</v>
      </c>
      <c r="U94" t="s">
        <v>1241</v>
      </c>
      <c r="V94" t="s">
        <v>1299</v>
      </c>
      <c r="W94" t="s">
        <v>1300</v>
      </c>
    </row>
    <row r="95" spans="1:23" ht="15" customHeight="1" x14ac:dyDescent="0.3">
      <c r="A95" t="s">
        <v>8</v>
      </c>
      <c r="B95">
        <v>332</v>
      </c>
      <c r="C95" t="s">
        <v>33</v>
      </c>
      <c r="D95" t="s">
        <v>105</v>
      </c>
      <c r="E95" t="s">
        <v>34</v>
      </c>
      <c r="F95" t="s">
        <v>94</v>
      </c>
      <c r="G95" t="s">
        <v>36</v>
      </c>
      <c r="H95" t="s">
        <v>49</v>
      </c>
      <c r="I95" t="s">
        <v>105</v>
      </c>
      <c r="J95" t="s">
        <v>1303</v>
      </c>
      <c r="K95" s="21" t="s">
        <v>1304</v>
      </c>
      <c r="L95" s="21" t="s">
        <v>97</v>
      </c>
      <c r="M95" t="s">
        <v>106</v>
      </c>
      <c r="N95" t="s">
        <v>72</v>
      </c>
      <c r="R95" t="s">
        <v>108</v>
      </c>
      <c r="S95" t="s">
        <v>1303</v>
      </c>
      <c r="T95" t="s">
        <v>1231</v>
      </c>
      <c r="U95" t="s">
        <v>1241</v>
      </c>
      <c r="V95" t="s">
        <v>1305</v>
      </c>
      <c r="W95" t="s">
        <v>1306</v>
      </c>
    </row>
    <row r="96" spans="1:23" ht="15" customHeight="1" x14ac:dyDescent="0.3">
      <c r="A96" t="s">
        <v>8</v>
      </c>
      <c r="B96">
        <v>332</v>
      </c>
      <c r="C96" t="s">
        <v>33</v>
      </c>
      <c r="D96" t="s">
        <v>105</v>
      </c>
      <c r="E96" t="s">
        <v>34</v>
      </c>
      <c r="F96" t="s">
        <v>94</v>
      </c>
      <c r="G96" t="s">
        <v>36</v>
      </c>
      <c r="H96" t="s">
        <v>49</v>
      </c>
      <c r="I96" t="s">
        <v>105</v>
      </c>
      <c r="J96" t="s">
        <v>1303</v>
      </c>
      <c r="K96" s="21" t="s">
        <v>1304</v>
      </c>
      <c r="L96" s="21" t="s">
        <v>97</v>
      </c>
      <c r="M96" t="s">
        <v>106</v>
      </c>
      <c r="N96" t="s">
        <v>72</v>
      </c>
      <c r="R96" t="s">
        <v>110</v>
      </c>
      <c r="S96" t="s">
        <v>1303</v>
      </c>
      <c r="T96" t="s">
        <v>1231</v>
      </c>
      <c r="U96" t="s">
        <v>1241</v>
      </c>
      <c r="V96" t="s">
        <v>1305</v>
      </c>
      <c r="W96" t="s">
        <v>1306</v>
      </c>
    </row>
    <row r="97" spans="1:23" ht="15" customHeight="1" x14ac:dyDescent="0.3">
      <c r="A97" t="s">
        <v>8</v>
      </c>
      <c r="B97">
        <v>332</v>
      </c>
      <c r="C97" t="s">
        <v>33</v>
      </c>
      <c r="D97" t="s">
        <v>105</v>
      </c>
      <c r="E97" t="s">
        <v>34</v>
      </c>
      <c r="F97" t="s">
        <v>94</v>
      </c>
      <c r="G97" t="s">
        <v>36</v>
      </c>
      <c r="H97" t="s">
        <v>49</v>
      </c>
      <c r="I97" t="s">
        <v>105</v>
      </c>
      <c r="J97" t="s">
        <v>1303</v>
      </c>
      <c r="K97" s="21" t="s">
        <v>1304</v>
      </c>
      <c r="L97" s="21" t="s">
        <v>97</v>
      </c>
      <c r="M97" t="s">
        <v>106</v>
      </c>
      <c r="N97" t="s">
        <v>72</v>
      </c>
      <c r="R97" t="s">
        <v>111</v>
      </c>
      <c r="S97" t="s">
        <v>1303</v>
      </c>
      <c r="T97" t="s">
        <v>1231</v>
      </c>
      <c r="U97" t="s">
        <v>1241</v>
      </c>
      <c r="V97" t="s">
        <v>1305</v>
      </c>
      <c r="W97" t="s">
        <v>1306</v>
      </c>
    </row>
    <row r="98" spans="1:23" ht="15" customHeight="1" x14ac:dyDescent="0.3">
      <c r="A98" t="s">
        <v>8</v>
      </c>
      <c r="B98">
        <v>332</v>
      </c>
      <c r="C98" t="s">
        <v>33</v>
      </c>
      <c r="D98" t="s">
        <v>105</v>
      </c>
      <c r="E98" t="s">
        <v>34</v>
      </c>
      <c r="F98" t="s">
        <v>94</v>
      </c>
      <c r="G98" t="s">
        <v>36</v>
      </c>
      <c r="H98" t="s">
        <v>49</v>
      </c>
      <c r="I98" t="s">
        <v>105</v>
      </c>
      <c r="J98" t="s">
        <v>1303</v>
      </c>
      <c r="K98" s="21" t="s">
        <v>1304</v>
      </c>
      <c r="L98" s="21" t="s">
        <v>97</v>
      </c>
      <c r="M98" t="s">
        <v>106</v>
      </c>
      <c r="N98" t="s">
        <v>72</v>
      </c>
      <c r="R98" t="s">
        <v>112</v>
      </c>
      <c r="S98" t="s">
        <v>1303</v>
      </c>
      <c r="T98" t="s">
        <v>1231</v>
      </c>
      <c r="U98" t="s">
        <v>1241</v>
      </c>
      <c r="V98" t="s">
        <v>1305</v>
      </c>
      <c r="W98" t="s">
        <v>1306</v>
      </c>
    </row>
    <row r="99" spans="1:23" ht="15" customHeight="1" x14ac:dyDescent="0.3">
      <c r="A99" t="s">
        <v>8</v>
      </c>
      <c r="B99">
        <v>332</v>
      </c>
      <c r="C99" t="s">
        <v>33</v>
      </c>
      <c r="D99" t="s">
        <v>105</v>
      </c>
      <c r="E99" t="s">
        <v>34</v>
      </c>
      <c r="F99" t="s">
        <v>94</v>
      </c>
      <c r="G99" t="s">
        <v>36</v>
      </c>
      <c r="H99" t="s">
        <v>87</v>
      </c>
      <c r="I99" t="s">
        <v>105</v>
      </c>
      <c r="J99" t="s">
        <v>1307</v>
      </c>
      <c r="K99" s="21" t="s">
        <v>1308</v>
      </c>
      <c r="L99" s="21" t="s">
        <v>97</v>
      </c>
      <c r="M99" t="s">
        <v>106</v>
      </c>
      <c r="N99" t="s">
        <v>72</v>
      </c>
      <c r="R99" t="s">
        <v>108</v>
      </c>
      <c r="S99" t="s">
        <v>1307</v>
      </c>
      <c r="T99" t="s">
        <v>1249</v>
      </c>
      <c r="U99" t="s">
        <v>1275</v>
      </c>
      <c r="V99" t="s">
        <v>1299</v>
      </c>
      <c r="W99" t="s">
        <v>1300</v>
      </c>
    </row>
    <row r="100" spans="1:23" ht="15" customHeight="1" x14ac:dyDescent="0.3">
      <c r="A100" t="s">
        <v>8</v>
      </c>
      <c r="B100">
        <v>332</v>
      </c>
      <c r="C100" t="s">
        <v>33</v>
      </c>
      <c r="D100" t="s">
        <v>105</v>
      </c>
      <c r="E100" t="s">
        <v>34</v>
      </c>
      <c r="F100" t="s">
        <v>94</v>
      </c>
      <c r="G100" t="s">
        <v>36</v>
      </c>
      <c r="H100" t="s">
        <v>87</v>
      </c>
      <c r="I100" t="s">
        <v>105</v>
      </c>
      <c r="J100" t="s">
        <v>1307</v>
      </c>
      <c r="K100" s="21" t="s">
        <v>1308</v>
      </c>
      <c r="L100" s="21" t="s">
        <v>97</v>
      </c>
      <c r="M100" t="s">
        <v>106</v>
      </c>
      <c r="N100" t="s">
        <v>72</v>
      </c>
      <c r="R100" t="s">
        <v>110</v>
      </c>
      <c r="S100" t="s">
        <v>1307</v>
      </c>
      <c r="T100" t="s">
        <v>1249</v>
      </c>
      <c r="U100" t="s">
        <v>1275</v>
      </c>
      <c r="V100" t="s">
        <v>1299</v>
      </c>
      <c r="W100" t="s">
        <v>1300</v>
      </c>
    </row>
    <row r="101" spans="1:23" ht="15" customHeight="1" x14ac:dyDescent="0.3">
      <c r="A101" t="s">
        <v>8</v>
      </c>
      <c r="B101">
        <v>332</v>
      </c>
      <c r="C101" t="s">
        <v>33</v>
      </c>
      <c r="D101" t="s">
        <v>105</v>
      </c>
      <c r="E101" t="s">
        <v>34</v>
      </c>
      <c r="F101" t="s">
        <v>94</v>
      </c>
      <c r="G101" t="s">
        <v>36</v>
      </c>
      <c r="H101" t="s">
        <v>87</v>
      </c>
      <c r="I101" t="s">
        <v>105</v>
      </c>
      <c r="J101" t="s">
        <v>1307</v>
      </c>
      <c r="K101" s="21" t="s">
        <v>1308</v>
      </c>
      <c r="L101" s="21" t="s">
        <v>97</v>
      </c>
      <c r="M101" t="s">
        <v>106</v>
      </c>
      <c r="N101" t="s">
        <v>72</v>
      </c>
      <c r="R101" t="s">
        <v>111</v>
      </c>
      <c r="S101" t="s">
        <v>1307</v>
      </c>
      <c r="T101" t="s">
        <v>1249</v>
      </c>
      <c r="U101" t="s">
        <v>1275</v>
      </c>
      <c r="V101" t="s">
        <v>1299</v>
      </c>
      <c r="W101" t="s">
        <v>1300</v>
      </c>
    </row>
    <row r="102" spans="1:23" ht="15" customHeight="1" x14ac:dyDescent="0.3">
      <c r="A102" t="s">
        <v>8</v>
      </c>
      <c r="B102">
        <v>332</v>
      </c>
      <c r="C102" t="s">
        <v>33</v>
      </c>
      <c r="D102" t="s">
        <v>105</v>
      </c>
      <c r="E102" t="s">
        <v>34</v>
      </c>
      <c r="F102" t="s">
        <v>94</v>
      </c>
      <c r="G102" t="s">
        <v>36</v>
      </c>
      <c r="H102" t="s">
        <v>87</v>
      </c>
      <c r="I102" t="s">
        <v>105</v>
      </c>
      <c r="J102" t="s">
        <v>1307</v>
      </c>
      <c r="K102" s="21" t="s">
        <v>1308</v>
      </c>
      <c r="L102" s="21" t="s">
        <v>97</v>
      </c>
      <c r="M102" t="s">
        <v>106</v>
      </c>
      <c r="N102" t="s">
        <v>72</v>
      </c>
      <c r="R102" t="s">
        <v>112</v>
      </c>
      <c r="S102" t="s">
        <v>1307</v>
      </c>
      <c r="T102" t="s">
        <v>1249</v>
      </c>
      <c r="U102" t="s">
        <v>1275</v>
      </c>
      <c r="V102" t="s">
        <v>1299</v>
      </c>
      <c r="W102" t="s">
        <v>1300</v>
      </c>
    </row>
    <row r="103" spans="1:23" ht="15" customHeight="1" x14ac:dyDescent="0.3">
      <c r="A103" t="s">
        <v>8</v>
      </c>
      <c r="B103">
        <v>332</v>
      </c>
      <c r="C103" t="s">
        <v>33</v>
      </c>
      <c r="D103" t="s">
        <v>105</v>
      </c>
      <c r="E103" t="s">
        <v>34</v>
      </c>
      <c r="F103" t="s">
        <v>94</v>
      </c>
      <c r="G103" t="s">
        <v>36</v>
      </c>
      <c r="H103" t="s">
        <v>421</v>
      </c>
      <c r="I103" t="s">
        <v>105</v>
      </c>
      <c r="J103" t="s">
        <v>1309</v>
      </c>
      <c r="K103" s="21" t="s">
        <v>1310</v>
      </c>
      <c r="L103" s="21" t="s">
        <v>97</v>
      </c>
      <c r="M103" t="s">
        <v>106</v>
      </c>
      <c r="N103" t="s">
        <v>72</v>
      </c>
      <c r="R103" t="s">
        <v>108</v>
      </c>
      <c r="S103" t="s">
        <v>1309</v>
      </c>
      <c r="T103" t="s">
        <v>1249</v>
      </c>
      <c r="U103" t="s">
        <v>1311</v>
      </c>
      <c r="V103" t="s">
        <v>1299</v>
      </c>
      <c r="W103" t="s">
        <v>1300</v>
      </c>
    </row>
    <row r="104" spans="1:23" ht="15" customHeight="1" x14ac:dyDescent="0.3">
      <c r="A104" t="s">
        <v>8</v>
      </c>
      <c r="B104">
        <v>332</v>
      </c>
      <c r="C104" t="s">
        <v>33</v>
      </c>
      <c r="D104" t="s">
        <v>105</v>
      </c>
      <c r="E104" t="s">
        <v>34</v>
      </c>
      <c r="F104" t="s">
        <v>94</v>
      </c>
      <c r="G104" t="s">
        <v>36</v>
      </c>
      <c r="H104" t="s">
        <v>421</v>
      </c>
      <c r="I104" t="s">
        <v>105</v>
      </c>
      <c r="J104" t="s">
        <v>1309</v>
      </c>
      <c r="K104" s="21" t="s">
        <v>1310</v>
      </c>
      <c r="L104" s="21" t="s">
        <v>97</v>
      </c>
      <c r="M104" t="s">
        <v>106</v>
      </c>
      <c r="N104" t="s">
        <v>72</v>
      </c>
      <c r="R104" t="s">
        <v>110</v>
      </c>
      <c r="S104" t="s">
        <v>1309</v>
      </c>
      <c r="T104" t="s">
        <v>1249</v>
      </c>
      <c r="U104" t="s">
        <v>1311</v>
      </c>
      <c r="V104" t="s">
        <v>1299</v>
      </c>
      <c r="W104" t="s">
        <v>1300</v>
      </c>
    </row>
    <row r="105" spans="1:23" ht="15" customHeight="1" x14ac:dyDescent="0.3">
      <c r="A105" t="s">
        <v>8</v>
      </c>
      <c r="B105">
        <v>332</v>
      </c>
      <c r="C105" t="s">
        <v>33</v>
      </c>
      <c r="D105" t="s">
        <v>105</v>
      </c>
      <c r="E105" t="s">
        <v>34</v>
      </c>
      <c r="F105" t="s">
        <v>94</v>
      </c>
      <c r="G105" t="s">
        <v>36</v>
      </c>
      <c r="H105" t="s">
        <v>421</v>
      </c>
      <c r="I105" t="s">
        <v>105</v>
      </c>
      <c r="J105" t="s">
        <v>1309</v>
      </c>
      <c r="K105" s="21" t="s">
        <v>1310</v>
      </c>
      <c r="L105" s="21" t="s">
        <v>97</v>
      </c>
      <c r="M105" t="s">
        <v>106</v>
      </c>
      <c r="N105" t="s">
        <v>72</v>
      </c>
      <c r="R105" t="s">
        <v>111</v>
      </c>
      <c r="S105" t="s">
        <v>1309</v>
      </c>
      <c r="T105" t="s">
        <v>1249</v>
      </c>
      <c r="U105" t="s">
        <v>1311</v>
      </c>
      <c r="V105" t="s">
        <v>1299</v>
      </c>
      <c r="W105" t="s">
        <v>1300</v>
      </c>
    </row>
    <row r="106" spans="1:23" ht="15" customHeight="1" x14ac:dyDescent="0.3">
      <c r="A106" t="s">
        <v>8</v>
      </c>
      <c r="B106">
        <v>332</v>
      </c>
      <c r="C106" t="s">
        <v>33</v>
      </c>
      <c r="D106" t="s">
        <v>105</v>
      </c>
      <c r="E106" t="s">
        <v>34</v>
      </c>
      <c r="F106" t="s">
        <v>94</v>
      </c>
      <c r="G106" t="s">
        <v>36</v>
      </c>
      <c r="H106" t="s">
        <v>421</v>
      </c>
      <c r="I106" t="s">
        <v>105</v>
      </c>
      <c r="J106" t="s">
        <v>1309</v>
      </c>
      <c r="K106" s="21" t="s">
        <v>1310</v>
      </c>
      <c r="L106" s="21" t="s">
        <v>97</v>
      </c>
      <c r="M106" t="s">
        <v>106</v>
      </c>
      <c r="N106" t="s">
        <v>72</v>
      </c>
      <c r="R106" t="s">
        <v>112</v>
      </c>
      <c r="S106" t="s">
        <v>1309</v>
      </c>
      <c r="T106" t="s">
        <v>1249</v>
      </c>
      <c r="U106" t="s">
        <v>1311</v>
      </c>
      <c r="V106" t="s">
        <v>1299</v>
      </c>
      <c r="W106" t="s">
        <v>1300</v>
      </c>
    </row>
    <row r="107" spans="1:23" ht="15" customHeight="1" x14ac:dyDescent="0.3">
      <c r="A107" t="s">
        <v>8</v>
      </c>
      <c r="B107">
        <v>332</v>
      </c>
      <c r="C107" t="s">
        <v>33</v>
      </c>
      <c r="D107" t="s">
        <v>105</v>
      </c>
      <c r="E107" t="s">
        <v>34</v>
      </c>
      <c r="F107" t="s">
        <v>94</v>
      </c>
      <c r="G107" t="s">
        <v>36</v>
      </c>
      <c r="H107" t="s">
        <v>182</v>
      </c>
      <c r="I107" t="s">
        <v>105</v>
      </c>
      <c r="J107" t="s">
        <v>1312</v>
      </c>
      <c r="K107" s="21" t="s">
        <v>1313</v>
      </c>
      <c r="L107" s="21" t="s">
        <v>97</v>
      </c>
      <c r="M107" t="s">
        <v>106</v>
      </c>
      <c r="N107" t="s">
        <v>72</v>
      </c>
      <c r="R107" t="s">
        <v>108</v>
      </c>
      <c r="S107" t="s">
        <v>1312</v>
      </c>
      <c r="T107" t="s">
        <v>1249</v>
      </c>
      <c r="U107" t="s">
        <v>1282</v>
      </c>
      <c r="V107" t="s">
        <v>1299</v>
      </c>
      <c r="W107" t="s">
        <v>1300</v>
      </c>
    </row>
    <row r="108" spans="1:23" ht="15" customHeight="1" x14ac:dyDescent="0.3">
      <c r="A108" t="s">
        <v>8</v>
      </c>
      <c r="B108">
        <v>332</v>
      </c>
      <c r="C108" t="s">
        <v>33</v>
      </c>
      <c r="D108" t="s">
        <v>105</v>
      </c>
      <c r="E108" t="s">
        <v>34</v>
      </c>
      <c r="F108" t="s">
        <v>94</v>
      </c>
      <c r="G108" t="s">
        <v>36</v>
      </c>
      <c r="H108" t="s">
        <v>182</v>
      </c>
      <c r="I108" t="s">
        <v>105</v>
      </c>
      <c r="J108" t="s">
        <v>1312</v>
      </c>
      <c r="K108" s="21" t="s">
        <v>1313</v>
      </c>
      <c r="L108" s="21" t="s">
        <v>97</v>
      </c>
      <c r="M108" t="s">
        <v>106</v>
      </c>
      <c r="N108" t="s">
        <v>72</v>
      </c>
      <c r="R108" t="s">
        <v>110</v>
      </c>
      <c r="S108" t="s">
        <v>1312</v>
      </c>
      <c r="T108" t="s">
        <v>1249</v>
      </c>
      <c r="U108" t="s">
        <v>1282</v>
      </c>
      <c r="V108" t="s">
        <v>1299</v>
      </c>
      <c r="W108" t="s">
        <v>1300</v>
      </c>
    </row>
    <row r="109" spans="1:23" ht="15" customHeight="1" x14ac:dyDescent="0.3">
      <c r="A109" t="s">
        <v>8</v>
      </c>
      <c r="B109">
        <v>332</v>
      </c>
      <c r="C109" t="s">
        <v>33</v>
      </c>
      <c r="D109" t="s">
        <v>105</v>
      </c>
      <c r="E109" t="s">
        <v>34</v>
      </c>
      <c r="F109" t="s">
        <v>94</v>
      </c>
      <c r="G109" t="s">
        <v>36</v>
      </c>
      <c r="H109" t="s">
        <v>182</v>
      </c>
      <c r="I109" t="s">
        <v>105</v>
      </c>
      <c r="J109" t="s">
        <v>1312</v>
      </c>
      <c r="K109" s="21" t="s">
        <v>1313</v>
      </c>
      <c r="L109" s="21" t="s">
        <v>97</v>
      </c>
      <c r="M109" t="s">
        <v>106</v>
      </c>
      <c r="N109" t="s">
        <v>72</v>
      </c>
      <c r="R109" t="s">
        <v>111</v>
      </c>
      <c r="S109" t="s">
        <v>1312</v>
      </c>
      <c r="T109" t="s">
        <v>1249</v>
      </c>
      <c r="U109" t="s">
        <v>1282</v>
      </c>
      <c r="V109" t="s">
        <v>1299</v>
      </c>
      <c r="W109" t="s">
        <v>1300</v>
      </c>
    </row>
    <row r="110" spans="1:23" ht="15" customHeight="1" x14ac:dyDescent="0.3">
      <c r="A110" t="s">
        <v>8</v>
      </c>
      <c r="B110">
        <v>332</v>
      </c>
      <c r="C110" t="s">
        <v>33</v>
      </c>
      <c r="D110" t="s">
        <v>105</v>
      </c>
      <c r="E110" t="s">
        <v>34</v>
      </c>
      <c r="F110" t="s">
        <v>94</v>
      </c>
      <c r="G110" t="s">
        <v>36</v>
      </c>
      <c r="H110" t="s">
        <v>182</v>
      </c>
      <c r="I110" t="s">
        <v>105</v>
      </c>
      <c r="J110" t="s">
        <v>1312</v>
      </c>
      <c r="K110" s="21" t="s">
        <v>1313</v>
      </c>
      <c r="L110" s="21" t="s">
        <v>97</v>
      </c>
      <c r="M110" t="s">
        <v>106</v>
      </c>
      <c r="N110" t="s">
        <v>72</v>
      </c>
      <c r="R110" t="s">
        <v>112</v>
      </c>
      <c r="S110" t="s">
        <v>1312</v>
      </c>
      <c r="T110" t="s">
        <v>1249</v>
      </c>
      <c r="U110" t="s">
        <v>1282</v>
      </c>
      <c r="V110" t="s">
        <v>1299</v>
      </c>
      <c r="W110" t="s">
        <v>1300</v>
      </c>
    </row>
    <row r="111" spans="1:23" ht="15" customHeight="1" x14ac:dyDescent="0.3">
      <c r="A111" t="s">
        <v>8</v>
      </c>
      <c r="B111">
        <v>332</v>
      </c>
      <c r="C111" t="s">
        <v>33</v>
      </c>
      <c r="D111" t="s">
        <v>105</v>
      </c>
      <c r="E111" t="s">
        <v>34</v>
      </c>
      <c r="F111" t="s">
        <v>94</v>
      </c>
      <c r="G111" t="s">
        <v>36</v>
      </c>
      <c r="H111" t="s">
        <v>1242</v>
      </c>
      <c r="I111" t="s">
        <v>105</v>
      </c>
      <c r="J111" t="s">
        <v>1314</v>
      </c>
      <c r="K111" s="21" t="s">
        <v>1315</v>
      </c>
      <c r="L111" s="21" t="s">
        <v>97</v>
      </c>
      <c r="M111" t="s">
        <v>106</v>
      </c>
      <c r="N111" t="s">
        <v>72</v>
      </c>
      <c r="R111" t="s">
        <v>108</v>
      </c>
      <c r="S111" t="s">
        <v>1314</v>
      </c>
      <c r="T111" t="s">
        <v>1290</v>
      </c>
      <c r="U111" t="s">
        <v>1291</v>
      </c>
      <c r="V111" t="s">
        <v>1316</v>
      </c>
      <c r="W111" t="s">
        <v>1317</v>
      </c>
    </row>
    <row r="112" spans="1:23" ht="15" customHeight="1" x14ac:dyDescent="0.3">
      <c r="A112" t="s">
        <v>8</v>
      </c>
      <c r="B112">
        <v>332</v>
      </c>
      <c r="C112" t="s">
        <v>33</v>
      </c>
      <c r="D112" t="s">
        <v>105</v>
      </c>
      <c r="E112" t="s">
        <v>34</v>
      </c>
      <c r="F112" t="s">
        <v>94</v>
      </c>
      <c r="G112" t="s">
        <v>36</v>
      </c>
      <c r="H112" t="s">
        <v>1242</v>
      </c>
      <c r="I112" t="s">
        <v>105</v>
      </c>
      <c r="J112" t="s">
        <v>1314</v>
      </c>
      <c r="K112" s="21" t="s">
        <v>1315</v>
      </c>
      <c r="L112" s="21" t="s">
        <v>97</v>
      </c>
      <c r="M112" t="s">
        <v>106</v>
      </c>
      <c r="N112" t="s">
        <v>72</v>
      </c>
      <c r="R112" t="s">
        <v>110</v>
      </c>
      <c r="S112" t="s">
        <v>1314</v>
      </c>
      <c r="T112" t="s">
        <v>1290</v>
      </c>
      <c r="U112" t="s">
        <v>1291</v>
      </c>
      <c r="V112" t="s">
        <v>1316</v>
      </c>
      <c r="W112" t="s">
        <v>1317</v>
      </c>
    </row>
    <row r="113" spans="1:23" ht="15" customHeight="1" x14ac:dyDescent="0.3">
      <c r="A113" t="s">
        <v>8</v>
      </c>
      <c r="B113">
        <v>332</v>
      </c>
      <c r="C113" t="s">
        <v>33</v>
      </c>
      <c r="D113" t="s">
        <v>105</v>
      </c>
      <c r="E113" t="s">
        <v>34</v>
      </c>
      <c r="F113" t="s">
        <v>94</v>
      </c>
      <c r="G113" t="s">
        <v>36</v>
      </c>
      <c r="H113" t="s">
        <v>1242</v>
      </c>
      <c r="I113" t="s">
        <v>105</v>
      </c>
      <c r="J113" t="s">
        <v>1314</v>
      </c>
      <c r="K113" s="21" t="s">
        <v>1315</v>
      </c>
      <c r="L113" s="21" t="s">
        <v>97</v>
      </c>
      <c r="M113" t="s">
        <v>106</v>
      </c>
      <c r="N113" t="s">
        <v>72</v>
      </c>
      <c r="R113" t="s">
        <v>111</v>
      </c>
      <c r="S113" t="s">
        <v>1314</v>
      </c>
      <c r="T113" t="s">
        <v>1290</v>
      </c>
      <c r="U113" t="s">
        <v>1291</v>
      </c>
      <c r="V113" t="s">
        <v>1316</v>
      </c>
      <c r="W113" t="s">
        <v>1317</v>
      </c>
    </row>
    <row r="114" spans="1:23" ht="15" customHeight="1" x14ac:dyDescent="0.3">
      <c r="A114" t="s">
        <v>8</v>
      </c>
      <c r="B114">
        <v>332</v>
      </c>
      <c r="C114" t="s">
        <v>33</v>
      </c>
      <c r="D114" t="s">
        <v>105</v>
      </c>
      <c r="E114" t="s">
        <v>34</v>
      </c>
      <c r="F114" t="s">
        <v>94</v>
      </c>
      <c r="G114" t="s">
        <v>36</v>
      </c>
      <c r="H114" t="s">
        <v>1242</v>
      </c>
      <c r="I114" t="s">
        <v>105</v>
      </c>
      <c r="J114" t="s">
        <v>1314</v>
      </c>
      <c r="K114" s="21" t="s">
        <v>1315</v>
      </c>
      <c r="L114" s="21" t="s">
        <v>97</v>
      </c>
      <c r="M114" t="s">
        <v>106</v>
      </c>
      <c r="N114" t="s">
        <v>72</v>
      </c>
      <c r="R114" t="s">
        <v>112</v>
      </c>
      <c r="S114" t="s">
        <v>1314</v>
      </c>
      <c r="T114" t="s">
        <v>1290</v>
      </c>
      <c r="U114" t="s">
        <v>1291</v>
      </c>
      <c r="V114" t="s">
        <v>1316</v>
      </c>
      <c r="W114" t="s">
        <v>1317</v>
      </c>
    </row>
    <row r="115" spans="1:23" ht="15" customHeight="1" x14ac:dyDescent="0.3">
      <c r="A115" t="s">
        <v>8</v>
      </c>
      <c r="B115">
        <v>332</v>
      </c>
      <c r="C115" t="s">
        <v>33</v>
      </c>
      <c r="D115" t="s">
        <v>105</v>
      </c>
      <c r="E115" t="s">
        <v>34</v>
      </c>
      <c r="F115" t="s">
        <v>94</v>
      </c>
      <c r="G115" t="s">
        <v>36</v>
      </c>
      <c r="H115" t="s">
        <v>425</v>
      </c>
      <c r="I115" t="s">
        <v>105</v>
      </c>
      <c r="J115" t="s">
        <v>1318</v>
      </c>
      <c r="K115" s="21" t="s">
        <v>1319</v>
      </c>
      <c r="L115" s="21" t="s">
        <v>97</v>
      </c>
      <c r="M115" t="s">
        <v>106</v>
      </c>
      <c r="N115" t="s">
        <v>72</v>
      </c>
      <c r="R115" t="s">
        <v>108</v>
      </c>
      <c r="S115" t="s">
        <v>1318</v>
      </c>
      <c r="T115" t="s">
        <v>1290</v>
      </c>
      <c r="U115" t="s">
        <v>1296</v>
      </c>
      <c r="V115" t="s">
        <v>1316</v>
      </c>
      <c r="W115" t="s">
        <v>1317</v>
      </c>
    </row>
    <row r="116" spans="1:23" ht="15" customHeight="1" x14ac:dyDescent="0.3">
      <c r="A116" t="s">
        <v>8</v>
      </c>
      <c r="B116">
        <v>332</v>
      </c>
      <c r="C116" t="s">
        <v>33</v>
      </c>
      <c r="D116" t="s">
        <v>105</v>
      </c>
      <c r="E116" t="s">
        <v>34</v>
      </c>
      <c r="F116" t="s">
        <v>94</v>
      </c>
      <c r="G116" t="s">
        <v>36</v>
      </c>
      <c r="H116" t="s">
        <v>425</v>
      </c>
      <c r="I116" t="s">
        <v>105</v>
      </c>
      <c r="J116" t="s">
        <v>1318</v>
      </c>
      <c r="K116" s="21" t="s">
        <v>1319</v>
      </c>
      <c r="L116" s="21" t="s">
        <v>97</v>
      </c>
      <c r="M116" t="s">
        <v>106</v>
      </c>
      <c r="N116" t="s">
        <v>72</v>
      </c>
      <c r="R116" t="s">
        <v>110</v>
      </c>
      <c r="S116" t="s">
        <v>1318</v>
      </c>
      <c r="T116" t="s">
        <v>1290</v>
      </c>
      <c r="U116" t="s">
        <v>1296</v>
      </c>
      <c r="V116" t="s">
        <v>1316</v>
      </c>
      <c r="W116" t="s">
        <v>1317</v>
      </c>
    </row>
    <row r="117" spans="1:23" ht="15" customHeight="1" x14ac:dyDescent="0.3">
      <c r="A117" t="s">
        <v>8</v>
      </c>
      <c r="B117">
        <v>332</v>
      </c>
      <c r="C117" t="s">
        <v>33</v>
      </c>
      <c r="D117" t="s">
        <v>105</v>
      </c>
      <c r="E117" t="s">
        <v>34</v>
      </c>
      <c r="F117" t="s">
        <v>94</v>
      </c>
      <c r="G117" t="s">
        <v>36</v>
      </c>
      <c r="H117" t="s">
        <v>425</v>
      </c>
      <c r="I117" t="s">
        <v>105</v>
      </c>
      <c r="J117" t="s">
        <v>1318</v>
      </c>
      <c r="K117" s="21" t="s">
        <v>1319</v>
      </c>
      <c r="L117" s="21" t="s">
        <v>97</v>
      </c>
      <c r="M117" t="s">
        <v>106</v>
      </c>
      <c r="N117" t="s">
        <v>72</v>
      </c>
      <c r="R117" t="s">
        <v>111</v>
      </c>
      <c r="S117" t="s">
        <v>1318</v>
      </c>
      <c r="T117" t="s">
        <v>1290</v>
      </c>
      <c r="U117" t="s">
        <v>1296</v>
      </c>
      <c r="V117" t="s">
        <v>1316</v>
      </c>
      <c r="W117" t="s">
        <v>1317</v>
      </c>
    </row>
    <row r="118" spans="1:23" ht="15" customHeight="1" x14ac:dyDescent="0.3">
      <c r="A118" t="s">
        <v>8</v>
      </c>
      <c r="B118">
        <v>332</v>
      </c>
      <c r="C118" t="s">
        <v>33</v>
      </c>
      <c r="D118" t="s">
        <v>105</v>
      </c>
      <c r="E118" t="s">
        <v>34</v>
      </c>
      <c r="F118" t="s">
        <v>94</v>
      </c>
      <c r="G118" t="s">
        <v>36</v>
      </c>
      <c r="H118" t="s">
        <v>425</v>
      </c>
      <c r="I118" t="s">
        <v>105</v>
      </c>
      <c r="J118" t="s">
        <v>1318</v>
      </c>
      <c r="K118" s="21" t="s">
        <v>1319</v>
      </c>
      <c r="L118" s="21" t="s">
        <v>97</v>
      </c>
      <c r="M118" t="s">
        <v>106</v>
      </c>
      <c r="N118" t="s">
        <v>72</v>
      </c>
      <c r="R118" t="s">
        <v>112</v>
      </c>
      <c r="S118" t="s">
        <v>1318</v>
      </c>
      <c r="T118" t="s">
        <v>1290</v>
      </c>
      <c r="U118" t="s">
        <v>1296</v>
      </c>
      <c r="V118" t="s">
        <v>1316</v>
      </c>
      <c r="W118" t="s">
        <v>1317</v>
      </c>
    </row>
    <row r="119" spans="1:23" ht="15" customHeight="1" x14ac:dyDescent="0.3">
      <c r="A119" t="s">
        <v>8</v>
      </c>
      <c r="B119">
        <v>333</v>
      </c>
      <c r="C119" t="s">
        <v>33</v>
      </c>
      <c r="D119" t="s">
        <v>113</v>
      </c>
      <c r="E119" t="s">
        <v>34</v>
      </c>
      <c r="F119" t="s">
        <v>114</v>
      </c>
      <c r="G119" t="s">
        <v>36</v>
      </c>
      <c r="H119" t="s">
        <v>37</v>
      </c>
      <c r="I119" t="s">
        <v>113</v>
      </c>
      <c r="J119" t="s">
        <v>115</v>
      </c>
      <c r="K119" t="s">
        <v>116</v>
      </c>
      <c r="L119" s="21" t="s">
        <v>117</v>
      </c>
      <c r="M119" t="s">
        <v>118</v>
      </c>
      <c r="N119" t="s">
        <v>42</v>
      </c>
      <c r="R119" t="s">
        <v>120</v>
      </c>
      <c r="S119" t="s">
        <v>115</v>
      </c>
      <c r="T119" t="s">
        <v>45</v>
      </c>
      <c r="U119" t="s">
        <v>46</v>
      </c>
      <c r="V119" t="s">
        <v>121</v>
      </c>
      <c r="W119" t="s">
        <v>122</v>
      </c>
    </row>
    <row r="120" spans="1:23" ht="15" customHeight="1" x14ac:dyDescent="0.3">
      <c r="A120" t="s">
        <v>8</v>
      </c>
      <c r="B120">
        <v>333</v>
      </c>
      <c r="C120" t="s">
        <v>33</v>
      </c>
      <c r="D120" t="s">
        <v>113</v>
      </c>
      <c r="E120" t="s">
        <v>34</v>
      </c>
      <c r="F120" t="s">
        <v>114</v>
      </c>
      <c r="G120" t="s">
        <v>36</v>
      </c>
      <c r="H120" t="s">
        <v>37</v>
      </c>
      <c r="I120" t="s">
        <v>113</v>
      </c>
      <c r="J120" t="s">
        <v>115</v>
      </c>
      <c r="K120" t="s">
        <v>116</v>
      </c>
      <c r="L120" s="21" t="s">
        <v>117</v>
      </c>
      <c r="M120" t="s">
        <v>118</v>
      </c>
      <c r="N120" t="s">
        <v>42</v>
      </c>
      <c r="R120" t="s">
        <v>123</v>
      </c>
      <c r="S120" t="s">
        <v>115</v>
      </c>
      <c r="T120" t="s">
        <v>45</v>
      </c>
      <c r="U120" t="s">
        <v>46</v>
      </c>
      <c r="V120" t="s">
        <v>121</v>
      </c>
      <c r="W120" t="s">
        <v>122</v>
      </c>
    </row>
    <row r="121" spans="1:23" ht="15" customHeight="1" x14ac:dyDescent="0.3">
      <c r="A121" t="s">
        <v>8</v>
      </c>
      <c r="B121">
        <v>333</v>
      </c>
      <c r="C121" t="s">
        <v>33</v>
      </c>
      <c r="D121" t="s">
        <v>113</v>
      </c>
      <c r="E121" t="s">
        <v>34</v>
      </c>
      <c r="F121" t="s">
        <v>114</v>
      </c>
      <c r="G121" t="s">
        <v>36</v>
      </c>
      <c r="H121" t="s">
        <v>37</v>
      </c>
      <c r="I121" t="s">
        <v>113</v>
      </c>
      <c r="J121" t="s">
        <v>115</v>
      </c>
      <c r="K121" t="s">
        <v>116</v>
      </c>
      <c r="L121" s="21" t="s">
        <v>117</v>
      </c>
      <c r="M121" t="s">
        <v>118</v>
      </c>
      <c r="N121" t="s">
        <v>42</v>
      </c>
      <c r="R121" t="s">
        <v>124</v>
      </c>
      <c r="S121" t="s">
        <v>115</v>
      </c>
      <c r="T121" t="s">
        <v>45</v>
      </c>
      <c r="U121" t="s">
        <v>46</v>
      </c>
      <c r="V121" t="s">
        <v>121</v>
      </c>
      <c r="W121" t="s">
        <v>122</v>
      </c>
    </row>
    <row r="122" spans="1:23" ht="15" customHeight="1" x14ac:dyDescent="0.3">
      <c r="A122" t="s">
        <v>8</v>
      </c>
      <c r="B122">
        <v>333</v>
      </c>
      <c r="C122" t="s">
        <v>33</v>
      </c>
      <c r="D122" t="s">
        <v>113</v>
      </c>
      <c r="E122" t="s">
        <v>34</v>
      </c>
      <c r="F122" t="s">
        <v>114</v>
      </c>
      <c r="G122" t="s">
        <v>36</v>
      </c>
      <c r="H122" t="s">
        <v>52</v>
      </c>
      <c r="I122" t="s">
        <v>113</v>
      </c>
      <c r="J122" t="s">
        <v>125</v>
      </c>
      <c r="K122" s="21" t="s">
        <v>126</v>
      </c>
      <c r="L122" s="21" t="s">
        <v>117</v>
      </c>
      <c r="M122" t="s">
        <v>118</v>
      </c>
      <c r="N122" t="s">
        <v>42</v>
      </c>
      <c r="R122" t="s">
        <v>120</v>
      </c>
      <c r="S122" t="s">
        <v>125</v>
      </c>
      <c r="T122" t="s">
        <v>45</v>
      </c>
      <c r="U122" t="s">
        <v>46</v>
      </c>
      <c r="V122" t="s">
        <v>127</v>
      </c>
      <c r="W122" t="s">
        <v>128</v>
      </c>
    </row>
    <row r="123" spans="1:23" ht="15" customHeight="1" x14ac:dyDescent="0.3">
      <c r="A123" t="s">
        <v>8</v>
      </c>
      <c r="B123">
        <v>333</v>
      </c>
      <c r="C123" t="s">
        <v>33</v>
      </c>
      <c r="D123" t="s">
        <v>113</v>
      </c>
      <c r="E123" t="s">
        <v>34</v>
      </c>
      <c r="F123" t="s">
        <v>114</v>
      </c>
      <c r="G123" t="s">
        <v>36</v>
      </c>
      <c r="H123" t="s">
        <v>52</v>
      </c>
      <c r="I123" t="s">
        <v>113</v>
      </c>
      <c r="J123" t="s">
        <v>125</v>
      </c>
      <c r="K123" s="21" t="s">
        <v>126</v>
      </c>
      <c r="L123" s="21" t="s">
        <v>117</v>
      </c>
      <c r="M123" t="s">
        <v>118</v>
      </c>
      <c r="N123" t="s">
        <v>42</v>
      </c>
      <c r="R123" t="s">
        <v>123</v>
      </c>
      <c r="S123" t="s">
        <v>125</v>
      </c>
      <c r="T123" t="s">
        <v>45</v>
      </c>
      <c r="U123" t="s">
        <v>46</v>
      </c>
      <c r="V123" t="s">
        <v>127</v>
      </c>
      <c r="W123" t="s">
        <v>128</v>
      </c>
    </row>
    <row r="124" spans="1:23" ht="15" customHeight="1" x14ac:dyDescent="0.3">
      <c r="A124" t="s">
        <v>8</v>
      </c>
      <c r="B124">
        <v>333</v>
      </c>
      <c r="C124" t="s">
        <v>33</v>
      </c>
      <c r="D124" t="s">
        <v>113</v>
      </c>
      <c r="E124" t="s">
        <v>34</v>
      </c>
      <c r="F124" t="s">
        <v>114</v>
      </c>
      <c r="G124" t="s">
        <v>36</v>
      </c>
      <c r="H124" t="s">
        <v>52</v>
      </c>
      <c r="I124" t="s">
        <v>113</v>
      </c>
      <c r="J124" t="s">
        <v>125</v>
      </c>
      <c r="K124" s="21" t="s">
        <v>126</v>
      </c>
      <c r="L124" s="21" t="s">
        <v>117</v>
      </c>
      <c r="M124" t="s">
        <v>118</v>
      </c>
      <c r="N124" t="s">
        <v>42</v>
      </c>
      <c r="R124" t="s">
        <v>124</v>
      </c>
      <c r="S124" t="s">
        <v>125</v>
      </c>
      <c r="T124" t="s">
        <v>45</v>
      </c>
      <c r="U124" t="s">
        <v>46</v>
      </c>
      <c r="V124" t="s">
        <v>127</v>
      </c>
      <c r="W124" t="s">
        <v>128</v>
      </c>
    </row>
    <row r="125" spans="1:23" ht="15" customHeight="1" x14ac:dyDescent="0.3">
      <c r="A125" t="s">
        <v>8</v>
      </c>
      <c r="B125">
        <v>335</v>
      </c>
      <c r="C125" t="s">
        <v>33</v>
      </c>
      <c r="D125" t="s">
        <v>129</v>
      </c>
      <c r="E125" t="s">
        <v>34</v>
      </c>
      <c r="F125" t="s">
        <v>130</v>
      </c>
      <c r="G125" t="s">
        <v>36</v>
      </c>
      <c r="H125" t="s">
        <v>37</v>
      </c>
      <c r="I125" t="s">
        <v>129</v>
      </c>
      <c r="J125" t="s">
        <v>131</v>
      </c>
      <c r="K125" t="s">
        <v>132</v>
      </c>
      <c r="L125" s="21" t="s">
        <v>133</v>
      </c>
      <c r="M125" t="s">
        <v>134</v>
      </c>
      <c r="N125" t="s">
        <v>42</v>
      </c>
      <c r="R125" t="s">
        <v>136</v>
      </c>
      <c r="S125" t="s">
        <v>131</v>
      </c>
      <c r="T125" t="s">
        <v>45</v>
      </c>
      <c r="U125" t="s">
        <v>46</v>
      </c>
      <c r="V125" t="s">
        <v>137</v>
      </c>
      <c r="W125" t="s">
        <v>138</v>
      </c>
    </row>
    <row r="126" spans="1:23" ht="15" customHeight="1" x14ac:dyDescent="0.3">
      <c r="A126" t="s">
        <v>8</v>
      </c>
      <c r="B126">
        <v>335</v>
      </c>
      <c r="C126" t="s">
        <v>33</v>
      </c>
      <c r="D126" t="s">
        <v>129</v>
      </c>
      <c r="E126" t="s">
        <v>34</v>
      </c>
      <c r="F126" t="s">
        <v>130</v>
      </c>
      <c r="G126" t="s">
        <v>36</v>
      </c>
      <c r="H126" t="s">
        <v>37</v>
      </c>
      <c r="I126" t="s">
        <v>129</v>
      </c>
      <c r="J126" t="s">
        <v>131</v>
      </c>
      <c r="K126" t="s">
        <v>132</v>
      </c>
      <c r="L126" s="21" t="s">
        <v>133</v>
      </c>
      <c r="M126" t="s">
        <v>134</v>
      </c>
      <c r="N126" t="s">
        <v>42</v>
      </c>
      <c r="R126" t="s">
        <v>139</v>
      </c>
      <c r="S126" t="s">
        <v>131</v>
      </c>
      <c r="T126" t="s">
        <v>45</v>
      </c>
      <c r="U126" t="s">
        <v>46</v>
      </c>
      <c r="V126" t="s">
        <v>137</v>
      </c>
      <c r="W126" t="s">
        <v>138</v>
      </c>
    </row>
    <row r="127" spans="1:23" ht="15" customHeight="1" x14ac:dyDescent="0.3">
      <c r="A127" t="s">
        <v>8</v>
      </c>
      <c r="B127">
        <v>335</v>
      </c>
      <c r="C127" t="s">
        <v>33</v>
      </c>
      <c r="D127" t="s">
        <v>129</v>
      </c>
      <c r="E127" t="s">
        <v>34</v>
      </c>
      <c r="F127" t="s">
        <v>130</v>
      </c>
      <c r="G127" t="s">
        <v>36</v>
      </c>
      <c r="H127" t="s">
        <v>37</v>
      </c>
      <c r="I127" t="s">
        <v>129</v>
      </c>
      <c r="J127" t="s">
        <v>131</v>
      </c>
      <c r="K127" t="s">
        <v>132</v>
      </c>
      <c r="L127" s="21" t="s">
        <v>133</v>
      </c>
      <c r="M127" t="s">
        <v>134</v>
      </c>
      <c r="N127" t="s">
        <v>42</v>
      </c>
      <c r="R127" t="s">
        <v>140</v>
      </c>
      <c r="S127" t="s">
        <v>131</v>
      </c>
      <c r="T127" t="s">
        <v>45</v>
      </c>
      <c r="U127" t="s">
        <v>46</v>
      </c>
      <c r="V127" t="s">
        <v>137</v>
      </c>
      <c r="W127" t="s">
        <v>138</v>
      </c>
    </row>
    <row r="128" spans="1:23" ht="15" customHeight="1" x14ac:dyDescent="0.3">
      <c r="A128" t="s">
        <v>8</v>
      </c>
      <c r="B128">
        <v>335</v>
      </c>
      <c r="C128" t="s">
        <v>33</v>
      </c>
      <c r="D128" t="s">
        <v>129</v>
      </c>
      <c r="E128" t="s">
        <v>34</v>
      </c>
      <c r="F128" t="s">
        <v>130</v>
      </c>
      <c r="G128" t="s">
        <v>36</v>
      </c>
      <c r="H128" t="s">
        <v>52</v>
      </c>
      <c r="I128" t="s">
        <v>129</v>
      </c>
      <c r="J128" t="s">
        <v>141</v>
      </c>
      <c r="K128" s="21" t="s">
        <v>142</v>
      </c>
      <c r="L128" s="21" t="s">
        <v>133</v>
      </c>
      <c r="M128" t="s">
        <v>134</v>
      </c>
      <c r="N128" t="s">
        <v>42</v>
      </c>
      <c r="R128" t="s">
        <v>136</v>
      </c>
      <c r="S128" t="s">
        <v>141</v>
      </c>
      <c r="T128" t="s">
        <v>45</v>
      </c>
      <c r="U128" t="s">
        <v>46</v>
      </c>
      <c r="V128" t="s">
        <v>143</v>
      </c>
      <c r="W128" t="s">
        <v>144</v>
      </c>
    </row>
    <row r="129" spans="1:23" ht="15" customHeight="1" x14ac:dyDescent="0.3">
      <c r="A129" t="s">
        <v>8</v>
      </c>
      <c r="B129">
        <v>335</v>
      </c>
      <c r="C129" t="s">
        <v>33</v>
      </c>
      <c r="D129" t="s">
        <v>129</v>
      </c>
      <c r="E129" t="s">
        <v>34</v>
      </c>
      <c r="F129" t="s">
        <v>130</v>
      </c>
      <c r="G129" t="s">
        <v>36</v>
      </c>
      <c r="H129" t="s">
        <v>52</v>
      </c>
      <c r="I129" t="s">
        <v>129</v>
      </c>
      <c r="J129" t="s">
        <v>141</v>
      </c>
      <c r="K129" s="21" t="s">
        <v>142</v>
      </c>
      <c r="L129" s="21" t="s">
        <v>133</v>
      </c>
      <c r="M129" t="s">
        <v>134</v>
      </c>
      <c r="N129" t="s">
        <v>42</v>
      </c>
      <c r="R129" t="s">
        <v>139</v>
      </c>
      <c r="S129" t="s">
        <v>141</v>
      </c>
      <c r="T129" t="s">
        <v>45</v>
      </c>
      <c r="U129" t="s">
        <v>46</v>
      </c>
      <c r="V129" t="s">
        <v>143</v>
      </c>
      <c r="W129" t="s">
        <v>144</v>
      </c>
    </row>
    <row r="130" spans="1:23" ht="15" customHeight="1" x14ac:dyDescent="0.3">
      <c r="A130" t="s">
        <v>8</v>
      </c>
      <c r="B130">
        <v>335</v>
      </c>
      <c r="C130" t="s">
        <v>33</v>
      </c>
      <c r="D130" t="s">
        <v>129</v>
      </c>
      <c r="E130" t="s">
        <v>34</v>
      </c>
      <c r="F130" t="s">
        <v>130</v>
      </c>
      <c r="G130" t="s">
        <v>36</v>
      </c>
      <c r="H130" t="s">
        <v>52</v>
      </c>
      <c r="I130" t="s">
        <v>129</v>
      </c>
      <c r="J130" t="s">
        <v>141</v>
      </c>
      <c r="K130" s="21" t="s">
        <v>142</v>
      </c>
      <c r="L130" s="21" t="s">
        <v>133</v>
      </c>
      <c r="M130" t="s">
        <v>134</v>
      </c>
      <c r="N130" t="s">
        <v>42</v>
      </c>
      <c r="R130" t="s">
        <v>140</v>
      </c>
      <c r="S130" t="s">
        <v>141</v>
      </c>
      <c r="T130" t="s">
        <v>45</v>
      </c>
      <c r="U130" t="s">
        <v>46</v>
      </c>
      <c r="V130" t="s">
        <v>143</v>
      </c>
      <c r="W130" t="s">
        <v>144</v>
      </c>
    </row>
    <row r="131" spans="1:23" ht="15" customHeight="1" x14ac:dyDescent="0.3">
      <c r="A131" t="s">
        <v>8</v>
      </c>
      <c r="B131">
        <v>335</v>
      </c>
      <c r="C131" t="s">
        <v>33</v>
      </c>
      <c r="D131" t="s">
        <v>129</v>
      </c>
      <c r="E131" t="s">
        <v>34</v>
      </c>
      <c r="F131" t="s">
        <v>130</v>
      </c>
      <c r="G131" t="s">
        <v>36</v>
      </c>
      <c r="H131" t="s">
        <v>57</v>
      </c>
      <c r="I131" t="s">
        <v>129</v>
      </c>
      <c r="J131" t="s">
        <v>145</v>
      </c>
      <c r="K131" s="21" t="s">
        <v>146</v>
      </c>
      <c r="L131" s="21" t="s">
        <v>133</v>
      </c>
      <c r="M131" t="s">
        <v>134</v>
      </c>
      <c r="N131" t="s">
        <v>42</v>
      </c>
      <c r="R131" t="s">
        <v>136</v>
      </c>
      <c r="S131" t="s">
        <v>145</v>
      </c>
      <c r="T131" t="s">
        <v>45</v>
      </c>
      <c r="U131" t="s">
        <v>46</v>
      </c>
      <c r="V131" t="s">
        <v>147</v>
      </c>
      <c r="W131" t="s">
        <v>148</v>
      </c>
    </row>
    <row r="132" spans="1:23" ht="15" customHeight="1" x14ac:dyDescent="0.3">
      <c r="A132" t="s">
        <v>8</v>
      </c>
      <c r="B132">
        <v>335</v>
      </c>
      <c r="C132" t="s">
        <v>33</v>
      </c>
      <c r="D132" t="s">
        <v>129</v>
      </c>
      <c r="E132" t="s">
        <v>34</v>
      </c>
      <c r="F132" t="s">
        <v>130</v>
      </c>
      <c r="G132" t="s">
        <v>36</v>
      </c>
      <c r="H132" t="s">
        <v>57</v>
      </c>
      <c r="I132" t="s">
        <v>129</v>
      </c>
      <c r="J132" t="s">
        <v>145</v>
      </c>
      <c r="K132" s="21" t="s">
        <v>146</v>
      </c>
      <c r="L132" s="21" t="s">
        <v>133</v>
      </c>
      <c r="M132" t="s">
        <v>134</v>
      </c>
      <c r="N132" t="s">
        <v>42</v>
      </c>
      <c r="R132" t="s">
        <v>139</v>
      </c>
      <c r="S132" t="s">
        <v>145</v>
      </c>
      <c r="T132" t="s">
        <v>45</v>
      </c>
      <c r="U132" t="s">
        <v>46</v>
      </c>
      <c r="V132" t="s">
        <v>147</v>
      </c>
      <c r="W132" t="s">
        <v>148</v>
      </c>
    </row>
    <row r="133" spans="1:23" ht="15" customHeight="1" x14ac:dyDescent="0.3">
      <c r="A133" t="s">
        <v>8</v>
      </c>
      <c r="B133">
        <v>335</v>
      </c>
      <c r="C133" t="s">
        <v>33</v>
      </c>
      <c r="D133" t="s">
        <v>129</v>
      </c>
      <c r="E133" t="s">
        <v>34</v>
      </c>
      <c r="F133" t="s">
        <v>130</v>
      </c>
      <c r="G133" t="s">
        <v>36</v>
      </c>
      <c r="H133" t="s">
        <v>57</v>
      </c>
      <c r="I133" t="s">
        <v>129</v>
      </c>
      <c r="J133" t="s">
        <v>145</v>
      </c>
      <c r="K133" s="21" t="s">
        <v>146</v>
      </c>
      <c r="L133" s="21" t="s">
        <v>133</v>
      </c>
      <c r="M133" t="s">
        <v>134</v>
      </c>
      <c r="N133" t="s">
        <v>42</v>
      </c>
      <c r="R133" t="s">
        <v>140</v>
      </c>
      <c r="S133" t="s">
        <v>145</v>
      </c>
      <c r="T133" t="s">
        <v>45</v>
      </c>
      <c r="U133" t="s">
        <v>46</v>
      </c>
      <c r="V133" t="s">
        <v>147</v>
      </c>
      <c r="W133" t="s">
        <v>148</v>
      </c>
    </row>
    <row r="134" spans="1:23" ht="15" customHeight="1" x14ac:dyDescent="0.3">
      <c r="A134" t="s">
        <v>8</v>
      </c>
      <c r="B134">
        <v>335</v>
      </c>
      <c r="C134" t="s">
        <v>33</v>
      </c>
      <c r="D134" t="s">
        <v>129</v>
      </c>
      <c r="E134" t="s">
        <v>34</v>
      </c>
      <c r="F134" t="s">
        <v>130</v>
      </c>
      <c r="G134" t="s">
        <v>36</v>
      </c>
      <c r="H134" t="s">
        <v>49</v>
      </c>
      <c r="I134" t="s">
        <v>129</v>
      </c>
      <c r="J134" t="s">
        <v>1320</v>
      </c>
      <c r="K134" s="21" t="s">
        <v>1321</v>
      </c>
      <c r="L134" s="21" t="s">
        <v>133</v>
      </c>
      <c r="M134" t="s">
        <v>134</v>
      </c>
      <c r="N134" t="s">
        <v>42</v>
      </c>
      <c r="R134" t="s">
        <v>136</v>
      </c>
      <c r="S134" t="s">
        <v>1320</v>
      </c>
      <c r="T134" t="s">
        <v>45</v>
      </c>
      <c r="U134" t="s">
        <v>1257</v>
      </c>
      <c r="V134" t="s">
        <v>137</v>
      </c>
      <c r="W134" t="s">
        <v>1322</v>
      </c>
    </row>
    <row r="135" spans="1:23" ht="15" customHeight="1" x14ac:dyDescent="0.3">
      <c r="A135" t="s">
        <v>8</v>
      </c>
      <c r="B135">
        <v>335</v>
      </c>
      <c r="C135" t="s">
        <v>33</v>
      </c>
      <c r="D135" t="s">
        <v>129</v>
      </c>
      <c r="E135" t="s">
        <v>34</v>
      </c>
      <c r="F135" t="s">
        <v>130</v>
      </c>
      <c r="G135" t="s">
        <v>36</v>
      </c>
      <c r="H135" t="s">
        <v>49</v>
      </c>
      <c r="I135" t="s">
        <v>129</v>
      </c>
      <c r="J135" t="s">
        <v>1320</v>
      </c>
      <c r="K135" s="21" t="s">
        <v>1321</v>
      </c>
      <c r="L135" s="21" t="s">
        <v>133</v>
      </c>
      <c r="M135" t="s">
        <v>134</v>
      </c>
      <c r="N135" t="s">
        <v>42</v>
      </c>
      <c r="R135" t="s">
        <v>139</v>
      </c>
      <c r="S135" t="s">
        <v>1320</v>
      </c>
      <c r="T135" t="s">
        <v>45</v>
      </c>
      <c r="U135" t="s">
        <v>1257</v>
      </c>
      <c r="V135" t="s">
        <v>137</v>
      </c>
      <c r="W135" t="s">
        <v>1322</v>
      </c>
    </row>
    <row r="136" spans="1:23" ht="15" customHeight="1" x14ac:dyDescent="0.3">
      <c r="A136" t="s">
        <v>8</v>
      </c>
      <c r="B136">
        <v>335</v>
      </c>
      <c r="C136" t="s">
        <v>33</v>
      </c>
      <c r="D136" t="s">
        <v>129</v>
      </c>
      <c r="E136" t="s">
        <v>34</v>
      </c>
      <c r="F136" t="s">
        <v>130</v>
      </c>
      <c r="G136" t="s">
        <v>36</v>
      </c>
      <c r="H136" t="s">
        <v>49</v>
      </c>
      <c r="I136" t="s">
        <v>129</v>
      </c>
      <c r="J136" t="s">
        <v>1320</v>
      </c>
      <c r="K136" s="21" t="s">
        <v>1321</v>
      </c>
      <c r="L136" s="21" t="s">
        <v>133</v>
      </c>
      <c r="M136" t="s">
        <v>134</v>
      </c>
      <c r="N136" t="s">
        <v>42</v>
      </c>
      <c r="R136" t="s">
        <v>140</v>
      </c>
      <c r="S136" t="s">
        <v>1320</v>
      </c>
      <c r="T136" t="s">
        <v>45</v>
      </c>
      <c r="U136" t="s">
        <v>1257</v>
      </c>
      <c r="V136" t="s">
        <v>137</v>
      </c>
      <c r="W136" t="s">
        <v>1322</v>
      </c>
    </row>
    <row r="137" spans="1:23" ht="15" customHeight="1" x14ac:dyDescent="0.3">
      <c r="A137" t="s">
        <v>8</v>
      </c>
      <c r="B137">
        <v>335</v>
      </c>
      <c r="C137" t="s">
        <v>33</v>
      </c>
      <c r="D137" t="s">
        <v>129</v>
      </c>
      <c r="E137" t="s">
        <v>34</v>
      </c>
      <c r="F137" t="s">
        <v>130</v>
      </c>
      <c r="G137" t="s">
        <v>36</v>
      </c>
      <c r="H137" t="s">
        <v>87</v>
      </c>
      <c r="I137" t="s">
        <v>129</v>
      </c>
      <c r="J137" t="s">
        <v>149</v>
      </c>
      <c r="K137" s="21" t="s">
        <v>150</v>
      </c>
      <c r="L137" s="21" t="s">
        <v>133</v>
      </c>
      <c r="M137" t="s">
        <v>134</v>
      </c>
      <c r="N137" t="s">
        <v>42</v>
      </c>
      <c r="R137" t="s">
        <v>136</v>
      </c>
      <c r="S137" t="s">
        <v>149</v>
      </c>
      <c r="T137" t="s">
        <v>45</v>
      </c>
      <c r="U137" t="s">
        <v>90</v>
      </c>
      <c r="V137" t="s">
        <v>137</v>
      </c>
      <c r="W137" t="s">
        <v>151</v>
      </c>
    </row>
    <row r="138" spans="1:23" ht="15" customHeight="1" x14ac:dyDescent="0.3">
      <c r="A138" t="s">
        <v>8</v>
      </c>
      <c r="B138">
        <v>335</v>
      </c>
      <c r="C138" t="s">
        <v>33</v>
      </c>
      <c r="D138" t="s">
        <v>129</v>
      </c>
      <c r="E138" t="s">
        <v>34</v>
      </c>
      <c r="F138" t="s">
        <v>130</v>
      </c>
      <c r="G138" t="s">
        <v>36</v>
      </c>
      <c r="H138" t="s">
        <v>87</v>
      </c>
      <c r="I138" t="s">
        <v>129</v>
      </c>
      <c r="J138" t="s">
        <v>149</v>
      </c>
      <c r="K138" s="21" t="s">
        <v>150</v>
      </c>
      <c r="L138" s="21" t="s">
        <v>133</v>
      </c>
      <c r="M138" t="s">
        <v>134</v>
      </c>
      <c r="N138" t="s">
        <v>42</v>
      </c>
      <c r="R138" t="s">
        <v>139</v>
      </c>
      <c r="S138" t="s">
        <v>149</v>
      </c>
      <c r="T138" t="s">
        <v>45</v>
      </c>
      <c r="U138" t="s">
        <v>90</v>
      </c>
      <c r="V138" t="s">
        <v>137</v>
      </c>
      <c r="W138" t="s">
        <v>151</v>
      </c>
    </row>
    <row r="139" spans="1:23" ht="15" customHeight="1" x14ac:dyDescent="0.3">
      <c r="A139" t="s">
        <v>8</v>
      </c>
      <c r="B139">
        <v>335</v>
      </c>
      <c r="C139" t="s">
        <v>33</v>
      </c>
      <c r="D139" t="s">
        <v>129</v>
      </c>
      <c r="E139" t="s">
        <v>34</v>
      </c>
      <c r="F139" t="s">
        <v>130</v>
      </c>
      <c r="G139" t="s">
        <v>36</v>
      </c>
      <c r="H139" t="s">
        <v>87</v>
      </c>
      <c r="I139" t="s">
        <v>129</v>
      </c>
      <c r="J139" t="s">
        <v>149</v>
      </c>
      <c r="K139" s="21" t="s">
        <v>150</v>
      </c>
      <c r="L139" s="21" t="s">
        <v>133</v>
      </c>
      <c r="M139" t="s">
        <v>134</v>
      </c>
      <c r="N139" t="s">
        <v>42</v>
      </c>
      <c r="R139" t="s">
        <v>140</v>
      </c>
      <c r="S139" t="s">
        <v>149</v>
      </c>
      <c r="T139" t="s">
        <v>45</v>
      </c>
      <c r="U139" t="s">
        <v>90</v>
      </c>
      <c r="V139" t="s">
        <v>137</v>
      </c>
      <c r="W139" t="s">
        <v>151</v>
      </c>
    </row>
    <row r="140" spans="1:23" ht="15" customHeight="1" x14ac:dyDescent="0.3">
      <c r="A140" t="s">
        <v>8</v>
      </c>
      <c r="B140">
        <v>335</v>
      </c>
      <c r="C140" t="s">
        <v>33</v>
      </c>
      <c r="D140" t="s">
        <v>129</v>
      </c>
      <c r="E140" t="s">
        <v>34</v>
      </c>
      <c r="F140" t="s">
        <v>130</v>
      </c>
      <c r="G140" t="s">
        <v>36</v>
      </c>
      <c r="H140" t="s">
        <v>421</v>
      </c>
      <c r="I140" t="s">
        <v>129</v>
      </c>
      <c r="J140" t="s">
        <v>1323</v>
      </c>
      <c r="K140" s="21" t="s">
        <v>1324</v>
      </c>
      <c r="L140" s="21" t="s">
        <v>133</v>
      </c>
      <c r="M140" t="s">
        <v>134</v>
      </c>
      <c r="N140" t="s">
        <v>42</v>
      </c>
      <c r="R140" t="s">
        <v>136</v>
      </c>
      <c r="S140" t="s">
        <v>1323</v>
      </c>
      <c r="T140" t="s">
        <v>1249</v>
      </c>
      <c r="U140" t="s">
        <v>1250</v>
      </c>
      <c r="V140" t="s">
        <v>137</v>
      </c>
      <c r="W140" t="s">
        <v>1325</v>
      </c>
    </row>
    <row r="141" spans="1:23" ht="15" customHeight="1" x14ac:dyDescent="0.3">
      <c r="A141" t="s">
        <v>8</v>
      </c>
      <c r="B141">
        <v>335</v>
      </c>
      <c r="C141" t="s">
        <v>33</v>
      </c>
      <c r="D141" t="s">
        <v>129</v>
      </c>
      <c r="E141" t="s">
        <v>34</v>
      </c>
      <c r="F141" t="s">
        <v>130</v>
      </c>
      <c r="G141" t="s">
        <v>36</v>
      </c>
      <c r="H141" t="s">
        <v>421</v>
      </c>
      <c r="I141" t="s">
        <v>129</v>
      </c>
      <c r="J141" t="s">
        <v>1323</v>
      </c>
      <c r="K141" s="21" t="s">
        <v>1324</v>
      </c>
      <c r="L141" s="21" t="s">
        <v>133</v>
      </c>
      <c r="M141" t="s">
        <v>134</v>
      </c>
      <c r="N141" t="s">
        <v>42</v>
      </c>
      <c r="R141" t="s">
        <v>139</v>
      </c>
      <c r="S141" t="s">
        <v>1323</v>
      </c>
      <c r="T141" t="s">
        <v>1249</v>
      </c>
      <c r="U141" t="s">
        <v>1250</v>
      </c>
      <c r="V141" t="s">
        <v>137</v>
      </c>
      <c r="W141" t="s">
        <v>1325</v>
      </c>
    </row>
    <row r="142" spans="1:23" ht="15" customHeight="1" x14ac:dyDescent="0.3">
      <c r="A142" t="s">
        <v>8</v>
      </c>
      <c r="B142">
        <v>335</v>
      </c>
      <c r="C142" t="s">
        <v>33</v>
      </c>
      <c r="D142" t="s">
        <v>129</v>
      </c>
      <c r="E142" t="s">
        <v>34</v>
      </c>
      <c r="F142" t="s">
        <v>130</v>
      </c>
      <c r="G142" t="s">
        <v>36</v>
      </c>
      <c r="H142" t="s">
        <v>421</v>
      </c>
      <c r="I142" t="s">
        <v>129</v>
      </c>
      <c r="J142" t="s">
        <v>1323</v>
      </c>
      <c r="K142" s="21" t="s">
        <v>1324</v>
      </c>
      <c r="L142" s="21" t="s">
        <v>133</v>
      </c>
      <c r="M142" t="s">
        <v>134</v>
      </c>
      <c r="N142" t="s">
        <v>42</v>
      </c>
      <c r="R142" t="s">
        <v>140</v>
      </c>
      <c r="S142" t="s">
        <v>1323</v>
      </c>
      <c r="T142" t="s">
        <v>1249</v>
      </c>
      <c r="U142" t="s">
        <v>1250</v>
      </c>
      <c r="V142" t="s">
        <v>137</v>
      </c>
      <c r="W142" t="s">
        <v>1325</v>
      </c>
    </row>
    <row r="143" spans="1:23" ht="15" customHeight="1" x14ac:dyDescent="0.3">
      <c r="A143" t="s">
        <v>8</v>
      </c>
      <c r="B143">
        <v>335</v>
      </c>
      <c r="C143" t="s">
        <v>33</v>
      </c>
      <c r="D143" t="s">
        <v>129</v>
      </c>
      <c r="E143" t="s">
        <v>34</v>
      </c>
      <c r="F143" t="s">
        <v>130</v>
      </c>
      <c r="G143" t="s">
        <v>36</v>
      </c>
      <c r="H143" t="s">
        <v>182</v>
      </c>
      <c r="I143" t="s">
        <v>129</v>
      </c>
      <c r="J143" t="s">
        <v>1326</v>
      </c>
      <c r="K143" s="21" t="s">
        <v>1327</v>
      </c>
      <c r="L143" s="21" t="s">
        <v>133</v>
      </c>
      <c r="M143" t="s">
        <v>134</v>
      </c>
      <c r="N143" t="s">
        <v>42</v>
      </c>
      <c r="R143" t="s">
        <v>136</v>
      </c>
      <c r="S143" t="s">
        <v>1326</v>
      </c>
      <c r="T143" t="s">
        <v>1249</v>
      </c>
      <c r="U143" t="s">
        <v>1286</v>
      </c>
      <c r="V143" t="s">
        <v>137</v>
      </c>
      <c r="W143" t="s">
        <v>1325</v>
      </c>
    </row>
    <row r="144" spans="1:23" ht="15" customHeight="1" x14ac:dyDescent="0.3">
      <c r="A144" t="s">
        <v>8</v>
      </c>
      <c r="B144">
        <v>335</v>
      </c>
      <c r="C144" t="s">
        <v>33</v>
      </c>
      <c r="D144" t="s">
        <v>129</v>
      </c>
      <c r="E144" t="s">
        <v>34</v>
      </c>
      <c r="F144" t="s">
        <v>130</v>
      </c>
      <c r="G144" t="s">
        <v>36</v>
      </c>
      <c r="H144" t="s">
        <v>182</v>
      </c>
      <c r="I144" t="s">
        <v>129</v>
      </c>
      <c r="J144" t="s">
        <v>1326</v>
      </c>
      <c r="K144" s="21" t="s">
        <v>1327</v>
      </c>
      <c r="L144" s="21" t="s">
        <v>133</v>
      </c>
      <c r="M144" t="s">
        <v>134</v>
      </c>
      <c r="N144" t="s">
        <v>42</v>
      </c>
      <c r="R144" t="s">
        <v>139</v>
      </c>
      <c r="S144" t="s">
        <v>1326</v>
      </c>
      <c r="T144" t="s">
        <v>1249</v>
      </c>
      <c r="U144" t="s">
        <v>1286</v>
      </c>
      <c r="V144" t="s">
        <v>137</v>
      </c>
      <c r="W144" t="s">
        <v>1325</v>
      </c>
    </row>
    <row r="145" spans="1:23" ht="15" customHeight="1" x14ac:dyDescent="0.3">
      <c r="A145" t="s">
        <v>8</v>
      </c>
      <c r="B145">
        <v>335</v>
      </c>
      <c r="C145" t="s">
        <v>33</v>
      </c>
      <c r="D145" t="s">
        <v>129</v>
      </c>
      <c r="E145" t="s">
        <v>34</v>
      </c>
      <c r="F145" t="s">
        <v>130</v>
      </c>
      <c r="G145" t="s">
        <v>36</v>
      </c>
      <c r="H145" t="s">
        <v>182</v>
      </c>
      <c r="I145" t="s">
        <v>129</v>
      </c>
      <c r="J145" t="s">
        <v>1326</v>
      </c>
      <c r="K145" s="21" t="s">
        <v>1327</v>
      </c>
      <c r="L145" s="21" t="s">
        <v>133</v>
      </c>
      <c r="M145" t="s">
        <v>134</v>
      </c>
      <c r="N145" t="s">
        <v>42</v>
      </c>
      <c r="R145" t="s">
        <v>140</v>
      </c>
      <c r="S145" t="s">
        <v>1326</v>
      </c>
      <c r="T145" t="s">
        <v>1249</v>
      </c>
      <c r="U145" t="s">
        <v>1286</v>
      </c>
      <c r="V145" t="s">
        <v>137</v>
      </c>
      <c r="W145" t="s">
        <v>1325</v>
      </c>
    </row>
    <row r="146" spans="1:23" ht="15" customHeight="1" x14ac:dyDescent="0.3">
      <c r="A146" t="s">
        <v>8</v>
      </c>
      <c r="B146">
        <v>335</v>
      </c>
      <c r="C146" t="s">
        <v>33</v>
      </c>
      <c r="D146" t="s">
        <v>129</v>
      </c>
      <c r="E146" t="s">
        <v>34</v>
      </c>
      <c r="F146" t="s">
        <v>130</v>
      </c>
      <c r="G146" t="s">
        <v>36</v>
      </c>
      <c r="H146" t="s">
        <v>1242</v>
      </c>
      <c r="I146" t="s">
        <v>129</v>
      </c>
      <c r="J146" t="s">
        <v>1328</v>
      </c>
      <c r="K146" s="21" t="s">
        <v>1329</v>
      </c>
      <c r="L146" s="21" t="s">
        <v>133</v>
      </c>
      <c r="M146" t="s">
        <v>134</v>
      </c>
      <c r="N146" t="s">
        <v>42</v>
      </c>
      <c r="R146" t="s">
        <v>136</v>
      </c>
      <c r="S146" t="s">
        <v>1328</v>
      </c>
      <c r="T146" t="s">
        <v>1249</v>
      </c>
      <c r="U146" t="s">
        <v>1270</v>
      </c>
      <c r="V146" t="s">
        <v>1330</v>
      </c>
      <c r="W146" t="s">
        <v>1325</v>
      </c>
    </row>
    <row r="147" spans="1:23" ht="15" customHeight="1" x14ac:dyDescent="0.3">
      <c r="A147" t="s">
        <v>8</v>
      </c>
      <c r="B147">
        <v>335</v>
      </c>
      <c r="C147" t="s">
        <v>33</v>
      </c>
      <c r="D147" t="s">
        <v>129</v>
      </c>
      <c r="E147" t="s">
        <v>34</v>
      </c>
      <c r="F147" t="s">
        <v>130</v>
      </c>
      <c r="G147" t="s">
        <v>36</v>
      </c>
      <c r="H147" t="s">
        <v>1242</v>
      </c>
      <c r="I147" t="s">
        <v>129</v>
      </c>
      <c r="J147" t="s">
        <v>1328</v>
      </c>
      <c r="K147" s="21" t="s">
        <v>1329</v>
      </c>
      <c r="L147" s="21" t="s">
        <v>133</v>
      </c>
      <c r="M147" t="s">
        <v>134</v>
      </c>
      <c r="N147" t="s">
        <v>42</v>
      </c>
      <c r="R147" t="s">
        <v>139</v>
      </c>
      <c r="S147" t="s">
        <v>1328</v>
      </c>
      <c r="T147" t="s">
        <v>1249</v>
      </c>
      <c r="U147" t="s">
        <v>1270</v>
      </c>
      <c r="V147" t="s">
        <v>1330</v>
      </c>
      <c r="W147" t="s">
        <v>1325</v>
      </c>
    </row>
    <row r="148" spans="1:23" ht="15" customHeight="1" x14ac:dyDescent="0.3">
      <c r="A148" t="s">
        <v>8</v>
      </c>
      <c r="B148">
        <v>335</v>
      </c>
      <c r="C148" t="s">
        <v>33</v>
      </c>
      <c r="D148" t="s">
        <v>129</v>
      </c>
      <c r="E148" t="s">
        <v>34</v>
      </c>
      <c r="F148" t="s">
        <v>130</v>
      </c>
      <c r="G148" t="s">
        <v>36</v>
      </c>
      <c r="H148" t="s">
        <v>1242</v>
      </c>
      <c r="I148" t="s">
        <v>129</v>
      </c>
      <c r="J148" t="s">
        <v>1328</v>
      </c>
      <c r="K148" s="21" t="s">
        <v>1329</v>
      </c>
      <c r="L148" s="21" t="s">
        <v>133</v>
      </c>
      <c r="M148" t="s">
        <v>134</v>
      </c>
      <c r="N148" t="s">
        <v>42</v>
      </c>
      <c r="R148" t="s">
        <v>140</v>
      </c>
      <c r="S148" t="s">
        <v>1328</v>
      </c>
      <c r="T148" t="s">
        <v>1249</v>
      </c>
      <c r="U148" t="s">
        <v>1270</v>
      </c>
      <c r="V148" t="s">
        <v>1330</v>
      </c>
      <c r="W148" t="s">
        <v>1325</v>
      </c>
    </row>
    <row r="149" spans="1:23" ht="15" customHeight="1" x14ac:dyDescent="0.3">
      <c r="A149" t="s">
        <v>8</v>
      </c>
      <c r="B149">
        <v>337</v>
      </c>
      <c r="C149" t="s">
        <v>33</v>
      </c>
      <c r="D149" t="s">
        <v>152</v>
      </c>
      <c r="E149" t="s">
        <v>153</v>
      </c>
      <c r="F149" t="s">
        <v>154</v>
      </c>
      <c r="G149" t="s">
        <v>36</v>
      </c>
      <c r="H149" t="s">
        <v>37</v>
      </c>
      <c r="I149" t="s">
        <v>152</v>
      </c>
      <c r="J149" t="s">
        <v>155</v>
      </c>
      <c r="K149" t="s">
        <v>156</v>
      </c>
      <c r="L149" s="21" t="s">
        <v>157</v>
      </c>
      <c r="M149" t="s">
        <v>158</v>
      </c>
      <c r="N149" t="s">
        <v>159</v>
      </c>
      <c r="R149" t="s">
        <v>161</v>
      </c>
      <c r="S149" t="s">
        <v>155</v>
      </c>
      <c r="T149" t="s">
        <v>45</v>
      </c>
      <c r="U149" t="s">
        <v>46</v>
      </c>
      <c r="V149" t="s">
        <v>162</v>
      </c>
      <c r="W149" t="s">
        <v>163</v>
      </c>
    </row>
    <row r="150" spans="1:23" ht="15" customHeight="1" x14ac:dyDescent="0.3">
      <c r="A150" t="s">
        <v>8</v>
      </c>
      <c r="B150">
        <v>337</v>
      </c>
      <c r="C150" t="s">
        <v>33</v>
      </c>
      <c r="D150" t="s">
        <v>152</v>
      </c>
      <c r="E150" t="s">
        <v>153</v>
      </c>
      <c r="F150" t="s">
        <v>154</v>
      </c>
      <c r="G150" t="s">
        <v>36</v>
      </c>
      <c r="H150" t="s">
        <v>37</v>
      </c>
      <c r="I150" t="s">
        <v>152</v>
      </c>
      <c r="J150" t="s">
        <v>155</v>
      </c>
      <c r="K150" t="s">
        <v>156</v>
      </c>
      <c r="L150" s="21" t="s">
        <v>157</v>
      </c>
      <c r="M150" t="s">
        <v>158</v>
      </c>
      <c r="N150" t="s">
        <v>159</v>
      </c>
      <c r="R150" t="s">
        <v>164</v>
      </c>
      <c r="S150" t="s">
        <v>155</v>
      </c>
      <c r="T150" t="s">
        <v>45</v>
      </c>
      <c r="U150" t="s">
        <v>46</v>
      </c>
      <c r="V150" t="s">
        <v>162</v>
      </c>
      <c r="W150" t="s">
        <v>163</v>
      </c>
    </row>
    <row r="151" spans="1:23" ht="15" customHeight="1" x14ac:dyDescent="0.3">
      <c r="A151" t="s">
        <v>8</v>
      </c>
      <c r="B151">
        <v>337</v>
      </c>
      <c r="C151" t="s">
        <v>33</v>
      </c>
      <c r="D151" t="s">
        <v>152</v>
      </c>
      <c r="E151" t="s">
        <v>153</v>
      </c>
      <c r="F151" t="s">
        <v>154</v>
      </c>
      <c r="G151" t="s">
        <v>36</v>
      </c>
      <c r="H151" t="s">
        <v>37</v>
      </c>
      <c r="I151" t="s">
        <v>152</v>
      </c>
      <c r="J151" t="s">
        <v>155</v>
      </c>
      <c r="K151" t="s">
        <v>156</v>
      </c>
      <c r="L151" s="21" t="s">
        <v>157</v>
      </c>
      <c r="M151" t="s">
        <v>158</v>
      </c>
      <c r="N151" t="s">
        <v>159</v>
      </c>
      <c r="R151" t="s">
        <v>165</v>
      </c>
      <c r="S151" t="s">
        <v>155</v>
      </c>
      <c r="T151" t="s">
        <v>45</v>
      </c>
      <c r="U151" t="s">
        <v>46</v>
      </c>
      <c r="V151" t="s">
        <v>162</v>
      </c>
      <c r="W151" t="s">
        <v>163</v>
      </c>
    </row>
    <row r="152" spans="1:23" ht="15" customHeight="1" x14ac:dyDescent="0.3">
      <c r="A152" t="s">
        <v>8</v>
      </c>
      <c r="B152">
        <v>337</v>
      </c>
      <c r="C152" t="s">
        <v>33</v>
      </c>
      <c r="D152" t="s">
        <v>152</v>
      </c>
      <c r="E152" t="s">
        <v>153</v>
      </c>
      <c r="F152" t="s">
        <v>154</v>
      </c>
      <c r="G152" t="s">
        <v>36</v>
      </c>
      <c r="H152" t="s">
        <v>52</v>
      </c>
      <c r="I152" t="s">
        <v>152</v>
      </c>
      <c r="J152" t="s">
        <v>166</v>
      </c>
      <c r="K152" s="21" t="s">
        <v>167</v>
      </c>
      <c r="L152" s="21" t="s">
        <v>157</v>
      </c>
      <c r="M152" t="s">
        <v>158</v>
      </c>
      <c r="N152" t="s">
        <v>159</v>
      </c>
      <c r="R152" t="s">
        <v>161</v>
      </c>
      <c r="S152" t="s">
        <v>166</v>
      </c>
      <c r="T152" t="s">
        <v>45</v>
      </c>
      <c r="U152" t="s">
        <v>46</v>
      </c>
      <c r="V152" t="s">
        <v>168</v>
      </c>
      <c r="W152" t="s">
        <v>169</v>
      </c>
    </row>
    <row r="153" spans="1:23" ht="15" customHeight="1" x14ac:dyDescent="0.3">
      <c r="A153" t="s">
        <v>8</v>
      </c>
      <c r="B153">
        <v>337</v>
      </c>
      <c r="C153" t="s">
        <v>33</v>
      </c>
      <c r="D153" t="s">
        <v>152</v>
      </c>
      <c r="E153" t="s">
        <v>153</v>
      </c>
      <c r="F153" t="s">
        <v>154</v>
      </c>
      <c r="G153" t="s">
        <v>36</v>
      </c>
      <c r="H153" t="s">
        <v>52</v>
      </c>
      <c r="I153" t="s">
        <v>152</v>
      </c>
      <c r="J153" t="s">
        <v>166</v>
      </c>
      <c r="K153" s="21" t="s">
        <v>167</v>
      </c>
      <c r="L153" s="21" t="s">
        <v>157</v>
      </c>
      <c r="M153" t="s">
        <v>158</v>
      </c>
      <c r="N153" t="s">
        <v>159</v>
      </c>
      <c r="R153" t="s">
        <v>164</v>
      </c>
      <c r="S153" t="s">
        <v>166</v>
      </c>
      <c r="T153" t="s">
        <v>45</v>
      </c>
      <c r="U153" t="s">
        <v>46</v>
      </c>
      <c r="V153" t="s">
        <v>168</v>
      </c>
      <c r="W153" t="s">
        <v>169</v>
      </c>
    </row>
    <row r="154" spans="1:23" ht="15" customHeight="1" x14ac:dyDescent="0.3">
      <c r="A154" t="s">
        <v>8</v>
      </c>
      <c r="B154">
        <v>337</v>
      </c>
      <c r="C154" t="s">
        <v>33</v>
      </c>
      <c r="D154" t="s">
        <v>152</v>
      </c>
      <c r="E154" t="s">
        <v>153</v>
      </c>
      <c r="F154" t="s">
        <v>154</v>
      </c>
      <c r="G154" t="s">
        <v>36</v>
      </c>
      <c r="H154" t="s">
        <v>52</v>
      </c>
      <c r="I154" t="s">
        <v>152</v>
      </c>
      <c r="J154" t="s">
        <v>166</v>
      </c>
      <c r="K154" s="21" t="s">
        <v>167</v>
      </c>
      <c r="L154" s="21" t="s">
        <v>157</v>
      </c>
      <c r="M154" t="s">
        <v>158</v>
      </c>
      <c r="N154" t="s">
        <v>159</v>
      </c>
      <c r="R154" t="s">
        <v>165</v>
      </c>
      <c r="S154" t="s">
        <v>166</v>
      </c>
      <c r="T154" t="s">
        <v>45</v>
      </c>
      <c r="U154" t="s">
        <v>46</v>
      </c>
      <c r="V154" t="s">
        <v>168</v>
      </c>
      <c r="W154" t="s">
        <v>169</v>
      </c>
    </row>
    <row r="155" spans="1:23" ht="15" customHeight="1" x14ac:dyDescent="0.3">
      <c r="A155" t="s">
        <v>8</v>
      </c>
      <c r="B155">
        <v>337</v>
      </c>
      <c r="C155" t="s">
        <v>33</v>
      </c>
      <c r="D155" t="s">
        <v>152</v>
      </c>
      <c r="E155" t="s">
        <v>153</v>
      </c>
      <c r="F155" t="s">
        <v>154</v>
      </c>
      <c r="G155" t="s">
        <v>36</v>
      </c>
      <c r="H155" t="s">
        <v>57</v>
      </c>
      <c r="I155" t="s">
        <v>152</v>
      </c>
      <c r="J155" t="s">
        <v>170</v>
      </c>
      <c r="K155" s="21" t="s">
        <v>171</v>
      </c>
      <c r="L155" s="21" t="s">
        <v>157</v>
      </c>
      <c r="M155" t="s">
        <v>158</v>
      </c>
      <c r="N155" t="s">
        <v>159</v>
      </c>
      <c r="R155" t="s">
        <v>161</v>
      </c>
      <c r="S155" t="s">
        <v>170</v>
      </c>
      <c r="T155" t="s">
        <v>45</v>
      </c>
      <c r="U155" t="s">
        <v>46</v>
      </c>
      <c r="V155" t="s">
        <v>172</v>
      </c>
      <c r="W155" t="s">
        <v>173</v>
      </c>
    </row>
    <row r="156" spans="1:23" ht="15" customHeight="1" x14ac:dyDescent="0.3">
      <c r="A156" t="s">
        <v>8</v>
      </c>
      <c r="B156">
        <v>337</v>
      </c>
      <c r="C156" t="s">
        <v>33</v>
      </c>
      <c r="D156" t="s">
        <v>152</v>
      </c>
      <c r="E156" t="s">
        <v>153</v>
      </c>
      <c r="F156" t="s">
        <v>154</v>
      </c>
      <c r="G156" t="s">
        <v>36</v>
      </c>
      <c r="H156" t="s">
        <v>57</v>
      </c>
      <c r="I156" t="s">
        <v>152</v>
      </c>
      <c r="J156" t="s">
        <v>170</v>
      </c>
      <c r="K156" s="21" t="s">
        <v>171</v>
      </c>
      <c r="L156" s="21" t="s">
        <v>157</v>
      </c>
      <c r="M156" t="s">
        <v>158</v>
      </c>
      <c r="N156" t="s">
        <v>159</v>
      </c>
      <c r="R156" t="s">
        <v>164</v>
      </c>
      <c r="S156" t="s">
        <v>170</v>
      </c>
      <c r="T156" t="s">
        <v>45</v>
      </c>
      <c r="U156" t="s">
        <v>46</v>
      </c>
      <c r="V156" t="s">
        <v>172</v>
      </c>
      <c r="W156" t="s">
        <v>173</v>
      </c>
    </row>
    <row r="157" spans="1:23" ht="15" customHeight="1" x14ac:dyDescent="0.3">
      <c r="A157" t="s">
        <v>8</v>
      </c>
      <c r="B157">
        <v>337</v>
      </c>
      <c r="C157" t="s">
        <v>33</v>
      </c>
      <c r="D157" t="s">
        <v>152</v>
      </c>
      <c r="E157" t="s">
        <v>153</v>
      </c>
      <c r="F157" t="s">
        <v>154</v>
      </c>
      <c r="G157" t="s">
        <v>36</v>
      </c>
      <c r="H157" t="s">
        <v>57</v>
      </c>
      <c r="I157" t="s">
        <v>152</v>
      </c>
      <c r="J157" t="s">
        <v>170</v>
      </c>
      <c r="K157" s="21" t="s">
        <v>171</v>
      </c>
      <c r="L157" s="21" t="s">
        <v>157</v>
      </c>
      <c r="M157" t="s">
        <v>158</v>
      </c>
      <c r="N157" t="s">
        <v>159</v>
      </c>
      <c r="R157" t="s">
        <v>165</v>
      </c>
      <c r="S157" t="s">
        <v>170</v>
      </c>
      <c r="T157" t="s">
        <v>45</v>
      </c>
      <c r="U157" t="s">
        <v>46</v>
      </c>
      <c r="V157" t="s">
        <v>172</v>
      </c>
      <c r="W157" t="s">
        <v>173</v>
      </c>
    </row>
    <row r="158" spans="1:23" ht="15" customHeight="1" x14ac:dyDescent="0.3">
      <c r="A158" t="s">
        <v>8</v>
      </c>
      <c r="B158">
        <v>337</v>
      </c>
      <c r="C158" t="s">
        <v>33</v>
      </c>
      <c r="D158" t="s">
        <v>152</v>
      </c>
      <c r="E158" t="s">
        <v>153</v>
      </c>
      <c r="F158" t="s">
        <v>154</v>
      </c>
      <c r="G158" t="s">
        <v>36</v>
      </c>
      <c r="H158" t="s">
        <v>49</v>
      </c>
      <c r="I158" t="s">
        <v>152</v>
      </c>
      <c r="J158" t="s">
        <v>174</v>
      </c>
      <c r="K158" s="21" t="s">
        <v>175</v>
      </c>
      <c r="L158" s="21" t="s">
        <v>157</v>
      </c>
      <c r="M158" t="s">
        <v>158</v>
      </c>
      <c r="N158" t="s">
        <v>159</v>
      </c>
      <c r="R158" t="s">
        <v>161</v>
      </c>
      <c r="S158" t="s">
        <v>174</v>
      </c>
      <c r="T158" t="s">
        <v>45</v>
      </c>
      <c r="U158" t="s">
        <v>46</v>
      </c>
      <c r="V158" t="s">
        <v>176</v>
      </c>
      <c r="W158" t="s">
        <v>177</v>
      </c>
    </row>
    <row r="159" spans="1:23" ht="15" customHeight="1" x14ac:dyDescent="0.3">
      <c r="A159" t="s">
        <v>8</v>
      </c>
      <c r="B159">
        <v>337</v>
      </c>
      <c r="C159" t="s">
        <v>33</v>
      </c>
      <c r="D159" t="s">
        <v>152</v>
      </c>
      <c r="E159" t="s">
        <v>153</v>
      </c>
      <c r="F159" t="s">
        <v>154</v>
      </c>
      <c r="G159" t="s">
        <v>36</v>
      </c>
      <c r="H159" t="s">
        <v>49</v>
      </c>
      <c r="I159" t="s">
        <v>152</v>
      </c>
      <c r="J159" t="s">
        <v>174</v>
      </c>
      <c r="K159" s="21" t="s">
        <v>175</v>
      </c>
      <c r="L159" s="21" t="s">
        <v>157</v>
      </c>
      <c r="M159" t="s">
        <v>158</v>
      </c>
      <c r="N159" t="s">
        <v>159</v>
      </c>
      <c r="R159" t="s">
        <v>164</v>
      </c>
      <c r="S159" t="s">
        <v>174</v>
      </c>
      <c r="T159" t="s">
        <v>45</v>
      </c>
      <c r="U159" t="s">
        <v>46</v>
      </c>
      <c r="V159" t="s">
        <v>176</v>
      </c>
      <c r="W159" t="s">
        <v>177</v>
      </c>
    </row>
    <row r="160" spans="1:23" ht="15" customHeight="1" x14ac:dyDescent="0.3">
      <c r="A160" t="s">
        <v>8</v>
      </c>
      <c r="B160">
        <v>337</v>
      </c>
      <c r="C160" t="s">
        <v>33</v>
      </c>
      <c r="D160" t="s">
        <v>152</v>
      </c>
      <c r="E160" t="s">
        <v>153</v>
      </c>
      <c r="F160" t="s">
        <v>154</v>
      </c>
      <c r="G160" t="s">
        <v>36</v>
      </c>
      <c r="H160" t="s">
        <v>49</v>
      </c>
      <c r="I160" t="s">
        <v>152</v>
      </c>
      <c r="J160" t="s">
        <v>174</v>
      </c>
      <c r="K160" s="21" t="s">
        <v>175</v>
      </c>
      <c r="L160" s="21" t="s">
        <v>157</v>
      </c>
      <c r="M160" t="s">
        <v>158</v>
      </c>
      <c r="N160" t="s">
        <v>159</v>
      </c>
      <c r="R160" t="s">
        <v>165</v>
      </c>
      <c r="S160" t="s">
        <v>174</v>
      </c>
      <c r="T160" t="s">
        <v>45</v>
      </c>
      <c r="U160" t="s">
        <v>46</v>
      </c>
      <c r="V160" t="s">
        <v>176</v>
      </c>
      <c r="W160" t="s">
        <v>177</v>
      </c>
    </row>
    <row r="161" spans="1:23" ht="15" customHeight="1" x14ac:dyDescent="0.3">
      <c r="A161" t="s">
        <v>8</v>
      </c>
      <c r="B161">
        <v>337</v>
      </c>
      <c r="C161" t="s">
        <v>33</v>
      </c>
      <c r="D161" t="s">
        <v>152</v>
      </c>
      <c r="E161" t="s">
        <v>153</v>
      </c>
      <c r="F161" t="s">
        <v>154</v>
      </c>
      <c r="G161" t="s">
        <v>36</v>
      </c>
      <c r="H161" t="s">
        <v>87</v>
      </c>
      <c r="I161" t="s">
        <v>152</v>
      </c>
      <c r="J161" t="s">
        <v>178</v>
      </c>
      <c r="K161" s="21" t="s">
        <v>179</v>
      </c>
      <c r="L161" s="21" t="s">
        <v>157</v>
      </c>
      <c r="M161" t="s">
        <v>158</v>
      </c>
      <c r="N161" t="s">
        <v>159</v>
      </c>
      <c r="R161" t="s">
        <v>161</v>
      </c>
      <c r="S161" t="s">
        <v>178</v>
      </c>
      <c r="T161" t="s">
        <v>45</v>
      </c>
      <c r="U161" t="s">
        <v>46</v>
      </c>
      <c r="V161" t="s">
        <v>180</v>
      </c>
      <c r="W161" t="s">
        <v>181</v>
      </c>
    </row>
    <row r="162" spans="1:23" ht="15" customHeight="1" x14ac:dyDescent="0.3">
      <c r="A162" t="s">
        <v>8</v>
      </c>
      <c r="B162">
        <v>337</v>
      </c>
      <c r="C162" t="s">
        <v>33</v>
      </c>
      <c r="D162" t="s">
        <v>152</v>
      </c>
      <c r="E162" t="s">
        <v>153</v>
      </c>
      <c r="F162" t="s">
        <v>154</v>
      </c>
      <c r="G162" t="s">
        <v>36</v>
      </c>
      <c r="H162" t="s">
        <v>87</v>
      </c>
      <c r="I162" t="s">
        <v>152</v>
      </c>
      <c r="J162" t="s">
        <v>178</v>
      </c>
      <c r="K162" s="21" t="s">
        <v>179</v>
      </c>
      <c r="L162" s="21" t="s">
        <v>157</v>
      </c>
      <c r="M162" t="s">
        <v>158</v>
      </c>
      <c r="N162" t="s">
        <v>159</v>
      </c>
      <c r="R162" t="s">
        <v>164</v>
      </c>
      <c r="S162" t="s">
        <v>178</v>
      </c>
      <c r="T162" t="s">
        <v>45</v>
      </c>
      <c r="U162" t="s">
        <v>46</v>
      </c>
      <c r="V162" t="s">
        <v>180</v>
      </c>
      <c r="W162" t="s">
        <v>181</v>
      </c>
    </row>
    <row r="163" spans="1:23" ht="15" customHeight="1" x14ac:dyDescent="0.3">
      <c r="A163" t="s">
        <v>8</v>
      </c>
      <c r="B163">
        <v>337</v>
      </c>
      <c r="C163" t="s">
        <v>33</v>
      </c>
      <c r="D163" t="s">
        <v>152</v>
      </c>
      <c r="E163" t="s">
        <v>153</v>
      </c>
      <c r="F163" t="s">
        <v>154</v>
      </c>
      <c r="G163" t="s">
        <v>36</v>
      </c>
      <c r="H163" t="s">
        <v>87</v>
      </c>
      <c r="I163" t="s">
        <v>152</v>
      </c>
      <c r="J163" t="s">
        <v>178</v>
      </c>
      <c r="K163" s="21" t="s">
        <v>179</v>
      </c>
      <c r="L163" s="21" t="s">
        <v>157</v>
      </c>
      <c r="M163" t="s">
        <v>158</v>
      </c>
      <c r="N163" t="s">
        <v>159</v>
      </c>
      <c r="R163" t="s">
        <v>165</v>
      </c>
      <c r="S163" t="s">
        <v>178</v>
      </c>
      <c r="T163" t="s">
        <v>45</v>
      </c>
      <c r="U163" t="s">
        <v>46</v>
      </c>
      <c r="V163" t="s">
        <v>180</v>
      </c>
      <c r="W163" t="s">
        <v>181</v>
      </c>
    </row>
    <row r="164" spans="1:23" ht="15" customHeight="1" x14ac:dyDescent="0.3">
      <c r="A164" t="s">
        <v>8</v>
      </c>
      <c r="B164">
        <v>337</v>
      </c>
      <c r="C164" t="s">
        <v>33</v>
      </c>
      <c r="D164" t="s">
        <v>152</v>
      </c>
      <c r="E164" t="s">
        <v>153</v>
      </c>
      <c r="F164" t="s">
        <v>154</v>
      </c>
      <c r="G164" t="s">
        <v>36</v>
      </c>
      <c r="H164" t="s">
        <v>421</v>
      </c>
      <c r="I164" t="s">
        <v>152</v>
      </c>
      <c r="J164" t="s">
        <v>1331</v>
      </c>
      <c r="K164" s="21" t="s">
        <v>1332</v>
      </c>
      <c r="L164" s="21" t="s">
        <v>157</v>
      </c>
      <c r="M164" t="s">
        <v>158</v>
      </c>
      <c r="N164" t="s">
        <v>159</v>
      </c>
      <c r="R164" t="s">
        <v>161</v>
      </c>
      <c r="S164" t="s">
        <v>1331</v>
      </c>
      <c r="T164" t="s">
        <v>45</v>
      </c>
      <c r="U164" t="s">
        <v>1257</v>
      </c>
      <c r="V164" t="s">
        <v>162</v>
      </c>
      <c r="W164" t="s">
        <v>1333</v>
      </c>
    </row>
    <row r="165" spans="1:23" ht="15" customHeight="1" x14ac:dyDescent="0.3">
      <c r="A165" t="s">
        <v>8</v>
      </c>
      <c r="B165">
        <v>337</v>
      </c>
      <c r="C165" t="s">
        <v>33</v>
      </c>
      <c r="D165" t="s">
        <v>152</v>
      </c>
      <c r="E165" t="s">
        <v>153</v>
      </c>
      <c r="F165" t="s">
        <v>154</v>
      </c>
      <c r="G165" t="s">
        <v>36</v>
      </c>
      <c r="H165" t="s">
        <v>421</v>
      </c>
      <c r="I165" t="s">
        <v>152</v>
      </c>
      <c r="J165" t="s">
        <v>1331</v>
      </c>
      <c r="K165" s="21" t="s">
        <v>1332</v>
      </c>
      <c r="L165" s="21" t="s">
        <v>157</v>
      </c>
      <c r="M165" t="s">
        <v>158</v>
      </c>
      <c r="N165" t="s">
        <v>159</v>
      </c>
      <c r="R165" t="s">
        <v>164</v>
      </c>
      <c r="S165" t="s">
        <v>1331</v>
      </c>
      <c r="T165" t="s">
        <v>45</v>
      </c>
      <c r="U165" t="s">
        <v>1257</v>
      </c>
      <c r="V165" t="s">
        <v>162</v>
      </c>
      <c r="W165" t="s">
        <v>1333</v>
      </c>
    </row>
    <row r="166" spans="1:23" ht="15" customHeight="1" x14ac:dyDescent="0.3">
      <c r="A166" t="s">
        <v>8</v>
      </c>
      <c r="B166">
        <v>337</v>
      </c>
      <c r="C166" t="s">
        <v>33</v>
      </c>
      <c r="D166" t="s">
        <v>152</v>
      </c>
      <c r="E166" t="s">
        <v>153</v>
      </c>
      <c r="F166" t="s">
        <v>154</v>
      </c>
      <c r="G166" t="s">
        <v>36</v>
      </c>
      <c r="H166" t="s">
        <v>421</v>
      </c>
      <c r="I166" t="s">
        <v>152</v>
      </c>
      <c r="J166" t="s">
        <v>1331</v>
      </c>
      <c r="K166" s="21" t="s">
        <v>1332</v>
      </c>
      <c r="L166" s="21" t="s">
        <v>157</v>
      </c>
      <c r="M166" t="s">
        <v>158</v>
      </c>
      <c r="N166" t="s">
        <v>159</v>
      </c>
      <c r="R166" t="s">
        <v>165</v>
      </c>
      <c r="S166" t="s">
        <v>1331</v>
      </c>
      <c r="T166" t="s">
        <v>45</v>
      </c>
      <c r="U166" t="s">
        <v>1257</v>
      </c>
      <c r="V166" t="s">
        <v>162</v>
      </c>
      <c r="W166" t="s">
        <v>1333</v>
      </c>
    </row>
    <row r="167" spans="1:23" ht="15" customHeight="1" x14ac:dyDescent="0.3">
      <c r="A167" t="s">
        <v>8</v>
      </c>
      <c r="B167">
        <v>337</v>
      </c>
      <c r="C167" t="s">
        <v>33</v>
      </c>
      <c r="D167" t="s">
        <v>152</v>
      </c>
      <c r="E167" t="s">
        <v>153</v>
      </c>
      <c r="F167" t="s">
        <v>154</v>
      </c>
      <c r="G167" t="s">
        <v>36</v>
      </c>
      <c r="H167" t="s">
        <v>182</v>
      </c>
      <c r="I167" t="s">
        <v>152</v>
      </c>
      <c r="J167" t="s">
        <v>183</v>
      </c>
      <c r="K167" s="21" t="s">
        <v>184</v>
      </c>
      <c r="L167" s="21" t="s">
        <v>157</v>
      </c>
      <c r="M167" t="s">
        <v>158</v>
      </c>
      <c r="N167" t="s">
        <v>159</v>
      </c>
      <c r="R167" t="s">
        <v>161</v>
      </c>
      <c r="S167" t="s">
        <v>183</v>
      </c>
      <c r="T167" t="s">
        <v>45</v>
      </c>
      <c r="U167" t="s">
        <v>90</v>
      </c>
      <c r="V167" t="s">
        <v>162</v>
      </c>
      <c r="W167" t="s">
        <v>185</v>
      </c>
    </row>
    <row r="168" spans="1:23" ht="15" customHeight="1" x14ac:dyDescent="0.3">
      <c r="A168" t="s">
        <v>8</v>
      </c>
      <c r="B168">
        <v>337</v>
      </c>
      <c r="C168" t="s">
        <v>33</v>
      </c>
      <c r="D168" t="s">
        <v>152</v>
      </c>
      <c r="E168" t="s">
        <v>153</v>
      </c>
      <c r="F168" t="s">
        <v>154</v>
      </c>
      <c r="G168" t="s">
        <v>36</v>
      </c>
      <c r="H168" t="s">
        <v>182</v>
      </c>
      <c r="I168" t="s">
        <v>152</v>
      </c>
      <c r="J168" t="s">
        <v>183</v>
      </c>
      <c r="K168" s="21" t="s">
        <v>184</v>
      </c>
      <c r="L168" s="21" t="s">
        <v>157</v>
      </c>
      <c r="M168" t="s">
        <v>158</v>
      </c>
      <c r="N168" t="s">
        <v>159</v>
      </c>
      <c r="R168" t="s">
        <v>164</v>
      </c>
      <c r="S168" t="s">
        <v>183</v>
      </c>
      <c r="T168" t="s">
        <v>45</v>
      </c>
      <c r="U168" t="s">
        <v>90</v>
      </c>
      <c r="V168" t="s">
        <v>162</v>
      </c>
      <c r="W168" t="s">
        <v>185</v>
      </c>
    </row>
    <row r="169" spans="1:23" ht="15" customHeight="1" x14ac:dyDescent="0.3">
      <c r="A169" t="s">
        <v>8</v>
      </c>
      <c r="B169">
        <v>337</v>
      </c>
      <c r="C169" t="s">
        <v>33</v>
      </c>
      <c r="D169" t="s">
        <v>152</v>
      </c>
      <c r="E169" t="s">
        <v>153</v>
      </c>
      <c r="F169" t="s">
        <v>154</v>
      </c>
      <c r="G169" t="s">
        <v>36</v>
      </c>
      <c r="H169" t="s">
        <v>182</v>
      </c>
      <c r="I169" t="s">
        <v>152</v>
      </c>
      <c r="J169" t="s">
        <v>183</v>
      </c>
      <c r="K169" s="21" t="s">
        <v>184</v>
      </c>
      <c r="L169" s="21" t="s">
        <v>157</v>
      </c>
      <c r="M169" t="s">
        <v>158</v>
      </c>
      <c r="N169" t="s">
        <v>159</v>
      </c>
      <c r="R169" t="s">
        <v>165</v>
      </c>
      <c r="S169" t="s">
        <v>183</v>
      </c>
      <c r="T169" t="s">
        <v>45</v>
      </c>
      <c r="U169" t="s">
        <v>90</v>
      </c>
      <c r="V169" t="s">
        <v>162</v>
      </c>
      <c r="W169" t="s">
        <v>185</v>
      </c>
    </row>
    <row r="170" spans="1:23" ht="15" customHeight="1" x14ac:dyDescent="0.3">
      <c r="A170" t="s">
        <v>8</v>
      </c>
      <c r="B170">
        <v>337</v>
      </c>
      <c r="C170" t="s">
        <v>33</v>
      </c>
      <c r="D170" t="s">
        <v>152</v>
      </c>
      <c r="E170" t="s">
        <v>153</v>
      </c>
      <c r="F170" t="s">
        <v>154</v>
      </c>
      <c r="G170" t="s">
        <v>36</v>
      </c>
      <c r="H170" t="s">
        <v>1242</v>
      </c>
      <c r="I170" t="s">
        <v>152</v>
      </c>
      <c r="J170" t="s">
        <v>1334</v>
      </c>
      <c r="K170" s="21" t="s">
        <v>1335</v>
      </c>
      <c r="L170" s="21" t="s">
        <v>157</v>
      </c>
      <c r="M170" t="s">
        <v>158</v>
      </c>
      <c r="N170" t="s">
        <v>159</v>
      </c>
      <c r="R170" t="s">
        <v>161</v>
      </c>
      <c r="S170" t="s">
        <v>1334</v>
      </c>
      <c r="T170" t="s">
        <v>1249</v>
      </c>
      <c r="U170" t="s">
        <v>1250</v>
      </c>
      <c r="V170" t="s">
        <v>162</v>
      </c>
      <c r="W170" t="s">
        <v>1336</v>
      </c>
    </row>
    <row r="171" spans="1:23" ht="15" customHeight="1" x14ac:dyDescent="0.3">
      <c r="A171" t="s">
        <v>8</v>
      </c>
      <c r="B171">
        <v>337</v>
      </c>
      <c r="C171" t="s">
        <v>33</v>
      </c>
      <c r="D171" t="s">
        <v>152</v>
      </c>
      <c r="E171" t="s">
        <v>153</v>
      </c>
      <c r="F171" t="s">
        <v>154</v>
      </c>
      <c r="G171" t="s">
        <v>36</v>
      </c>
      <c r="H171" t="s">
        <v>1242</v>
      </c>
      <c r="I171" t="s">
        <v>152</v>
      </c>
      <c r="J171" t="s">
        <v>1334</v>
      </c>
      <c r="K171" s="21" t="s">
        <v>1335</v>
      </c>
      <c r="L171" s="21" t="s">
        <v>157</v>
      </c>
      <c r="M171" t="s">
        <v>158</v>
      </c>
      <c r="N171" t="s">
        <v>159</v>
      </c>
      <c r="R171" t="s">
        <v>164</v>
      </c>
      <c r="S171" t="s">
        <v>1334</v>
      </c>
      <c r="T171" t="s">
        <v>1249</v>
      </c>
      <c r="U171" t="s">
        <v>1250</v>
      </c>
      <c r="V171" t="s">
        <v>162</v>
      </c>
      <c r="W171" t="s">
        <v>1336</v>
      </c>
    </row>
    <row r="172" spans="1:23" ht="15" customHeight="1" x14ac:dyDescent="0.3">
      <c r="A172" t="s">
        <v>8</v>
      </c>
      <c r="B172">
        <v>337</v>
      </c>
      <c r="C172" t="s">
        <v>33</v>
      </c>
      <c r="D172" t="s">
        <v>152</v>
      </c>
      <c r="E172" t="s">
        <v>153</v>
      </c>
      <c r="F172" t="s">
        <v>154</v>
      </c>
      <c r="G172" t="s">
        <v>36</v>
      </c>
      <c r="H172" t="s">
        <v>1242</v>
      </c>
      <c r="I172" t="s">
        <v>152</v>
      </c>
      <c r="J172" t="s">
        <v>1334</v>
      </c>
      <c r="K172" s="21" t="s">
        <v>1335</v>
      </c>
      <c r="L172" s="21" t="s">
        <v>157</v>
      </c>
      <c r="M172" t="s">
        <v>158</v>
      </c>
      <c r="N172" t="s">
        <v>159</v>
      </c>
      <c r="R172" t="s">
        <v>165</v>
      </c>
      <c r="S172" t="s">
        <v>1334</v>
      </c>
      <c r="T172" t="s">
        <v>1249</v>
      </c>
      <c r="U172" t="s">
        <v>1250</v>
      </c>
      <c r="V172" t="s">
        <v>162</v>
      </c>
      <c r="W172" t="s">
        <v>1336</v>
      </c>
    </row>
    <row r="173" spans="1:23" ht="15" customHeight="1" x14ac:dyDescent="0.3">
      <c r="A173" t="s">
        <v>8</v>
      </c>
      <c r="B173">
        <v>337</v>
      </c>
      <c r="C173" t="s">
        <v>33</v>
      </c>
      <c r="D173" t="s">
        <v>152</v>
      </c>
      <c r="E173" t="s">
        <v>153</v>
      </c>
      <c r="F173" t="s">
        <v>154</v>
      </c>
      <c r="G173" t="s">
        <v>36</v>
      </c>
      <c r="H173" t="s">
        <v>425</v>
      </c>
      <c r="I173" t="s">
        <v>152</v>
      </c>
      <c r="J173" t="s">
        <v>1337</v>
      </c>
      <c r="K173" s="21" t="s">
        <v>1338</v>
      </c>
      <c r="L173" s="21" t="s">
        <v>157</v>
      </c>
      <c r="M173" t="s">
        <v>158</v>
      </c>
      <c r="N173" t="s">
        <v>159</v>
      </c>
      <c r="R173" t="s">
        <v>161</v>
      </c>
      <c r="S173" t="s">
        <v>1337</v>
      </c>
      <c r="T173" t="s">
        <v>1249</v>
      </c>
      <c r="U173" t="s">
        <v>1286</v>
      </c>
      <c r="V173" t="s">
        <v>162</v>
      </c>
      <c r="W173" t="s">
        <v>1336</v>
      </c>
    </row>
    <row r="174" spans="1:23" ht="15" customHeight="1" x14ac:dyDescent="0.3">
      <c r="A174" t="s">
        <v>8</v>
      </c>
      <c r="B174">
        <v>337</v>
      </c>
      <c r="C174" t="s">
        <v>33</v>
      </c>
      <c r="D174" t="s">
        <v>152</v>
      </c>
      <c r="E174" t="s">
        <v>153</v>
      </c>
      <c r="F174" t="s">
        <v>154</v>
      </c>
      <c r="G174" t="s">
        <v>36</v>
      </c>
      <c r="H174" t="s">
        <v>425</v>
      </c>
      <c r="I174" t="s">
        <v>152</v>
      </c>
      <c r="J174" t="s">
        <v>1337</v>
      </c>
      <c r="K174" s="21" t="s">
        <v>1338</v>
      </c>
      <c r="L174" s="21" t="s">
        <v>157</v>
      </c>
      <c r="M174" t="s">
        <v>158</v>
      </c>
      <c r="N174" t="s">
        <v>159</v>
      </c>
      <c r="R174" t="s">
        <v>164</v>
      </c>
      <c r="S174" t="s">
        <v>1337</v>
      </c>
      <c r="T174" t="s">
        <v>1249</v>
      </c>
      <c r="U174" t="s">
        <v>1286</v>
      </c>
      <c r="V174" t="s">
        <v>162</v>
      </c>
      <c r="W174" t="s">
        <v>1336</v>
      </c>
    </row>
    <row r="175" spans="1:23" ht="15" customHeight="1" x14ac:dyDescent="0.3">
      <c r="A175" t="s">
        <v>8</v>
      </c>
      <c r="B175">
        <v>337</v>
      </c>
      <c r="C175" t="s">
        <v>33</v>
      </c>
      <c r="D175" t="s">
        <v>152</v>
      </c>
      <c r="E175" t="s">
        <v>153</v>
      </c>
      <c r="F175" t="s">
        <v>154</v>
      </c>
      <c r="G175" t="s">
        <v>36</v>
      </c>
      <c r="H175" t="s">
        <v>425</v>
      </c>
      <c r="I175" t="s">
        <v>152</v>
      </c>
      <c r="J175" t="s">
        <v>1337</v>
      </c>
      <c r="K175" s="21" t="s">
        <v>1338</v>
      </c>
      <c r="L175" s="21" t="s">
        <v>157</v>
      </c>
      <c r="M175" t="s">
        <v>158</v>
      </c>
      <c r="N175" t="s">
        <v>159</v>
      </c>
      <c r="R175" t="s">
        <v>165</v>
      </c>
      <c r="S175" t="s">
        <v>1337</v>
      </c>
      <c r="T175" t="s">
        <v>1249</v>
      </c>
      <c r="U175" t="s">
        <v>1286</v>
      </c>
      <c r="V175" t="s">
        <v>162</v>
      </c>
      <c r="W175" t="s">
        <v>1336</v>
      </c>
    </row>
    <row r="176" spans="1:23" ht="15" customHeight="1" x14ac:dyDescent="0.3">
      <c r="A176" t="s">
        <v>8</v>
      </c>
      <c r="B176">
        <v>337</v>
      </c>
      <c r="C176" t="s">
        <v>33</v>
      </c>
      <c r="D176" t="s">
        <v>152</v>
      </c>
      <c r="E176" t="s">
        <v>153</v>
      </c>
      <c r="F176" t="s">
        <v>154</v>
      </c>
      <c r="G176" t="s">
        <v>36</v>
      </c>
      <c r="H176" t="s">
        <v>996</v>
      </c>
      <c r="I176" t="s">
        <v>152</v>
      </c>
      <c r="J176" t="s">
        <v>1339</v>
      </c>
      <c r="K176" s="21" t="s">
        <v>1340</v>
      </c>
      <c r="L176" s="21" t="s">
        <v>157</v>
      </c>
      <c r="M176" t="s">
        <v>158</v>
      </c>
      <c r="N176" t="s">
        <v>159</v>
      </c>
      <c r="R176" t="s">
        <v>161</v>
      </c>
      <c r="S176" t="s">
        <v>1339</v>
      </c>
      <c r="T176" t="s">
        <v>1249</v>
      </c>
      <c r="U176" t="s">
        <v>1270</v>
      </c>
      <c r="V176" t="s">
        <v>1341</v>
      </c>
      <c r="W176" t="s">
        <v>1342</v>
      </c>
    </row>
    <row r="177" spans="1:23" ht="15" customHeight="1" x14ac:dyDescent="0.3">
      <c r="A177" t="s">
        <v>8</v>
      </c>
      <c r="B177">
        <v>337</v>
      </c>
      <c r="C177" t="s">
        <v>33</v>
      </c>
      <c r="D177" t="s">
        <v>152</v>
      </c>
      <c r="E177" t="s">
        <v>153</v>
      </c>
      <c r="F177" t="s">
        <v>154</v>
      </c>
      <c r="G177" t="s">
        <v>36</v>
      </c>
      <c r="H177" t="s">
        <v>996</v>
      </c>
      <c r="I177" t="s">
        <v>152</v>
      </c>
      <c r="J177" t="s">
        <v>1339</v>
      </c>
      <c r="K177" s="21" t="s">
        <v>1340</v>
      </c>
      <c r="L177" s="21" t="s">
        <v>157</v>
      </c>
      <c r="M177" t="s">
        <v>158</v>
      </c>
      <c r="N177" t="s">
        <v>159</v>
      </c>
      <c r="R177" t="s">
        <v>164</v>
      </c>
      <c r="S177" t="s">
        <v>1339</v>
      </c>
      <c r="T177" t="s">
        <v>1249</v>
      </c>
      <c r="U177" t="s">
        <v>1270</v>
      </c>
      <c r="V177" t="s">
        <v>1341</v>
      </c>
      <c r="W177" t="s">
        <v>1342</v>
      </c>
    </row>
    <row r="178" spans="1:23" ht="15" customHeight="1" x14ac:dyDescent="0.3">
      <c r="A178" t="s">
        <v>8</v>
      </c>
      <c r="B178">
        <v>337</v>
      </c>
      <c r="C178" t="s">
        <v>33</v>
      </c>
      <c r="D178" t="s">
        <v>152</v>
      </c>
      <c r="E178" t="s">
        <v>153</v>
      </c>
      <c r="F178" t="s">
        <v>154</v>
      </c>
      <c r="G178" t="s">
        <v>36</v>
      </c>
      <c r="H178" t="s">
        <v>996</v>
      </c>
      <c r="I178" t="s">
        <v>152</v>
      </c>
      <c r="J178" t="s">
        <v>1339</v>
      </c>
      <c r="K178" s="21" t="s">
        <v>1340</v>
      </c>
      <c r="L178" s="21" t="s">
        <v>157</v>
      </c>
      <c r="M178" t="s">
        <v>158</v>
      </c>
      <c r="N178" t="s">
        <v>159</v>
      </c>
      <c r="R178" t="s">
        <v>165</v>
      </c>
      <c r="S178" t="s">
        <v>1339</v>
      </c>
      <c r="T178" t="s">
        <v>1249</v>
      </c>
      <c r="U178" t="s">
        <v>1270</v>
      </c>
      <c r="V178" t="s">
        <v>1341</v>
      </c>
      <c r="W178" t="s">
        <v>1342</v>
      </c>
    </row>
    <row r="179" spans="1:23" ht="15" customHeight="1" x14ac:dyDescent="0.3">
      <c r="A179" t="s">
        <v>8</v>
      </c>
      <c r="B179">
        <v>339</v>
      </c>
      <c r="C179" t="s">
        <v>33</v>
      </c>
      <c r="D179" t="s">
        <v>186</v>
      </c>
      <c r="E179" t="s">
        <v>153</v>
      </c>
      <c r="F179" t="s">
        <v>94</v>
      </c>
      <c r="G179" t="s">
        <v>36</v>
      </c>
      <c r="H179" t="s">
        <v>37</v>
      </c>
      <c r="I179" t="s">
        <v>186</v>
      </c>
      <c r="J179" t="s">
        <v>187</v>
      </c>
      <c r="K179" t="s">
        <v>188</v>
      </c>
      <c r="L179" s="21" t="s">
        <v>189</v>
      </c>
      <c r="M179" t="s">
        <v>190</v>
      </c>
      <c r="N179" t="s">
        <v>191</v>
      </c>
      <c r="Q179" t="s">
        <v>191</v>
      </c>
      <c r="R179" t="s">
        <v>193</v>
      </c>
      <c r="S179" t="s">
        <v>187</v>
      </c>
      <c r="T179" t="s">
        <v>45</v>
      </c>
      <c r="U179" t="s">
        <v>46</v>
      </c>
      <c r="V179" t="s">
        <v>194</v>
      </c>
      <c r="W179" t="s">
        <v>195</v>
      </c>
    </row>
    <row r="180" spans="1:23" ht="15" customHeight="1" x14ac:dyDescent="0.3">
      <c r="A180" t="s">
        <v>8</v>
      </c>
      <c r="B180">
        <v>339</v>
      </c>
      <c r="C180" t="s">
        <v>33</v>
      </c>
      <c r="D180" t="s">
        <v>186</v>
      </c>
      <c r="E180" t="s">
        <v>153</v>
      </c>
      <c r="F180" t="s">
        <v>94</v>
      </c>
      <c r="G180" t="s">
        <v>36</v>
      </c>
      <c r="H180" t="s">
        <v>37</v>
      </c>
      <c r="I180" t="s">
        <v>186</v>
      </c>
      <c r="J180" t="s">
        <v>187</v>
      </c>
      <c r="K180" t="s">
        <v>188</v>
      </c>
      <c r="L180" s="21" t="s">
        <v>189</v>
      </c>
      <c r="M180" t="s">
        <v>190</v>
      </c>
      <c r="N180" t="s">
        <v>191</v>
      </c>
      <c r="Q180" t="s">
        <v>191</v>
      </c>
      <c r="R180" t="s">
        <v>196</v>
      </c>
      <c r="S180" t="s">
        <v>187</v>
      </c>
      <c r="T180" t="s">
        <v>45</v>
      </c>
      <c r="U180" t="s">
        <v>46</v>
      </c>
      <c r="V180" t="s">
        <v>194</v>
      </c>
      <c r="W180" t="s">
        <v>195</v>
      </c>
    </row>
    <row r="181" spans="1:23" ht="15" customHeight="1" x14ac:dyDescent="0.3">
      <c r="A181" t="s">
        <v>8</v>
      </c>
      <c r="B181">
        <v>339</v>
      </c>
      <c r="C181" t="s">
        <v>33</v>
      </c>
      <c r="D181" t="s">
        <v>186</v>
      </c>
      <c r="E181" t="s">
        <v>153</v>
      </c>
      <c r="F181" t="s">
        <v>94</v>
      </c>
      <c r="G181" t="s">
        <v>36</v>
      </c>
      <c r="H181" t="s">
        <v>37</v>
      </c>
      <c r="I181" t="s">
        <v>186</v>
      </c>
      <c r="J181" t="s">
        <v>187</v>
      </c>
      <c r="K181" t="s">
        <v>188</v>
      </c>
      <c r="L181" s="21" t="s">
        <v>189</v>
      </c>
      <c r="M181" t="s">
        <v>190</v>
      </c>
      <c r="N181" t="s">
        <v>191</v>
      </c>
      <c r="Q181" t="s">
        <v>191</v>
      </c>
      <c r="R181" t="s">
        <v>197</v>
      </c>
      <c r="S181" t="s">
        <v>187</v>
      </c>
      <c r="T181" t="s">
        <v>45</v>
      </c>
      <c r="U181" t="s">
        <v>46</v>
      </c>
      <c r="V181" t="s">
        <v>194</v>
      </c>
      <c r="W181" t="s">
        <v>195</v>
      </c>
    </row>
    <row r="182" spans="1:23" ht="15" customHeight="1" x14ac:dyDescent="0.3">
      <c r="A182" t="s">
        <v>8</v>
      </c>
      <c r="B182">
        <v>339</v>
      </c>
      <c r="C182" t="s">
        <v>33</v>
      </c>
      <c r="D182" t="s">
        <v>186</v>
      </c>
      <c r="E182" t="s">
        <v>153</v>
      </c>
      <c r="F182" t="s">
        <v>94</v>
      </c>
      <c r="G182" t="s">
        <v>36</v>
      </c>
      <c r="H182" t="s">
        <v>37</v>
      </c>
      <c r="I182" t="s">
        <v>186</v>
      </c>
      <c r="J182" t="s">
        <v>187</v>
      </c>
      <c r="K182" t="s">
        <v>188</v>
      </c>
      <c r="L182" s="21" t="s">
        <v>189</v>
      </c>
      <c r="M182" t="s">
        <v>190</v>
      </c>
      <c r="N182" t="s">
        <v>191</v>
      </c>
      <c r="Q182" t="s">
        <v>191</v>
      </c>
      <c r="R182" t="s">
        <v>198</v>
      </c>
      <c r="S182" t="s">
        <v>187</v>
      </c>
      <c r="T182" t="s">
        <v>45</v>
      </c>
      <c r="U182" t="s">
        <v>46</v>
      </c>
      <c r="V182" t="s">
        <v>194</v>
      </c>
      <c r="W182" t="s">
        <v>195</v>
      </c>
    </row>
    <row r="183" spans="1:23" ht="15" customHeight="1" x14ac:dyDescent="0.3">
      <c r="A183" t="s">
        <v>8</v>
      </c>
      <c r="B183">
        <v>339</v>
      </c>
      <c r="C183" t="s">
        <v>33</v>
      </c>
      <c r="D183" t="s">
        <v>186</v>
      </c>
      <c r="E183" t="s">
        <v>153</v>
      </c>
      <c r="F183" t="s">
        <v>94</v>
      </c>
      <c r="G183" t="s">
        <v>36</v>
      </c>
      <c r="H183" t="s">
        <v>52</v>
      </c>
      <c r="I183" t="s">
        <v>186</v>
      </c>
      <c r="J183" t="s">
        <v>199</v>
      </c>
      <c r="K183" s="21" t="s">
        <v>200</v>
      </c>
      <c r="L183" s="21" t="s">
        <v>189</v>
      </c>
      <c r="M183" t="s">
        <v>190</v>
      </c>
      <c r="N183" t="s">
        <v>191</v>
      </c>
      <c r="Q183" t="s">
        <v>191</v>
      </c>
      <c r="R183" t="s">
        <v>193</v>
      </c>
      <c r="S183" t="s">
        <v>199</v>
      </c>
      <c r="T183" t="s">
        <v>45</v>
      </c>
      <c r="U183" t="s">
        <v>46</v>
      </c>
      <c r="V183" t="s">
        <v>201</v>
      </c>
      <c r="W183" t="s">
        <v>202</v>
      </c>
    </row>
    <row r="184" spans="1:23" ht="15" customHeight="1" x14ac:dyDescent="0.3">
      <c r="A184" t="s">
        <v>8</v>
      </c>
      <c r="B184">
        <v>339</v>
      </c>
      <c r="C184" t="s">
        <v>33</v>
      </c>
      <c r="D184" t="s">
        <v>186</v>
      </c>
      <c r="E184" t="s">
        <v>153</v>
      </c>
      <c r="F184" t="s">
        <v>94</v>
      </c>
      <c r="G184" t="s">
        <v>36</v>
      </c>
      <c r="H184" t="s">
        <v>52</v>
      </c>
      <c r="I184" t="s">
        <v>186</v>
      </c>
      <c r="J184" t="s">
        <v>199</v>
      </c>
      <c r="K184" s="21" t="s">
        <v>200</v>
      </c>
      <c r="L184" s="21" t="s">
        <v>189</v>
      </c>
      <c r="M184" t="s">
        <v>190</v>
      </c>
      <c r="N184" t="s">
        <v>191</v>
      </c>
      <c r="Q184" t="s">
        <v>191</v>
      </c>
      <c r="R184" t="s">
        <v>196</v>
      </c>
      <c r="S184" t="s">
        <v>199</v>
      </c>
      <c r="T184" t="s">
        <v>45</v>
      </c>
      <c r="U184" t="s">
        <v>46</v>
      </c>
      <c r="V184" t="s">
        <v>201</v>
      </c>
      <c r="W184" t="s">
        <v>202</v>
      </c>
    </row>
    <row r="185" spans="1:23" ht="15" customHeight="1" x14ac:dyDescent="0.3">
      <c r="A185" t="s">
        <v>8</v>
      </c>
      <c r="B185">
        <v>339</v>
      </c>
      <c r="C185" t="s">
        <v>33</v>
      </c>
      <c r="D185" t="s">
        <v>186</v>
      </c>
      <c r="E185" t="s">
        <v>153</v>
      </c>
      <c r="F185" t="s">
        <v>94</v>
      </c>
      <c r="G185" t="s">
        <v>36</v>
      </c>
      <c r="H185" t="s">
        <v>52</v>
      </c>
      <c r="I185" t="s">
        <v>186</v>
      </c>
      <c r="J185" t="s">
        <v>199</v>
      </c>
      <c r="K185" s="21" t="s">
        <v>200</v>
      </c>
      <c r="L185" s="21" t="s">
        <v>189</v>
      </c>
      <c r="M185" t="s">
        <v>190</v>
      </c>
      <c r="N185" t="s">
        <v>191</v>
      </c>
      <c r="Q185" t="s">
        <v>191</v>
      </c>
      <c r="R185" t="s">
        <v>197</v>
      </c>
      <c r="S185" t="s">
        <v>199</v>
      </c>
      <c r="T185" t="s">
        <v>45</v>
      </c>
      <c r="U185" t="s">
        <v>46</v>
      </c>
      <c r="V185" t="s">
        <v>201</v>
      </c>
      <c r="W185" t="s">
        <v>202</v>
      </c>
    </row>
    <row r="186" spans="1:23" ht="15" customHeight="1" x14ac:dyDescent="0.3">
      <c r="A186" t="s">
        <v>8</v>
      </c>
      <c r="B186">
        <v>339</v>
      </c>
      <c r="C186" t="s">
        <v>33</v>
      </c>
      <c r="D186" t="s">
        <v>186</v>
      </c>
      <c r="E186" t="s">
        <v>153</v>
      </c>
      <c r="F186" t="s">
        <v>94</v>
      </c>
      <c r="G186" t="s">
        <v>36</v>
      </c>
      <c r="H186" t="s">
        <v>52</v>
      </c>
      <c r="I186" t="s">
        <v>186</v>
      </c>
      <c r="J186" t="s">
        <v>199</v>
      </c>
      <c r="K186" s="21" t="s">
        <v>200</v>
      </c>
      <c r="L186" s="21" t="s">
        <v>189</v>
      </c>
      <c r="M186" t="s">
        <v>190</v>
      </c>
      <c r="N186" t="s">
        <v>191</v>
      </c>
      <c r="Q186" t="s">
        <v>191</v>
      </c>
      <c r="R186" t="s">
        <v>198</v>
      </c>
      <c r="S186" t="s">
        <v>199</v>
      </c>
      <c r="T186" t="s">
        <v>45</v>
      </c>
      <c r="U186" t="s">
        <v>46</v>
      </c>
      <c r="V186" t="s">
        <v>201</v>
      </c>
      <c r="W186" t="s">
        <v>202</v>
      </c>
    </row>
    <row r="187" spans="1:23" ht="15" customHeight="1" x14ac:dyDescent="0.3">
      <c r="A187" t="s">
        <v>8</v>
      </c>
      <c r="B187">
        <v>339</v>
      </c>
      <c r="C187" t="s">
        <v>33</v>
      </c>
      <c r="D187" t="s">
        <v>186</v>
      </c>
      <c r="E187" t="s">
        <v>153</v>
      </c>
      <c r="F187" t="s">
        <v>94</v>
      </c>
      <c r="G187" t="s">
        <v>36</v>
      </c>
      <c r="H187" t="s">
        <v>57</v>
      </c>
      <c r="I187" t="s">
        <v>186</v>
      </c>
      <c r="J187" t="s">
        <v>1343</v>
      </c>
      <c r="K187" s="21" t="s">
        <v>1344</v>
      </c>
      <c r="L187" s="21" t="s">
        <v>189</v>
      </c>
      <c r="M187" t="s">
        <v>190</v>
      </c>
      <c r="N187" t="s">
        <v>191</v>
      </c>
      <c r="Q187" t="s">
        <v>191</v>
      </c>
      <c r="R187" t="s">
        <v>193</v>
      </c>
      <c r="S187" t="s">
        <v>1343</v>
      </c>
      <c r="T187" t="s">
        <v>45</v>
      </c>
      <c r="U187" t="s">
        <v>1257</v>
      </c>
      <c r="V187" t="s">
        <v>205</v>
      </c>
      <c r="W187" t="s">
        <v>1345</v>
      </c>
    </row>
    <row r="188" spans="1:23" ht="15" customHeight="1" x14ac:dyDescent="0.3">
      <c r="A188" t="s">
        <v>8</v>
      </c>
      <c r="B188">
        <v>339</v>
      </c>
      <c r="C188" t="s">
        <v>33</v>
      </c>
      <c r="D188" t="s">
        <v>186</v>
      </c>
      <c r="E188" t="s">
        <v>153</v>
      </c>
      <c r="F188" t="s">
        <v>94</v>
      </c>
      <c r="G188" t="s">
        <v>36</v>
      </c>
      <c r="H188" t="s">
        <v>57</v>
      </c>
      <c r="I188" t="s">
        <v>186</v>
      </c>
      <c r="J188" t="s">
        <v>1343</v>
      </c>
      <c r="K188" s="21" t="s">
        <v>1344</v>
      </c>
      <c r="L188" s="21" t="s">
        <v>189</v>
      </c>
      <c r="M188" t="s">
        <v>190</v>
      </c>
      <c r="N188" t="s">
        <v>191</v>
      </c>
      <c r="Q188" t="s">
        <v>191</v>
      </c>
      <c r="R188" t="s">
        <v>196</v>
      </c>
      <c r="S188" t="s">
        <v>1343</v>
      </c>
      <c r="T188" t="s">
        <v>45</v>
      </c>
      <c r="U188" t="s">
        <v>1257</v>
      </c>
      <c r="V188" t="s">
        <v>205</v>
      </c>
      <c r="W188" t="s">
        <v>1345</v>
      </c>
    </row>
    <row r="189" spans="1:23" ht="15" customHeight="1" x14ac:dyDescent="0.3">
      <c r="A189" t="s">
        <v>8</v>
      </c>
      <c r="B189">
        <v>339</v>
      </c>
      <c r="C189" t="s">
        <v>33</v>
      </c>
      <c r="D189" t="s">
        <v>186</v>
      </c>
      <c r="E189" t="s">
        <v>153</v>
      </c>
      <c r="F189" t="s">
        <v>94</v>
      </c>
      <c r="G189" t="s">
        <v>36</v>
      </c>
      <c r="H189" t="s">
        <v>57</v>
      </c>
      <c r="I189" t="s">
        <v>186</v>
      </c>
      <c r="J189" t="s">
        <v>1343</v>
      </c>
      <c r="K189" s="21" t="s">
        <v>1344</v>
      </c>
      <c r="L189" s="21" t="s">
        <v>189</v>
      </c>
      <c r="M189" t="s">
        <v>190</v>
      </c>
      <c r="N189" t="s">
        <v>191</v>
      </c>
      <c r="Q189" t="s">
        <v>191</v>
      </c>
      <c r="R189" t="s">
        <v>197</v>
      </c>
      <c r="S189" t="s">
        <v>1343</v>
      </c>
      <c r="T189" t="s">
        <v>45</v>
      </c>
      <c r="U189" t="s">
        <v>1257</v>
      </c>
      <c r="V189" t="s">
        <v>205</v>
      </c>
      <c r="W189" t="s">
        <v>1345</v>
      </c>
    </row>
    <row r="190" spans="1:23" ht="15" customHeight="1" x14ac:dyDescent="0.3">
      <c r="A190" t="s">
        <v>8</v>
      </c>
      <c r="B190">
        <v>339</v>
      </c>
      <c r="C190" t="s">
        <v>33</v>
      </c>
      <c r="D190" t="s">
        <v>186</v>
      </c>
      <c r="E190" t="s">
        <v>153</v>
      </c>
      <c r="F190" t="s">
        <v>94</v>
      </c>
      <c r="G190" t="s">
        <v>36</v>
      </c>
      <c r="H190" t="s">
        <v>57</v>
      </c>
      <c r="I190" t="s">
        <v>186</v>
      </c>
      <c r="J190" t="s">
        <v>1343</v>
      </c>
      <c r="K190" s="21" t="s">
        <v>1344</v>
      </c>
      <c r="L190" s="21" t="s">
        <v>189</v>
      </c>
      <c r="M190" t="s">
        <v>190</v>
      </c>
      <c r="N190" t="s">
        <v>191</v>
      </c>
      <c r="Q190" t="s">
        <v>191</v>
      </c>
      <c r="R190" t="s">
        <v>198</v>
      </c>
      <c r="S190" t="s">
        <v>1343</v>
      </c>
      <c r="T190" t="s">
        <v>45</v>
      </c>
      <c r="U190" t="s">
        <v>1257</v>
      </c>
      <c r="V190" t="s">
        <v>205</v>
      </c>
      <c r="W190" t="s">
        <v>1345</v>
      </c>
    </row>
    <row r="191" spans="1:23" ht="15" customHeight="1" x14ac:dyDescent="0.3">
      <c r="A191" t="s">
        <v>8</v>
      </c>
      <c r="B191">
        <v>339</v>
      </c>
      <c r="C191" t="s">
        <v>33</v>
      </c>
      <c r="D191" t="s">
        <v>186</v>
      </c>
      <c r="E191" t="s">
        <v>153</v>
      </c>
      <c r="F191" t="s">
        <v>94</v>
      </c>
      <c r="G191" t="s">
        <v>36</v>
      </c>
      <c r="H191" t="s">
        <v>49</v>
      </c>
      <c r="I191" t="s">
        <v>186</v>
      </c>
      <c r="J191" t="s">
        <v>203</v>
      </c>
      <c r="K191" s="21" t="s">
        <v>204</v>
      </c>
      <c r="L191" s="21" t="s">
        <v>189</v>
      </c>
      <c r="M191" t="s">
        <v>190</v>
      </c>
      <c r="N191" t="s">
        <v>191</v>
      </c>
      <c r="Q191" t="s">
        <v>191</v>
      </c>
      <c r="R191" t="s">
        <v>193</v>
      </c>
      <c r="S191" t="s">
        <v>203</v>
      </c>
      <c r="T191" t="s">
        <v>45</v>
      </c>
      <c r="U191" t="s">
        <v>90</v>
      </c>
      <c r="V191" t="s">
        <v>205</v>
      </c>
      <c r="W191" t="s">
        <v>206</v>
      </c>
    </row>
    <row r="192" spans="1:23" ht="15" customHeight="1" x14ac:dyDescent="0.3">
      <c r="A192" t="s">
        <v>8</v>
      </c>
      <c r="B192">
        <v>339</v>
      </c>
      <c r="C192" t="s">
        <v>33</v>
      </c>
      <c r="D192" t="s">
        <v>186</v>
      </c>
      <c r="E192" t="s">
        <v>153</v>
      </c>
      <c r="F192" t="s">
        <v>94</v>
      </c>
      <c r="G192" t="s">
        <v>36</v>
      </c>
      <c r="H192" t="s">
        <v>49</v>
      </c>
      <c r="I192" t="s">
        <v>186</v>
      </c>
      <c r="J192" t="s">
        <v>203</v>
      </c>
      <c r="K192" s="21" t="s">
        <v>204</v>
      </c>
      <c r="L192" s="21" t="s">
        <v>189</v>
      </c>
      <c r="M192" t="s">
        <v>190</v>
      </c>
      <c r="N192" t="s">
        <v>191</v>
      </c>
      <c r="Q192" t="s">
        <v>191</v>
      </c>
      <c r="R192" t="s">
        <v>196</v>
      </c>
      <c r="S192" t="s">
        <v>203</v>
      </c>
      <c r="T192" t="s">
        <v>45</v>
      </c>
      <c r="U192" t="s">
        <v>90</v>
      </c>
      <c r="V192" t="s">
        <v>205</v>
      </c>
      <c r="W192" t="s">
        <v>206</v>
      </c>
    </row>
    <row r="193" spans="1:23" ht="15" customHeight="1" x14ac:dyDescent="0.3">
      <c r="A193" t="s">
        <v>8</v>
      </c>
      <c r="B193">
        <v>339</v>
      </c>
      <c r="C193" t="s">
        <v>33</v>
      </c>
      <c r="D193" t="s">
        <v>186</v>
      </c>
      <c r="E193" t="s">
        <v>153</v>
      </c>
      <c r="F193" t="s">
        <v>94</v>
      </c>
      <c r="G193" t="s">
        <v>36</v>
      </c>
      <c r="H193" t="s">
        <v>49</v>
      </c>
      <c r="I193" t="s">
        <v>186</v>
      </c>
      <c r="J193" t="s">
        <v>203</v>
      </c>
      <c r="K193" s="21" t="s">
        <v>204</v>
      </c>
      <c r="L193" s="21" t="s">
        <v>189</v>
      </c>
      <c r="M193" t="s">
        <v>190</v>
      </c>
      <c r="N193" t="s">
        <v>191</v>
      </c>
      <c r="Q193" t="s">
        <v>191</v>
      </c>
      <c r="R193" t="s">
        <v>197</v>
      </c>
      <c r="S193" t="s">
        <v>203</v>
      </c>
      <c r="T193" t="s">
        <v>45</v>
      </c>
      <c r="U193" t="s">
        <v>90</v>
      </c>
      <c r="V193" t="s">
        <v>205</v>
      </c>
      <c r="W193" t="s">
        <v>206</v>
      </c>
    </row>
    <row r="194" spans="1:23" ht="15" customHeight="1" x14ac:dyDescent="0.3">
      <c r="A194" t="s">
        <v>8</v>
      </c>
      <c r="B194">
        <v>339</v>
      </c>
      <c r="C194" t="s">
        <v>33</v>
      </c>
      <c r="D194" t="s">
        <v>186</v>
      </c>
      <c r="E194" t="s">
        <v>153</v>
      </c>
      <c r="F194" t="s">
        <v>94</v>
      </c>
      <c r="G194" t="s">
        <v>36</v>
      </c>
      <c r="H194" t="s">
        <v>49</v>
      </c>
      <c r="I194" t="s">
        <v>186</v>
      </c>
      <c r="J194" t="s">
        <v>203</v>
      </c>
      <c r="K194" s="21" t="s">
        <v>204</v>
      </c>
      <c r="L194" s="21" t="s">
        <v>189</v>
      </c>
      <c r="M194" t="s">
        <v>190</v>
      </c>
      <c r="N194" t="s">
        <v>191</v>
      </c>
      <c r="Q194" t="s">
        <v>191</v>
      </c>
      <c r="R194" t="s">
        <v>198</v>
      </c>
      <c r="S194" t="s">
        <v>203</v>
      </c>
      <c r="T194" t="s">
        <v>45</v>
      </c>
      <c r="U194" t="s">
        <v>90</v>
      </c>
      <c r="V194" t="s">
        <v>205</v>
      </c>
      <c r="W194" t="s">
        <v>206</v>
      </c>
    </row>
    <row r="195" spans="1:23" ht="15" customHeight="1" x14ac:dyDescent="0.3">
      <c r="A195" t="s">
        <v>8</v>
      </c>
      <c r="B195">
        <v>340</v>
      </c>
      <c r="C195" t="s">
        <v>33</v>
      </c>
      <c r="D195" t="s">
        <v>207</v>
      </c>
      <c r="E195" t="s">
        <v>34</v>
      </c>
      <c r="F195" t="s">
        <v>208</v>
      </c>
      <c r="G195" t="s">
        <v>36</v>
      </c>
      <c r="H195" t="s">
        <v>37</v>
      </c>
      <c r="I195" t="s">
        <v>207</v>
      </c>
      <c r="J195" t="s">
        <v>209</v>
      </c>
      <c r="K195" t="s">
        <v>210</v>
      </c>
      <c r="L195" s="21" t="s">
        <v>211</v>
      </c>
      <c r="M195" t="s">
        <v>212</v>
      </c>
      <c r="N195" t="s">
        <v>42</v>
      </c>
      <c r="R195" t="s">
        <v>214</v>
      </c>
      <c r="S195" t="s">
        <v>209</v>
      </c>
      <c r="T195" t="s">
        <v>45</v>
      </c>
      <c r="U195" t="s">
        <v>46</v>
      </c>
      <c r="V195" t="s">
        <v>215</v>
      </c>
      <c r="W195" t="s">
        <v>216</v>
      </c>
    </row>
    <row r="196" spans="1:23" ht="15" customHeight="1" x14ac:dyDescent="0.3">
      <c r="A196" t="s">
        <v>8</v>
      </c>
      <c r="B196">
        <v>340</v>
      </c>
      <c r="C196" t="s">
        <v>33</v>
      </c>
      <c r="D196" t="s">
        <v>207</v>
      </c>
      <c r="E196" t="s">
        <v>34</v>
      </c>
      <c r="F196" t="s">
        <v>208</v>
      </c>
      <c r="G196" t="s">
        <v>36</v>
      </c>
      <c r="H196" t="s">
        <v>37</v>
      </c>
      <c r="I196" t="s">
        <v>207</v>
      </c>
      <c r="J196" t="s">
        <v>209</v>
      </c>
      <c r="K196" t="s">
        <v>210</v>
      </c>
      <c r="L196" s="21" t="s">
        <v>211</v>
      </c>
      <c r="M196" t="s">
        <v>212</v>
      </c>
      <c r="N196" t="s">
        <v>42</v>
      </c>
      <c r="R196" t="s">
        <v>217</v>
      </c>
      <c r="S196" t="s">
        <v>209</v>
      </c>
      <c r="T196" t="s">
        <v>45</v>
      </c>
      <c r="U196" t="s">
        <v>46</v>
      </c>
      <c r="V196" t="s">
        <v>215</v>
      </c>
      <c r="W196" t="s">
        <v>216</v>
      </c>
    </row>
    <row r="197" spans="1:23" ht="15" customHeight="1" x14ac:dyDescent="0.3">
      <c r="A197" t="s">
        <v>8</v>
      </c>
      <c r="B197">
        <v>340</v>
      </c>
      <c r="C197" t="s">
        <v>33</v>
      </c>
      <c r="D197" t="s">
        <v>207</v>
      </c>
      <c r="E197" t="s">
        <v>34</v>
      </c>
      <c r="F197" t="s">
        <v>208</v>
      </c>
      <c r="G197" t="s">
        <v>36</v>
      </c>
      <c r="H197" t="s">
        <v>37</v>
      </c>
      <c r="I197" t="s">
        <v>207</v>
      </c>
      <c r="J197" t="s">
        <v>209</v>
      </c>
      <c r="K197" t="s">
        <v>210</v>
      </c>
      <c r="L197" s="21" t="s">
        <v>211</v>
      </c>
      <c r="M197" t="s">
        <v>212</v>
      </c>
      <c r="N197" t="s">
        <v>42</v>
      </c>
      <c r="R197" t="s">
        <v>218</v>
      </c>
      <c r="S197" t="s">
        <v>209</v>
      </c>
      <c r="T197" t="s">
        <v>45</v>
      </c>
      <c r="U197" t="s">
        <v>46</v>
      </c>
      <c r="V197" t="s">
        <v>215</v>
      </c>
      <c r="W197" t="s">
        <v>216</v>
      </c>
    </row>
    <row r="198" spans="1:23" ht="15" customHeight="1" x14ac:dyDescent="0.3">
      <c r="A198" t="s">
        <v>8</v>
      </c>
      <c r="B198">
        <v>340</v>
      </c>
      <c r="C198" t="s">
        <v>33</v>
      </c>
      <c r="D198" t="s">
        <v>207</v>
      </c>
      <c r="E198" t="s">
        <v>34</v>
      </c>
      <c r="F198" t="s">
        <v>208</v>
      </c>
      <c r="G198" t="s">
        <v>36</v>
      </c>
      <c r="H198" t="s">
        <v>52</v>
      </c>
      <c r="I198" t="s">
        <v>207</v>
      </c>
      <c r="J198" t="s">
        <v>219</v>
      </c>
      <c r="K198" s="21" t="s">
        <v>220</v>
      </c>
      <c r="L198" s="21" t="s">
        <v>211</v>
      </c>
      <c r="M198" t="s">
        <v>212</v>
      </c>
      <c r="N198" t="s">
        <v>42</v>
      </c>
      <c r="R198" t="s">
        <v>214</v>
      </c>
      <c r="S198" t="s">
        <v>219</v>
      </c>
      <c r="T198" t="s">
        <v>45</v>
      </c>
      <c r="U198" t="s">
        <v>46</v>
      </c>
      <c r="V198" t="s">
        <v>221</v>
      </c>
      <c r="W198" t="s">
        <v>222</v>
      </c>
    </row>
    <row r="199" spans="1:23" ht="15" customHeight="1" x14ac:dyDescent="0.3">
      <c r="A199" t="s">
        <v>8</v>
      </c>
      <c r="B199">
        <v>340</v>
      </c>
      <c r="C199" t="s">
        <v>33</v>
      </c>
      <c r="D199" t="s">
        <v>207</v>
      </c>
      <c r="E199" t="s">
        <v>34</v>
      </c>
      <c r="F199" t="s">
        <v>208</v>
      </c>
      <c r="G199" t="s">
        <v>36</v>
      </c>
      <c r="H199" t="s">
        <v>52</v>
      </c>
      <c r="I199" t="s">
        <v>207</v>
      </c>
      <c r="J199" t="s">
        <v>219</v>
      </c>
      <c r="K199" s="21" t="s">
        <v>220</v>
      </c>
      <c r="L199" s="21" t="s">
        <v>211</v>
      </c>
      <c r="M199" t="s">
        <v>212</v>
      </c>
      <c r="N199" t="s">
        <v>42</v>
      </c>
      <c r="R199" t="s">
        <v>217</v>
      </c>
      <c r="S199" t="s">
        <v>219</v>
      </c>
      <c r="T199" t="s">
        <v>45</v>
      </c>
      <c r="U199" t="s">
        <v>46</v>
      </c>
      <c r="V199" t="s">
        <v>221</v>
      </c>
      <c r="W199" t="s">
        <v>222</v>
      </c>
    </row>
    <row r="200" spans="1:23" ht="15" customHeight="1" x14ac:dyDescent="0.3">
      <c r="A200" t="s">
        <v>8</v>
      </c>
      <c r="B200">
        <v>340</v>
      </c>
      <c r="C200" t="s">
        <v>33</v>
      </c>
      <c r="D200" t="s">
        <v>207</v>
      </c>
      <c r="E200" t="s">
        <v>34</v>
      </c>
      <c r="F200" t="s">
        <v>208</v>
      </c>
      <c r="G200" t="s">
        <v>36</v>
      </c>
      <c r="H200" t="s">
        <v>52</v>
      </c>
      <c r="I200" t="s">
        <v>207</v>
      </c>
      <c r="J200" t="s">
        <v>219</v>
      </c>
      <c r="K200" s="21" t="s">
        <v>220</v>
      </c>
      <c r="L200" s="21" t="s">
        <v>211</v>
      </c>
      <c r="M200" t="s">
        <v>212</v>
      </c>
      <c r="N200" t="s">
        <v>42</v>
      </c>
      <c r="R200" t="s">
        <v>218</v>
      </c>
      <c r="S200" t="s">
        <v>219</v>
      </c>
      <c r="T200" t="s">
        <v>45</v>
      </c>
      <c r="U200" t="s">
        <v>46</v>
      </c>
      <c r="V200" t="s">
        <v>221</v>
      </c>
      <c r="W200" t="s">
        <v>222</v>
      </c>
    </row>
    <row r="201" spans="1:23" ht="15" customHeight="1" x14ac:dyDescent="0.3">
      <c r="A201" t="s">
        <v>8</v>
      </c>
      <c r="B201">
        <v>340</v>
      </c>
      <c r="C201" t="s">
        <v>33</v>
      </c>
      <c r="D201" t="s">
        <v>207</v>
      </c>
      <c r="E201" t="s">
        <v>34</v>
      </c>
      <c r="F201" t="s">
        <v>208</v>
      </c>
      <c r="G201" t="s">
        <v>36</v>
      </c>
      <c r="H201" t="s">
        <v>57</v>
      </c>
      <c r="I201" t="s">
        <v>207</v>
      </c>
      <c r="J201" t="s">
        <v>1346</v>
      </c>
      <c r="K201" s="21" t="s">
        <v>1347</v>
      </c>
      <c r="L201" s="21" t="s">
        <v>211</v>
      </c>
      <c r="M201" t="s">
        <v>212</v>
      </c>
      <c r="N201" t="s">
        <v>42</v>
      </c>
      <c r="R201" t="s">
        <v>214</v>
      </c>
      <c r="S201" t="s">
        <v>1346</v>
      </c>
      <c r="T201" t="s">
        <v>1249</v>
      </c>
      <c r="U201" t="s">
        <v>1250</v>
      </c>
      <c r="V201" t="s">
        <v>215</v>
      </c>
      <c r="W201" t="s">
        <v>1348</v>
      </c>
    </row>
    <row r="202" spans="1:23" ht="15" customHeight="1" x14ac:dyDescent="0.3">
      <c r="A202" t="s">
        <v>8</v>
      </c>
      <c r="B202">
        <v>340</v>
      </c>
      <c r="C202" t="s">
        <v>33</v>
      </c>
      <c r="D202" t="s">
        <v>207</v>
      </c>
      <c r="E202" t="s">
        <v>34</v>
      </c>
      <c r="F202" t="s">
        <v>208</v>
      </c>
      <c r="G202" t="s">
        <v>36</v>
      </c>
      <c r="H202" t="s">
        <v>57</v>
      </c>
      <c r="I202" t="s">
        <v>207</v>
      </c>
      <c r="J202" t="s">
        <v>1346</v>
      </c>
      <c r="K202" s="21" t="s">
        <v>1347</v>
      </c>
      <c r="L202" s="21" t="s">
        <v>211</v>
      </c>
      <c r="M202" t="s">
        <v>212</v>
      </c>
      <c r="N202" t="s">
        <v>42</v>
      </c>
      <c r="R202" t="s">
        <v>217</v>
      </c>
      <c r="S202" t="s">
        <v>1346</v>
      </c>
      <c r="T202" t="s">
        <v>1249</v>
      </c>
      <c r="U202" t="s">
        <v>1250</v>
      </c>
      <c r="V202" t="s">
        <v>215</v>
      </c>
      <c r="W202" t="s">
        <v>1348</v>
      </c>
    </row>
    <row r="203" spans="1:23" ht="15" customHeight="1" x14ac:dyDescent="0.3">
      <c r="A203" t="s">
        <v>8</v>
      </c>
      <c r="B203">
        <v>340</v>
      </c>
      <c r="C203" t="s">
        <v>33</v>
      </c>
      <c r="D203" t="s">
        <v>207</v>
      </c>
      <c r="E203" t="s">
        <v>34</v>
      </c>
      <c r="F203" t="s">
        <v>208</v>
      </c>
      <c r="G203" t="s">
        <v>36</v>
      </c>
      <c r="H203" t="s">
        <v>57</v>
      </c>
      <c r="I203" t="s">
        <v>207</v>
      </c>
      <c r="J203" t="s">
        <v>1346</v>
      </c>
      <c r="K203" s="21" t="s">
        <v>1347</v>
      </c>
      <c r="L203" s="21" t="s">
        <v>211</v>
      </c>
      <c r="M203" t="s">
        <v>212</v>
      </c>
      <c r="N203" t="s">
        <v>42</v>
      </c>
      <c r="R203" t="s">
        <v>218</v>
      </c>
      <c r="S203" t="s">
        <v>1346</v>
      </c>
      <c r="T203" t="s">
        <v>1249</v>
      </c>
      <c r="U203" t="s">
        <v>1250</v>
      </c>
      <c r="V203" t="s">
        <v>215</v>
      </c>
      <c r="W203" t="s">
        <v>1348</v>
      </c>
    </row>
    <row r="204" spans="1:23" ht="15" customHeight="1" x14ac:dyDescent="0.3">
      <c r="A204" t="s">
        <v>8</v>
      </c>
      <c r="B204">
        <v>340</v>
      </c>
      <c r="C204" t="s">
        <v>33</v>
      </c>
      <c r="D204" t="s">
        <v>207</v>
      </c>
      <c r="E204" t="s">
        <v>34</v>
      </c>
      <c r="F204" t="s">
        <v>208</v>
      </c>
      <c r="G204" t="s">
        <v>36</v>
      </c>
      <c r="H204" t="s">
        <v>49</v>
      </c>
      <c r="I204" t="s">
        <v>207</v>
      </c>
      <c r="J204" t="s">
        <v>1349</v>
      </c>
      <c r="K204" s="21" t="s">
        <v>1350</v>
      </c>
      <c r="L204" s="21" t="s">
        <v>211</v>
      </c>
      <c r="M204" t="s">
        <v>212</v>
      </c>
      <c r="N204" t="s">
        <v>42</v>
      </c>
      <c r="R204" t="s">
        <v>214</v>
      </c>
      <c r="S204" t="s">
        <v>1349</v>
      </c>
      <c r="T204" t="s">
        <v>1249</v>
      </c>
      <c r="U204" t="s">
        <v>1282</v>
      </c>
      <c r="V204" t="s">
        <v>215</v>
      </c>
      <c r="W204" t="s">
        <v>1348</v>
      </c>
    </row>
    <row r="205" spans="1:23" ht="15" customHeight="1" x14ac:dyDescent="0.3">
      <c r="A205" t="s">
        <v>8</v>
      </c>
      <c r="B205">
        <v>340</v>
      </c>
      <c r="C205" t="s">
        <v>33</v>
      </c>
      <c r="D205" t="s">
        <v>207</v>
      </c>
      <c r="E205" t="s">
        <v>34</v>
      </c>
      <c r="F205" t="s">
        <v>208</v>
      </c>
      <c r="G205" t="s">
        <v>36</v>
      </c>
      <c r="H205" t="s">
        <v>49</v>
      </c>
      <c r="I205" t="s">
        <v>207</v>
      </c>
      <c r="J205" t="s">
        <v>1349</v>
      </c>
      <c r="K205" s="21" t="s">
        <v>1350</v>
      </c>
      <c r="L205" s="21" t="s">
        <v>211</v>
      </c>
      <c r="M205" t="s">
        <v>212</v>
      </c>
      <c r="N205" t="s">
        <v>42</v>
      </c>
      <c r="R205" t="s">
        <v>217</v>
      </c>
      <c r="S205" t="s">
        <v>1349</v>
      </c>
      <c r="T205" t="s">
        <v>1249</v>
      </c>
      <c r="U205" t="s">
        <v>1282</v>
      </c>
      <c r="V205" t="s">
        <v>215</v>
      </c>
      <c r="W205" t="s">
        <v>1348</v>
      </c>
    </row>
    <row r="206" spans="1:23" ht="15" customHeight="1" x14ac:dyDescent="0.3">
      <c r="A206" t="s">
        <v>8</v>
      </c>
      <c r="B206">
        <v>340</v>
      </c>
      <c r="C206" t="s">
        <v>33</v>
      </c>
      <c r="D206" t="s">
        <v>207</v>
      </c>
      <c r="E206" t="s">
        <v>34</v>
      </c>
      <c r="F206" t="s">
        <v>208</v>
      </c>
      <c r="G206" t="s">
        <v>36</v>
      </c>
      <c r="H206" t="s">
        <v>49</v>
      </c>
      <c r="I206" t="s">
        <v>207</v>
      </c>
      <c r="J206" t="s">
        <v>1349</v>
      </c>
      <c r="K206" s="21" t="s">
        <v>1350</v>
      </c>
      <c r="L206" s="21" t="s">
        <v>211</v>
      </c>
      <c r="M206" t="s">
        <v>212</v>
      </c>
      <c r="N206" t="s">
        <v>42</v>
      </c>
      <c r="R206" t="s">
        <v>218</v>
      </c>
      <c r="S206" t="s">
        <v>1349</v>
      </c>
      <c r="T206" t="s">
        <v>1249</v>
      </c>
      <c r="U206" t="s">
        <v>1282</v>
      </c>
      <c r="V206" t="s">
        <v>215</v>
      </c>
      <c r="W206" t="s">
        <v>1348</v>
      </c>
    </row>
    <row r="207" spans="1:23" ht="15" customHeight="1" x14ac:dyDescent="0.3">
      <c r="A207" t="s">
        <v>8</v>
      </c>
      <c r="B207">
        <v>341</v>
      </c>
      <c r="C207" t="s">
        <v>33</v>
      </c>
      <c r="D207" t="s">
        <v>223</v>
      </c>
      <c r="E207" t="s">
        <v>34</v>
      </c>
      <c r="F207" t="s">
        <v>224</v>
      </c>
      <c r="G207" t="s">
        <v>36</v>
      </c>
      <c r="H207" t="s">
        <v>37</v>
      </c>
      <c r="I207" t="s">
        <v>223</v>
      </c>
      <c r="J207" t="s">
        <v>225</v>
      </c>
      <c r="K207" t="s">
        <v>226</v>
      </c>
      <c r="L207" s="21" t="s">
        <v>227</v>
      </c>
      <c r="M207" t="s">
        <v>228</v>
      </c>
      <c r="N207" t="s">
        <v>72</v>
      </c>
      <c r="R207" t="s">
        <v>230</v>
      </c>
      <c r="S207" t="s">
        <v>225</v>
      </c>
      <c r="T207" t="s">
        <v>45</v>
      </c>
      <c r="U207" t="s">
        <v>46</v>
      </c>
      <c r="V207" t="s">
        <v>231</v>
      </c>
      <c r="W207" t="s">
        <v>232</v>
      </c>
    </row>
    <row r="208" spans="1:23" ht="15" customHeight="1" x14ac:dyDescent="0.3">
      <c r="A208" t="s">
        <v>8</v>
      </c>
      <c r="B208">
        <v>341</v>
      </c>
      <c r="C208" t="s">
        <v>33</v>
      </c>
      <c r="D208" t="s">
        <v>223</v>
      </c>
      <c r="E208" t="s">
        <v>34</v>
      </c>
      <c r="F208" t="s">
        <v>224</v>
      </c>
      <c r="G208" t="s">
        <v>36</v>
      </c>
      <c r="H208" t="s">
        <v>37</v>
      </c>
      <c r="I208" t="s">
        <v>223</v>
      </c>
      <c r="J208" t="s">
        <v>225</v>
      </c>
      <c r="K208" t="s">
        <v>226</v>
      </c>
      <c r="L208" s="21" t="s">
        <v>227</v>
      </c>
      <c r="M208" t="s">
        <v>228</v>
      </c>
      <c r="N208" t="s">
        <v>72</v>
      </c>
      <c r="R208" t="s">
        <v>233</v>
      </c>
      <c r="S208" t="s">
        <v>225</v>
      </c>
      <c r="T208" t="s">
        <v>45</v>
      </c>
      <c r="U208" t="s">
        <v>46</v>
      </c>
      <c r="V208" t="s">
        <v>231</v>
      </c>
      <c r="W208" t="s">
        <v>232</v>
      </c>
    </row>
    <row r="209" spans="1:23" ht="15" customHeight="1" x14ac:dyDescent="0.3">
      <c r="A209" t="s">
        <v>8</v>
      </c>
      <c r="B209">
        <v>341</v>
      </c>
      <c r="C209" t="s">
        <v>33</v>
      </c>
      <c r="D209" t="s">
        <v>223</v>
      </c>
      <c r="E209" t="s">
        <v>34</v>
      </c>
      <c r="F209" t="s">
        <v>224</v>
      </c>
      <c r="G209" t="s">
        <v>36</v>
      </c>
      <c r="H209" t="s">
        <v>37</v>
      </c>
      <c r="I209" t="s">
        <v>223</v>
      </c>
      <c r="J209" t="s">
        <v>225</v>
      </c>
      <c r="K209" t="s">
        <v>226</v>
      </c>
      <c r="L209" s="21" t="s">
        <v>227</v>
      </c>
      <c r="M209" t="s">
        <v>228</v>
      </c>
      <c r="N209" t="s">
        <v>72</v>
      </c>
      <c r="R209" t="s">
        <v>234</v>
      </c>
      <c r="S209" t="s">
        <v>225</v>
      </c>
      <c r="T209" t="s">
        <v>45</v>
      </c>
      <c r="U209" t="s">
        <v>46</v>
      </c>
      <c r="V209" t="s">
        <v>231</v>
      </c>
      <c r="W209" t="s">
        <v>232</v>
      </c>
    </row>
    <row r="210" spans="1:23" ht="15" customHeight="1" x14ac:dyDescent="0.3">
      <c r="A210" t="s">
        <v>8</v>
      </c>
      <c r="B210">
        <v>341</v>
      </c>
      <c r="C210" t="s">
        <v>33</v>
      </c>
      <c r="D210" t="s">
        <v>223</v>
      </c>
      <c r="E210" t="s">
        <v>34</v>
      </c>
      <c r="F210" t="s">
        <v>224</v>
      </c>
      <c r="G210" t="s">
        <v>36</v>
      </c>
      <c r="H210" t="s">
        <v>52</v>
      </c>
      <c r="I210" t="s">
        <v>223</v>
      </c>
      <c r="J210" t="s">
        <v>235</v>
      </c>
      <c r="K210" s="21" t="s">
        <v>236</v>
      </c>
      <c r="L210" s="21" t="s">
        <v>227</v>
      </c>
      <c r="M210" t="s">
        <v>228</v>
      </c>
      <c r="N210" t="s">
        <v>72</v>
      </c>
      <c r="R210" t="s">
        <v>230</v>
      </c>
      <c r="S210" t="s">
        <v>235</v>
      </c>
      <c r="T210" t="s">
        <v>45</v>
      </c>
      <c r="U210" t="s">
        <v>46</v>
      </c>
      <c r="V210" t="s">
        <v>237</v>
      </c>
      <c r="W210" t="s">
        <v>238</v>
      </c>
    </row>
    <row r="211" spans="1:23" ht="15" customHeight="1" x14ac:dyDescent="0.3">
      <c r="A211" t="s">
        <v>8</v>
      </c>
      <c r="B211">
        <v>341</v>
      </c>
      <c r="C211" t="s">
        <v>33</v>
      </c>
      <c r="D211" t="s">
        <v>223</v>
      </c>
      <c r="E211" t="s">
        <v>34</v>
      </c>
      <c r="F211" t="s">
        <v>224</v>
      </c>
      <c r="G211" t="s">
        <v>36</v>
      </c>
      <c r="H211" t="s">
        <v>52</v>
      </c>
      <c r="I211" t="s">
        <v>223</v>
      </c>
      <c r="J211" t="s">
        <v>235</v>
      </c>
      <c r="K211" s="21" t="s">
        <v>236</v>
      </c>
      <c r="L211" s="21" t="s">
        <v>227</v>
      </c>
      <c r="M211" t="s">
        <v>228</v>
      </c>
      <c r="N211" t="s">
        <v>72</v>
      </c>
      <c r="R211" t="s">
        <v>233</v>
      </c>
      <c r="S211" t="s">
        <v>235</v>
      </c>
      <c r="T211" t="s">
        <v>45</v>
      </c>
      <c r="U211" t="s">
        <v>46</v>
      </c>
      <c r="V211" t="s">
        <v>237</v>
      </c>
      <c r="W211" t="s">
        <v>238</v>
      </c>
    </row>
    <row r="212" spans="1:23" ht="15" customHeight="1" x14ac:dyDescent="0.3">
      <c r="A212" t="s">
        <v>8</v>
      </c>
      <c r="B212">
        <v>341</v>
      </c>
      <c r="C212" t="s">
        <v>33</v>
      </c>
      <c r="D212" t="s">
        <v>223</v>
      </c>
      <c r="E212" t="s">
        <v>34</v>
      </c>
      <c r="F212" t="s">
        <v>224</v>
      </c>
      <c r="G212" t="s">
        <v>36</v>
      </c>
      <c r="H212" t="s">
        <v>52</v>
      </c>
      <c r="I212" t="s">
        <v>223</v>
      </c>
      <c r="J212" t="s">
        <v>235</v>
      </c>
      <c r="K212" s="21" t="s">
        <v>236</v>
      </c>
      <c r="L212" s="21" t="s">
        <v>227</v>
      </c>
      <c r="M212" t="s">
        <v>228</v>
      </c>
      <c r="N212" t="s">
        <v>72</v>
      </c>
      <c r="R212" t="s">
        <v>234</v>
      </c>
      <c r="S212" t="s">
        <v>235</v>
      </c>
      <c r="T212" t="s">
        <v>45</v>
      </c>
      <c r="U212" t="s">
        <v>46</v>
      </c>
      <c r="V212" t="s">
        <v>237</v>
      </c>
      <c r="W212" t="s">
        <v>238</v>
      </c>
    </row>
    <row r="213" spans="1:23" ht="15" customHeight="1" x14ac:dyDescent="0.3">
      <c r="A213" t="s">
        <v>8</v>
      </c>
      <c r="B213">
        <v>341</v>
      </c>
      <c r="C213" t="s">
        <v>33</v>
      </c>
      <c r="D213" t="s">
        <v>223</v>
      </c>
      <c r="E213" t="s">
        <v>34</v>
      </c>
      <c r="F213" t="s">
        <v>224</v>
      </c>
      <c r="G213" t="s">
        <v>36</v>
      </c>
      <c r="H213" t="s">
        <v>57</v>
      </c>
      <c r="I213" t="s">
        <v>223</v>
      </c>
      <c r="J213" t="s">
        <v>239</v>
      </c>
      <c r="K213" s="21" t="s">
        <v>240</v>
      </c>
      <c r="L213" s="21" t="s">
        <v>227</v>
      </c>
      <c r="M213" t="s">
        <v>228</v>
      </c>
      <c r="N213" t="s">
        <v>72</v>
      </c>
      <c r="R213" t="s">
        <v>230</v>
      </c>
      <c r="S213" t="s">
        <v>239</v>
      </c>
      <c r="T213" t="s">
        <v>45</v>
      </c>
      <c r="U213" t="s">
        <v>46</v>
      </c>
      <c r="V213" t="s">
        <v>241</v>
      </c>
      <c r="W213" t="s">
        <v>242</v>
      </c>
    </row>
    <row r="214" spans="1:23" ht="15" customHeight="1" x14ac:dyDescent="0.3">
      <c r="A214" t="s">
        <v>8</v>
      </c>
      <c r="B214">
        <v>341</v>
      </c>
      <c r="C214" t="s">
        <v>33</v>
      </c>
      <c r="D214" t="s">
        <v>223</v>
      </c>
      <c r="E214" t="s">
        <v>34</v>
      </c>
      <c r="F214" t="s">
        <v>224</v>
      </c>
      <c r="G214" t="s">
        <v>36</v>
      </c>
      <c r="H214" t="s">
        <v>57</v>
      </c>
      <c r="I214" t="s">
        <v>223</v>
      </c>
      <c r="J214" t="s">
        <v>239</v>
      </c>
      <c r="K214" s="21" t="s">
        <v>240</v>
      </c>
      <c r="L214" s="21" t="s">
        <v>227</v>
      </c>
      <c r="M214" t="s">
        <v>228</v>
      </c>
      <c r="N214" t="s">
        <v>72</v>
      </c>
      <c r="R214" t="s">
        <v>233</v>
      </c>
      <c r="S214" t="s">
        <v>239</v>
      </c>
      <c r="T214" t="s">
        <v>45</v>
      </c>
      <c r="U214" t="s">
        <v>46</v>
      </c>
      <c r="V214" t="s">
        <v>241</v>
      </c>
      <c r="W214" t="s">
        <v>242</v>
      </c>
    </row>
    <row r="215" spans="1:23" ht="15" customHeight="1" x14ac:dyDescent="0.3">
      <c r="A215" t="s">
        <v>8</v>
      </c>
      <c r="B215">
        <v>341</v>
      </c>
      <c r="C215" t="s">
        <v>33</v>
      </c>
      <c r="D215" t="s">
        <v>223</v>
      </c>
      <c r="E215" t="s">
        <v>34</v>
      </c>
      <c r="F215" t="s">
        <v>224</v>
      </c>
      <c r="G215" t="s">
        <v>36</v>
      </c>
      <c r="H215" t="s">
        <v>57</v>
      </c>
      <c r="I215" t="s">
        <v>223</v>
      </c>
      <c r="J215" t="s">
        <v>239</v>
      </c>
      <c r="K215" s="21" t="s">
        <v>240</v>
      </c>
      <c r="L215" s="21" t="s">
        <v>227</v>
      </c>
      <c r="M215" t="s">
        <v>228</v>
      </c>
      <c r="N215" t="s">
        <v>72</v>
      </c>
      <c r="R215" t="s">
        <v>234</v>
      </c>
      <c r="S215" t="s">
        <v>239</v>
      </c>
      <c r="T215" t="s">
        <v>45</v>
      </c>
      <c r="U215" t="s">
        <v>46</v>
      </c>
      <c r="V215" t="s">
        <v>241</v>
      </c>
      <c r="W215" t="s">
        <v>242</v>
      </c>
    </row>
    <row r="216" spans="1:23" ht="15" customHeight="1" x14ac:dyDescent="0.3">
      <c r="A216" t="s">
        <v>8</v>
      </c>
      <c r="B216">
        <v>341</v>
      </c>
      <c r="C216" t="s">
        <v>33</v>
      </c>
      <c r="D216" t="s">
        <v>223</v>
      </c>
      <c r="E216" t="s">
        <v>34</v>
      </c>
      <c r="F216" t="s">
        <v>224</v>
      </c>
      <c r="G216" t="s">
        <v>36</v>
      </c>
      <c r="H216" t="s">
        <v>49</v>
      </c>
      <c r="I216" t="s">
        <v>223</v>
      </c>
      <c r="J216" t="s">
        <v>243</v>
      </c>
      <c r="K216" s="21" t="s">
        <v>244</v>
      </c>
      <c r="L216" s="21" t="s">
        <v>227</v>
      </c>
      <c r="M216" t="s">
        <v>228</v>
      </c>
      <c r="N216" t="s">
        <v>72</v>
      </c>
      <c r="R216" t="s">
        <v>230</v>
      </c>
      <c r="S216" t="s">
        <v>243</v>
      </c>
      <c r="T216" t="s">
        <v>45</v>
      </c>
      <c r="U216" t="s">
        <v>46</v>
      </c>
      <c r="V216" t="s">
        <v>245</v>
      </c>
      <c r="W216" t="s">
        <v>246</v>
      </c>
    </row>
    <row r="217" spans="1:23" ht="15" customHeight="1" x14ac:dyDescent="0.3">
      <c r="A217" t="s">
        <v>8</v>
      </c>
      <c r="B217">
        <v>341</v>
      </c>
      <c r="C217" t="s">
        <v>33</v>
      </c>
      <c r="D217" t="s">
        <v>223</v>
      </c>
      <c r="E217" t="s">
        <v>34</v>
      </c>
      <c r="F217" t="s">
        <v>224</v>
      </c>
      <c r="G217" t="s">
        <v>36</v>
      </c>
      <c r="H217" t="s">
        <v>49</v>
      </c>
      <c r="I217" t="s">
        <v>223</v>
      </c>
      <c r="J217" t="s">
        <v>243</v>
      </c>
      <c r="K217" s="21" t="s">
        <v>244</v>
      </c>
      <c r="L217" s="21" t="s">
        <v>227</v>
      </c>
      <c r="M217" t="s">
        <v>228</v>
      </c>
      <c r="N217" t="s">
        <v>72</v>
      </c>
      <c r="R217" t="s">
        <v>233</v>
      </c>
      <c r="S217" t="s">
        <v>243</v>
      </c>
      <c r="T217" t="s">
        <v>45</v>
      </c>
      <c r="U217" t="s">
        <v>46</v>
      </c>
      <c r="V217" t="s">
        <v>245</v>
      </c>
      <c r="W217" t="s">
        <v>246</v>
      </c>
    </row>
    <row r="218" spans="1:23" ht="15" customHeight="1" x14ac:dyDescent="0.3">
      <c r="A218" t="s">
        <v>8</v>
      </c>
      <c r="B218">
        <v>341</v>
      </c>
      <c r="C218" t="s">
        <v>33</v>
      </c>
      <c r="D218" t="s">
        <v>223</v>
      </c>
      <c r="E218" t="s">
        <v>34</v>
      </c>
      <c r="F218" t="s">
        <v>224</v>
      </c>
      <c r="G218" t="s">
        <v>36</v>
      </c>
      <c r="H218" t="s">
        <v>49</v>
      </c>
      <c r="I218" t="s">
        <v>223</v>
      </c>
      <c r="J218" t="s">
        <v>243</v>
      </c>
      <c r="K218" s="21" t="s">
        <v>244</v>
      </c>
      <c r="L218" s="21" t="s">
        <v>227</v>
      </c>
      <c r="M218" t="s">
        <v>228</v>
      </c>
      <c r="N218" t="s">
        <v>72</v>
      </c>
      <c r="R218" t="s">
        <v>234</v>
      </c>
      <c r="S218" t="s">
        <v>243</v>
      </c>
      <c r="T218" t="s">
        <v>45</v>
      </c>
      <c r="U218" t="s">
        <v>46</v>
      </c>
      <c r="V218" t="s">
        <v>245</v>
      </c>
      <c r="W218" t="s">
        <v>246</v>
      </c>
    </row>
    <row r="219" spans="1:23" ht="15" customHeight="1" x14ac:dyDescent="0.3">
      <c r="A219" t="s">
        <v>8</v>
      </c>
      <c r="B219">
        <v>341</v>
      </c>
      <c r="C219" t="s">
        <v>33</v>
      </c>
      <c r="D219" t="s">
        <v>223</v>
      </c>
      <c r="E219" t="s">
        <v>34</v>
      </c>
      <c r="F219" t="s">
        <v>224</v>
      </c>
      <c r="G219" t="s">
        <v>36</v>
      </c>
      <c r="H219" t="s">
        <v>87</v>
      </c>
      <c r="I219" t="s">
        <v>223</v>
      </c>
      <c r="J219" t="s">
        <v>247</v>
      </c>
      <c r="K219" s="21" t="s">
        <v>248</v>
      </c>
      <c r="L219" s="21" t="s">
        <v>227</v>
      </c>
      <c r="M219" t="s">
        <v>228</v>
      </c>
      <c r="N219" t="s">
        <v>72</v>
      </c>
      <c r="R219" t="s">
        <v>230</v>
      </c>
      <c r="S219" t="s">
        <v>247</v>
      </c>
      <c r="T219" t="s">
        <v>45</v>
      </c>
      <c r="U219" t="s">
        <v>46</v>
      </c>
      <c r="V219" t="s">
        <v>249</v>
      </c>
      <c r="W219" t="s">
        <v>250</v>
      </c>
    </row>
    <row r="220" spans="1:23" ht="15" customHeight="1" x14ac:dyDescent="0.3">
      <c r="A220" t="s">
        <v>8</v>
      </c>
      <c r="B220">
        <v>341</v>
      </c>
      <c r="C220" t="s">
        <v>33</v>
      </c>
      <c r="D220" t="s">
        <v>223</v>
      </c>
      <c r="E220" t="s">
        <v>34</v>
      </c>
      <c r="F220" t="s">
        <v>224</v>
      </c>
      <c r="G220" t="s">
        <v>36</v>
      </c>
      <c r="H220" t="s">
        <v>87</v>
      </c>
      <c r="I220" t="s">
        <v>223</v>
      </c>
      <c r="J220" t="s">
        <v>247</v>
      </c>
      <c r="K220" s="21" t="s">
        <v>248</v>
      </c>
      <c r="L220" s="21" t="s">
        <v>227</v>
      </c>
      <c r="M220" t="s">
        <v>228</v>
      </c>
      <c r="N220" t="s">
        <v>72</v>
      </c>
      <c r="R220" t="s">
        <v>233</v>
      </c>
      <c r="S220" t="s">
        <v>247</v>
      </c>
      <c r="T220" t="s">
        <v>45</v>
      </c>
      <c r="U220" t="s">
        <v>46</v>
      </c>
      <c r="V220" t="s">
        <v>249</v>
      </c>
      <c r="W220" t="s">
        <v>250</v>
      </c>
    </row>
    <row r="221" spans="1:23" ht="15" customHeight="1" x14ac:dyDescent="0.3">
      <c r="A221" t="s">
        <v>8</v>
      </c>
      <c r="B221">
        <v>341</v>
      </c>
      <c r="C221" t="s">
        <v>33</v>
      </c>
      <c r="D221" t="s">
        <v>223</v>
      </c>
      <c r="E221" t="s">
        <v>34</v>
      </c>
      <c r="F221" t="s">
        <v>224</v>
      </c>
      <c r="G221" t="s">
        <v>36</v>
      </c>
      <c r="H221" t="s">
        <v>87</v>
      </c>
      <c r="I221" t="s">
        <v>223</v>
      </c>
      <c r="J221" t="s">
        <v>247</v>
      </c>
      <c r="K221" s="21" t="s">
        <v>248</v>
      </c>
      <c r="L221" s="21" t="s">
        <v>227</v>
      </c>
      <c r="M221" t="s">
        <v>228</v>
      </c>
      <c r="N221" t="s">
        <v>72</v>
      </c>
      <c r="R221" t="s">
        <v>234</v>
      </c>
      <c r="S221" t="s">
        <v>247</v>
      </c>
      <c r="T221" t="s">
        <v>45</v>
      </c>
      <c r="U221" t="s">
        <v>46</v>
      </c>
      <c r="V221" t="s">
        <v>249</v>
      </c>
      <c r="W221" t="s">
        <v>250</v>
      </c>
    </row>
    <row r="222" spans="1:23" ht="15" customHeight="1" x14ac:dyDescent="0.3">
      <c r="A222" t="s">
        <v>8</v>
      </c>
      <c r="B222">
        <v>341</v>
      </c>
      <c r="C222" t="s">
        <v>33</v>
      </c>
      <c r="D222" t="s">
        <v>223</v>
      </c>
      <c r="E222" t="s">
        <v>34</v>
      </c>
      <c r="F222" t="s">
        <v>224</v>
      </c>
      <c r="G222" t="s">
        <v>36</v>
      </c>
      <c r="H222" t="s">
        <v>421</v>
      </c>
      <c r="I222" t="s">
        <v>223</v>
      </c>
      <c r="J222" t="s">
        <v>1351</v>
      </c>
      <c r="K222" s="21" t="s">
        <v>1352</v>
      </c>
      <c r="L222" s="21" t="s">
        <v>227</v>
      </c>
      <c r="M222" t="s">
        <v>228</v>
      </c>
      <c r="N222" t="s">
        <v>72</v>
      </c>
      <c r="R222" t="s">
        <v>230</v>
      </c>
      <c r="S222" t="s">
        <v>1351</v>
      </c>
      <c r="T222" t="s">
        <v>45</v>
      </c>
      <c r="U222" t="s">
        <v>1257</v>
      </c>
      <c r="V222" t="s">
        <v>231</v>
      </c>
      <c r="W222" t="s">
        <v>1353</v>
      </c>
    </row>
    <row r="223" spans="1:23" ht="15" customHeight="1" x14ac:dyDescent="0.3">
      <c r="A223" t="s">
        <v>8</v>
      </c>
      <c r="B223">
        <v>341</v>
      </c>
      <c r="C223" t="s">
        <v>33</v>
      </c>
      <c r="D223" t="s">
        <v>223</v>
      </c>
      <c r="E223" t="s">
        <v>34</v>
      </c>
      <c r="F223" t="s">
        <v>224</v>
      </c>
      <c r="G223" t="s">
        <v>36</v>
      </c>
      <c r="H223" t="s">
        <v>421</v>
      </c>
      <c r="I223" t="s">
        <v>223</v>
      </c>
      <c r="J223" t="s">
        <v>1351</v>
      </c>
      <c r="K223" s="21" t="s">
        <v>1352</v>
      </c>
      <c r="L223" s="21" t="s">
        <v>227</v>
      </c>
      <c r="M223" t="s">
        <v>228</v>
      </c>
      <c r="N223" t="s">
        <v>72</v>
      </c>
      <c r="R223" t="s">
        <v>233</v>
      </c>
      <c r="S223" t="s">
        <v>1351</v>
      </c>
      <c r="T223" t="s">
        <v>45</v>
      </c>
      <c r="U223" t="s">
        <v>1257</v>
      </c>
      <c r="V223" t="s">
        <v>231</v>
      </c>
      <c r="W223" t="s">
        <v>1353</v>
      </c>
    </row>
    <row r="224" spans="1:23" ht="15" customHeight="1" x14ac:dyDescent="0.3">
      <c r="A224" t="s">
        <v>8</v>
      </c>
      <c r="B224">
        <v>341</v>
      </c>
      <c r="C224" t="s">
        <v>33</v>
      </c>
      <c r="D224" t="s">
        <v>223</v>
      </c>
      <c r="E224" t="s">
        <v>34</v>
      </c>
      <c r="F224" t="s">
        <v>224</v>
      </c>
      <c r="G224" t="s">
        <v>36</v>
      </c>
      <c r="H224" t="s">
        <v>421</v>
      </c>
      <c r="I224" t="s">
        <v>223</v>
      </c>
      <c r="J224" t="s">
        <v>1351</v>
      </c>
      <c r="K224" s="21" t="s">
        <v>1352</v>
      </c>
      <c r="L224" s="21" t="s">
        <v>227</v>
      </c>
      <c r="M224" t="s">
        <v>228</v>
      </c>
      <c r="N224" t="s">
        <v>72</v>
      </c>
      <c r="R224" t="s">
        <v>234</v>
      </c>
      <c r="S224" t="s">
        <v>1351</v>
      </c>
      <c r="T224" t="s">
        <v>45</v>
      </c>
      <c r="U224" t="s">
        <v>1257</v>
      </c>
      <c r="V224" t="s">
        <v>231</v>
      </c>
      <c r="W224" t="s">
        <v>1353</v>
      </c>
    </row>
    <row r="225" spans="1:23" ht="15" customHeight="1" x14ac:dyDescent="0.3">
      <c r="A225" t="s">
        <v>8</v>
      </c>
      <c r="B225">
        <v>341</v>
      </c>
      <c r="C225" t="s">
        <v>33</v>
      </c>
      <c r="D225" t="s">
        <v>223</v>
      </c>
      <c r="E225" t="s">
        <v>34</v>
      </c>
      <c r="F225" t="s">
        <v>224</v>
      </c>
      <c r="G225" t="s">
        <v>36</v>
      </c>
      <c r="H225" t="s">
        <v>182</v>
      </c>
      <c r="I225" t="s">
        <v>223</v>
      </c>
      <c r="J225" t="s">
        <v>251</v>
      </c>
      <c r="K225" s="21" t="s">
        <v>252</v>
      </c>
      <c r="L225" s="21" t="s">
        <v>227</v>
      </c>
      <c r="M225" t="s">
        <v>228</v>
      </c>
      <c r="N225" t="s">
        <v>72</v>
      </c>
      <c r="R225" t="s">
        <v>230</v>
      </c>
      <c r="S225" t="s">
        <v>251</v>
      </c>
      <c r="T225" t="s">
        <v>45</v>
      </c>
      <c r="U225" t="s">
        <v>90</v>
      </c>
      <c r="V225" t="s">
        <v>231</v>
      </c>
      <c r="W225" t="s">
        <v>253</v>
      </c>
    </row>
    <row r="226" spans="1:23" ht="15" customHeight="1" x14ac:dyDescent="0.3">
      <c r="A226" t="s">
        <v>8</v>
      </c>
      <c r="B226">
        <v>341</v>
      </c>
      <c r="C226" t="s">
        <v>33</v>
      </c>
      <c r="D226" t="s">
        <v>223</v>
      </c>
      <c r="E226" t="s">
        <v>34</v>
      </c>
      <c r="F226" t="s">
        <v>224</v>
      </c>
      <c r="G226" t="s">
        <v>36</v>
      </c>
      <c r="H226" t="s">
        <v>182</v>
      </c>
      <c r="I226" t="s">
        <v>223</v>
      </c>
      <c r="J226" t="s">
        <v>251</v>
      </c>
      <c r="K226" s="21" t="s">
        <v>252</v>
      </c>
      <c r="L226" s="21" t="s">
        <v>227</v>
      </c>
      <c r="M226" t="s">
        <v>228</v>
      </c>
      <c r="N226" t="s">
        <v>72</v>
      </c>
      <c r="R226" t="s">
        <v>233</v>
      </c>
      <c r="S226" t="s">
        <v>251</v>
      </c>
      <c r="T226" t="s">
        <v>45</v>
      </c>
      <c r="U226" t="s">
        <v>90</v>
      </c>
      <c r="V226" t="s">
        <v>231</v>
      </c>
      <c r="W226" t="s">
        <v>253</v>
      </c>
    </row>
    <row r="227" spans="1:23" ht="15" customHeight="1" x14ac:dyDescent="0.3">
      <c r="A227" t="s">
        <v>8</v>
      </c>
      <c r="B227">
        <v>341</v>
      </c>
      <c r="C227" t="s">
        <v>33</v>
      </c>
      <c r="D227" t="s">
        <v>223</v>
      </c>
      <c r="E227" t="s">
        <v>34</v>
      </c>
      <c r="F227" t="s">
        <v>224</v>
      </c>
      <c r="G227" t="s">
        <v>36</v>
      </c>
      <c r="H227" t="s">
        <v>182</v>
      </c>
      <c r="I227" t="s">
        <v>223</v>
      </c>
      <c r="J227" t="s">
        <v>251</v>
      </c>
      <c r="K227" s="21" t="s">
        <v>252</v>
      </c>
      <c r="L227" s="21" t="s">
        <v>227</v>
      </c>
      <c r="M227" t="s">
        <v>228</v>
      </c>
      <c r="N227" t="s">
        <v>72</v>
      </c>
      <c r="R227" t="s">
        <v>234</v>
      </c>
      <c r="S227" t="s">
        <v>251</v>
      </c>
      <c r="T227" t="s">
        <v>45</v>
      </c>
      <c r="U227" t="s">
        <v>90</v>
      </c>
      <c r="V227" t="s">
        <v>231</v>
      </c>
      <c r="W227" t="s">
        <v>253</v>
      </c>
    </row>
    <row r="228" spans="1:23" ht="15" customHeight="1" x14ac:dyDescent="0.3">
      <c r="A228" t="s">
        <v>8</v>
      </c>
      <c r="B228">
        <v>341</v>
      </c>
      <c r="C228" t="s">
        <v>33</v>
      </c>
      <c r="D228" t="s">
        <v>223</v>
      </c>
      <c r="E228" t="s">
        <v>34</v>
      </c>
      <c r="F228" t="s">
        <v>224</v>
      </c>
      <c r="G228" t="s">
        <v>36</v>
      </c>
      <c r="H228" t="s">
        <v>1242</v>
      </c>
      <c r="I228" t="s">
        <v>223</v>
      </c>
      <c r="J228" t="s">
        <v>1247</v>
      </c>
      <c r="K228" s="21" t="s">
        <v>1248</v>
      </c>
      <c r="L228" s="21" t="s">
        <v>227</v>
      </c>
      <c r="M228" t="s">
        <v>228</v>
      </c>
      <c r="N228" t="s">
        <v>72</v>
      </c>
      <c r="R228" t="s">
        <v>230</v>
      </c>
      <c r="S228" t="s">
        <v>1247</v>
      </c>
      <c r="T228" t="s">
        <v>1249</v>
      </c>
      <c r="U228" t="s">
        <v>1250</v>
      </c>
      <c r="V228" t="s">
        <v>1237</v>
      </c>
      <c r="W228" t="s">
        <v>1238</v>
      </c>
    </row>
    <row r="229" spans="1:23" ht="15" customHeight="1" x14ac:dyDescent="0.3">
      <c r="A229" t="s">
        <v>8</v>
      </c>
      <c r="B229">
        <v>341</v>
      </c>
      <c r="C229" t="s">
        <v>33</v>
      </c>
      <c r="D229" t="s">
        <v>223</v>
      </c>
      <c r="E229" t="s">
        <v>34</v>
      </c>
      <c r="F229" t="s">
        <v>224</v>
      </c>
      <c r="G229" t="s">
        <v>36</v>
      </c>
      <c r="H229" t="s">
        <v>1242</v>
      </c>
      <c r="I229" t="s">
        <v>223</v>
      </c>
      <c r="J229" t="s">
        <v>1247</v>
      </c>
      <c r="K229" s="21" t="s">
        <v>1248</v>
      </c>
      <c r="L229" s="21" t="s">
        <v>227</v>
      </c>
      <c r="M229" t="s">
        <v>228</v>
      </c>
      <c r="N229" t="s">
        <v>72</v>
      </c>
      <c r="R229" t="s">
        <v>233</v>
      </c>
      <c r="S229" t="s">
        <v>1247</v>
      </c>
      <c r="T229" t="s">
        <v>1249</v>
      </c>
      <c r="U229" t="s">
        <v>1250</v>
      </c>
      <c r="V229" t="s">
        <v>1237</v>
      </c>
      <c r="W229" t="s">
        <v>1238</v>
      </c>
    </row>
    <row r="230" spans="1:23" ht="15" customHeight="1" x14ac:dyDescent="0.3">
      <c r="A230" t="s">
        <v>8</v>
      </c>
      <c r="B230">
        <v>341</v>
      </c>
      <c r="C230" t="s">
        <v>33</v>
      </c>
      <c r="D230" t="s">
        <v>223</v>
      </c>
      <c r="E230" t="s">
        <v>34</v>
      </c>
      <c r="F230" t="s">
        <v>224</v>
      </c>
      <c r="G230" t="s">
        <v>36</v>
      </c>
      <c r="H230" t="s">
        <v>1242</v>
      </c>
      <c r="I230" t="s">
        <v>223</v>
      </c>
      <c r="J230" t="s">
        <v>1247</v>
      </c>
      <c r="K230" s="21" t="s">
        <v>1248</v>
      </c>
      <c r="L230" s="21" t="s">
        <v>227</v>
      </c>
      <c r="M230" t="s">
        <v>228</v>
      </c>
      <c r="N230" t="s">
        <v>72</v>
      </c>
      <c r="R230" t="s">
        <v>234</v>
      </c>
      <c r="S230" t="s">
        <v>1247</v>
      </c>
      <c r="T230" t="s">
        <v>1249</v>
      </c>
      <c r="U230" t="s">
        <v>1250</v>
      </c>
      <c r="V230" t="s">
        <v>1237</v>
      </c>
      <c r="W230" t="s">
        <v>1238</v>
      </c>
    </row>
    <row r="231" spans="1:23" ht="15" customHeight="1" x14ac:dyDescent="0.3">
      <c r="A231" t="s">
        <v>8</v>
      </c>
      <c r="B231">
        <v>341</v>
      </c>
      <c r="C231" t="s">
        <v>33</v>
      </c>
      <c r="D231" t="s">
        <v>223</v>
      </c>
      <c r="E231" t="s">
        <v>34</v>
      </c>
      <c r="F231" t="s">
        <v>224</v>
      </c>
      <c r="G231" t="s">
        <v>36</v>
      </c>
      <c r="H231" t="s">
        <v>425</v>
      </c>
      <c r="I231" t="s">
        <v>223</v>
      </c>
      <c r="J231" t="s">
        <v>1354</v>
      </c>
      <c r="K231" s="21" t="s">
        <v>1355</v>
      </c>
      <c r="L231" s="21" t="s">
        <v>227</v>
      </c>
      <c r="M231" t="s">
        <v>228</v>
      </c>
      <c r="N231" t="s">
        <v>72</v>
      </c>
      <c r="R231" t="s">
        <v>230</v>
      </c>
      <c r="S231" t="s">
        <v>1354</v>
      </c>
      <c r="T231" t="s">
        <v>1249</v>
      </c>
      <c r="U231" t="s">
        <v>1270</v>
      </c>
      <c r="V231" t="s">
        <v>1356</v>
      </c>
      <c r="W231" t="s">
        <v>1357</v>
      </c>
    </row>
    <row r="232" spans="1:23" ht="15" customHeight="1" x14ac:dyDescent="0.3">
      <c r="A232" t="s">
        <v>8</v>
      </c>
      <c r="B232">
        <v>341</v>
      </c>
      <c r="C232" t="s">
        <v>33</v>
      </c>
      <c r="D232" t="s">
        <v>223</v>
      </c>
      <c r="E232" t="s">
        <v>34</v>
      </c>
      <c r="F232" t="s">
        <v>224</v>
      </c>
      <c r="G232" t="s">
        <v>36</v>
      </c>
      <c r="H232" t="s">
        <v>425</v>
      </c>
      <c r="I232" t="s">
        <v>223</v>
      </c>
      <c r="J232" t="s">
        <v>1354</v>
      </c>
      <c r="K232" s="21" t="s">
        <v>1355</v>
      </c>
      <c r="L232" s="21" t="s">
        <v>227</v>
      </c>
      <c r="M232" t="s">
        <v>228</v>
      </c>
      <c r="N232" t="s">
        <v>72</v>
      </c>
      <c r="R232" t="s">
        <v>233</v>
      </c>
      <c r="S232" t="s">
        <v>1354</v>
      </c>
      <c r="T232" t="s">
        <v>1249</v>
      </c>
      <c r="U232" t="s">
        <v>1270</v>
      </c>
      <c r="V232" t="s">
        <v>1356</v>
      </c>
      <c r="W232" t="s">
        <v>1357</v>
      </c>
    </row>
    <row r="233" spans="1:23" ht="15" customHeight="1" x14ac:dyDescent="0.3">
      <c r="A233" t="s">
        <v>8</v>
      </c>
      <c r="B233">
        <v>341</v>
      </c>
      <c r="C233" t="s">
        <v>33</v>
      </c>
      <c r="D233" t="s">
        <v>223</v>
      </c>
      <c r="E233" t="s">
        <v>34</v>
      </c>
      <c r="F233" t="s">
        <v>224</v>
      </c>
      <c r="G233" t="s">
        <v>36</v>
      </c>
      <c r="H233" t="s">
        <v>425</v>
      </c>
      <c r="I233" t="s">
        <v>223</v>
      </c>
      <c r="J233" t="s">
        <v>1354</v>
      </c>
      <c r="K233" s="21" t="s">
        <v>1355</v>
      </c>
      <c r="L233" s="21" t="s">
        <v>227</v>
      </c>
      <c r="M233" t="s">
        <v>228</v>
      </c>
      <c r="N233" t="s">
        <v>72</v>
      </c>
      <c r="R233" t="s">
        <v>234</v>
      </c>
      <c r="S233" t="s">
        <v>1354</v>
      </c>
      <c r="T233" t="s">
        <v>1249</v>
      </c>
      <c r="U233" t="s">
        <v>1270</v>
      </c>
      <c r="V233" t="s">
        <v>1356</v>
      </c>
      <c r="W233" t="s">
        <v>1357</v>
      </c>
    </row>
    <row r="234" spans="1:23" ht="15" customHeight="1" x14ac:dyDescent="0.3">
      <c r="A234" t="s">
        <v>8</v>
      </c>
      <c r="B234">
        <v>341</v>
      </c>
      <c r="C234" t="s">
        <v>33</v>
      </c>
      <c r="D234" t="s">
        <v>223</v>
      </c>
      <c r="E234" t="s">
        <v>34</v>
      </c>
      <c r="F234" t="s">
        <v>224</v>
      </c>
      <c r="G234" t="s">
        <v>36</v>
      </c>
      <c r="H234" t="s">
        <v>996</v>
      </c>
      <c r="I234" t="s">
        <v>223</v>
      </c>
      <c r="J234" t="s">
        <v>1358</v>
      </c>
      <c r="K234" s="21" t="s">
        <v>1359</v>
      </c>
      <c r="L234" s="21" t="s">
        <v>227</v>
      </c>
      <c r="M234" t="s">
        <v>228</v>
      </c>
      <c r="N234" t="s">
        <v>72</v>
      </c>
      <c r="R234" t="s">
        <v>230</v>
      </c>
      <c r="S234" t="s">
        <v>1358</v>
      </c>
      <c r="T234" t="s">
        <v>1249</v>
      </c>
      <c r="U234" t="s">
        <v>1250</v>
      </c>
      <c r="V234" t="s">
        <v>231</v>
      </c>
      <c r="W234" t="s">
        <v>1357</v>
      </c>
    </row>
    <row r="235" spans="1:23" ht="15" customHeight="1" x14ac:dyDescent="0.3">
      <c r="A235" t="s">
        <v>8</v>
      </c>
      <c r="B235">
        <v>341</v>
      </c>
      <c r="C235" t="s">
        <v>33</v>
      </c>
      <c r="D235" t="s">
        <v>223</v>
      </c>
      <c r="E235" t="s">
        <v>34</v>
      </c>
      <c r="F235" t="s">
        <v>224</v>
      </c>
      <c r="G235" t="s">
        <v>36</v>
      </c>
      <c r="H235" t="s">
        <v>996</v>
      </c>
      <c r="I235" t="s">
        <v>223</v>
      </c>
      <c r="J235" t="s">
        <v>1358</v>
      </c>
      <c r="K235" s="21" t="s">
        <v>1359</v>
      </c>
      <c r="L235" s="21" t="s">
        <v>227</v>
      </c>
      <c r="M235" t="s">
        <v>228</v>
      </c>
      <c r="N235" t="s">
        <v>72</v>
      </c>
      <c r="R235" t="s">
        <v>233</v>
      </c>
      <c r="S235" t="s">
        <v>1358</v>
      </c>
      <c r="T235" t="s">
        <v>1249</v>
      </c>
      <c r="U235" t="s">
        <v>1250</v>
      </c>
      <c r="V235" t="s">
        <v>231</v>
      </c>
      <c r="W235" t="s">
        <v>1357</v>
      </c>
    </row>
    <row r="236" spans="1:23" ht="15" customHeight="1" x14ac:dyDescent="0.3">
      <c r="A236" t="s">
        <v>8</v>
      </c>
      <c r="B236">
        <v>341</v>
      </c>
      <c r="C236" t="s">
        <v>33</v>
      </c>
      <c r="D236" t="s">
        <v>223</v>
      </c>
      <c r="E236" t="s">
        <v>34</v>
      </c>
      <c r="F236" t="s">
        <v>224</v>
      </c>
      <c r="G236" t="s">
        <v>36</v>
      </c>
      <c r="H236" t="s">
        <v>996</v>
      </c>
      <c r="I236" t="s">
        <v>223</v>
      </c>
      <c r="J236" t="s">
        <v>1358</v>
      </c>
      <c r="K236" s="21" t="s">
        <v>1359</v>
      </c>
      <c r="L236" s="21" t="s">
        <v>227</v>
      </c>
      <c r="M236" t="s">
        <v>228</v>
      </c>
      <c r="N236" t="s">
        <v>72</v>
      </c>
      <c r="R236" t="s">
        <v>234</v>
      </c>
      <c r="S236" t="s">
        <v>1358</v>
      </c>
      <c r="T236" t="s">
        <v>1249</v>
      </c>
      <c r="U236" t="s">
        <v>1250</v>
      </c>
      <c r="V236" t="s">
        <v>231</v>
      </c>
      <c r="W236" t="s">
        <v>1357</v>
      </c>
    </row>
    <row r="237" spans="1:23" ht="15" customHeight="1" x14ac:dyDescent="0.3">
      <c r="A237" t="s">
        <v>8</v>
      </c>
      <c r="B237">
        <v>341</v>
      </c>
      <c r="C237" t="s">
        <v>33</v>
      </c>
      <c r="D237" t="s">
        <v>223</v>
      </c>
      <c r="E237" t="s">
        <v>34</v>
      </c>
      <c r="F237" t="s">
        <v>224</v>
      </c>
      <c r="G237" t="s">
        <v>36</v>
      </c>
      <c r="H237" t="s">
        <v>1000</v>
      </c>
      <c r="I237" t="s">
        <v>223</v>
      </c>
      <c r="J237" t="s">
        <v>1360</v>
      </c>
      <c r="K237" s="21" t="s">
        <v>1361</v>
      </c>
      <c r="L237" s="21" t="s">
        <v>227</v>
      </c>
      <c r="M237" t="s">
        <v>228</v>
      </c>
      <c r="N237" t="s">
        <v>72</v>
      </c>
      <c r="R237" t="s">
        <v>230</v>
      </c>
      <c r="S237" t="s">
        <v>1360</v>
      </c>
      <c r="T237" t="s">
        <v>1249</v>
      </c>
      <c r="U237" t="s">
        <v>1282</v>
      </c>
      <c r="V237" t="s">
        <v>231</v>
      </c>
      <c r="W237" t="s">
        <v>1357</v>
      </c>
    </row>
    <row r="238" spans="1:23" ht="15" customHeight="1" x14ac:dyDescent="0.3">
      <c r="A238" t="s">
        <v>8</v>
      </c>
      <c r="B238">
        <v>341</v>
      </c>
      <c r="C238" t="s">
        <v>33</v>
      </c>
      <c r="D238" t="s">
        <v>223</v>
      </c>
      <c r="E238" t="s">
        <v>34</v>
      </c>
      <c r="F238" t="s">
        <v>224</v>
      </c>
      <c r="G238" t="s">
        <v>36</v>
      </c>
      <c r="H238" t="s">
        <v>1000</v>
      </c>
      <c r="I238" t="s">
        <v>223</v>
      </c>
      <c r="J238" t="s">
        <v>1360</v>
      </c>
      <c r="K238" s="21" t="s">
        <v>1361</v>
      </c>
      <c r="L238" s="21" t="s">
        <v>227</v>
      </c>
      <c r="M238" t="s">
        <v>228</v>
      </c>
      <c r="N238" t="s">
        <v>72</v>
      </c>
      <c r="R238" t="s">
        <v>233</v>
      </c>
      <c r="S238" t="s">
        <v>1360</v>
      </c>
      <c r="T238" t="s">
        <v>1249</v>
      </c>
      <c r="U238" t="s">
        <v>1282</v>
      </c>
      <c r="V238" t="s">
        <v>231</v>
      </c>
      <c r="W238" t="s">
        <v>1357</v>
      </c>
    </row>
    <row r="239" spans="1:23" ht="15" customHeight="1" x14ac:dyDescent="0.3">
      <c r="A239" t="s">
        <v>8</v>
      </c>
      <c r="B239">
        <v>341</v>
      </c>
      <c r="C239" t="s">
        <v>33</v>
      </c>
      <c r="D239" t="s">
        <v>223</v>
      </c>
      <c r="E239" t="s">
        <v>34</v>
      </c>
      <c r="F239" t="s">
        <v>224</v>
      </c>
      <c r="G239" t="s">
        <v>36</v>
      </c>
      <c r="H239" t="s">
        <v>1000</v>
      </c>
      <c r="I239" t="s">
        <v>223</v>
      </c>
      <c r="J239" t="s">
        <v>1360</v>
      </c>
      <c r="K239" s="21" t="s">
        <v>1361</v>
      </c>
      <c r="L239" s="21" t="s">
        <v>227</v>
      </c>
      <c r="M239" t="s">
        <v>228</v>
      </c>
      <c r="N239" t="s">
        <v>72</v>
      </c>
      <c r="R239" t="s">
        <v>234</v>
      </c>
      <c r="S239" t="s">
        <v>1360</v>
      </c>
      <c r="T239" t="s">
        <v>1249</v>
      </c>
      <c r="U239" t="s">
        <v>1282</v>
      </c>
      <c r="V239" t="s">
        <v>231</v>
      </c>
      <c r="W239" t="s">
        <v>1357</v>
      </c>
    </row>
    <row r="240" spans="1:23" ht="15" customHeight="1" x14ac:dyDescent="0.3">
      <c r="A240" t="s">
        <v>8</v>
      </c>
      <c r="B240">
        <v>342</v>
      </c>
      <c r="C240" t="s">
        <v>33</v>
      </c>
      <c r="D240" t="s">
        <v>254</v>
      </c>
      <c r="E240" t="s">
        <v>34</v>
      </c>
      <c r="F240" t="s">
        <v>255</v>
      </c>
      <c r="G240" t="s">
        <v>36</v>
      </c>
      <c r="H240" t="s">
        <v>37</v>
      </c>
      <c r="I240" t="s">
        <v>254</v>
      </c>
      <c r="J240" t="s">
        <v>256</v>
      </c>
      <c r="K240" t="s">
        <v>257</v>
      </c>
      <c r="L240" s="21" t="s">
        <v>258</v>
      </c>
      <c r="M240" t="s">
        <v>259</v>
      </c>
      <c r="N240" t="s">
        <v>42</v>
      </c>
      <c r="R240" t="s">
        <v>261</v>
      </c>
      <c r="S240" t="s">
        <v>256</v>
      </c>
      <c r="T240" t="s">
        <v>45</v>
      </c>
      <c r="U240" t="s">
        <v>46</v>
      </c>
      <c r="V240" t="s">
        <v>262</v>
      </c>
      <c r="W240" t="s">
        <v>263</v>
      </c>
    </row>
    <row r="241" spans="1:23" ht="15" customHeight="1" x14ac:dyDescent="0.3">
      <c r="A241" t="s">
        <v>8</v>
      </c>
      <c r="B241">
        <v>342</v>
      </c>
      <c r="C241" t="s">
        <v>33</v>
      </c>
      <c r="D241" t="s">
        <v>254</v>
      </c>
      <c r="E241" t="s">
        <v>34</v>
      </c>
      <c r="F241" t="s">
        <v>255</v>
      </c>
      <c r="G241" t="s">
        <v>36</v>
      </c>
      <c r="H241" t="s">
        <v>37</v>
      </c>
      <c r="I241" t="s">
        <v>254</v>
      </c>
      <c r="J241" t="s">
        <v>256</v>
      </c>
      <c r="K241" t="s">
        <v>257</v>
      </c>
      <c r="L241" s="21" t="s">
        <v>258</v>
      </c>
      <c r="M241" t="s">
        <v>259</v>
      </c>
      <c r="N241" t="s">
        <v>42</v>
      </c>
      <c r="R241" t="s">
        <v>265</v>
      </c>
      <c r="S241" t="s">
        <v>256</v>
      </c>
      <c r="T241" t="s">
        <v>45</v>
      </c>
      <c r="U241" t="s">
        <v>46</v>
      </c>
      <c r="V241" t="s">
        <v>262</v>
      </c>
      <c r="W241" t="s">
        <v>263</v>
      </c>
    </row>
    <row r="242" spans="1:23" ht="15" customHeight="1" x14ac:dyDescent="0.3">
      <c r="A242" t="s">
        <v>8</v>
      </c>
      <c r="B242">
        <v>342</v>
      </c>
      <c r="C242" t="s">
        <v>33</v>
      </c>
      <c r="D242" t="s">
        <v>254</v>
      </c>
      <c r="E242" t="s">
        <v>34</v>
      </c>
      <c r="F242" t="s">
        <v>255</v>
      </c>
      <c r="G242" t="s">
        <v>36</v>
      </c>
      <c r="H242" t="s">
        <v>37</v>
      </c>
      <c r="I242" t="s">
        <v>254</v>
      </c>
      <c r="J242" t="s">
        <v>256</v>
      </c>
      <c r="K242" t="s">
        <v>257</v>
      </c>
      <c r="L242" s="21" t="s">
        <v>258</v>
      </c>
      <c r="M242" t="s">
        <v>259</v>
      </c>
      <c r="N242" t="s">
        <v>42</v>
      </c>
      <c r="R242" t="s">
        <v>266</v>
      </c>
      <c r="S242" t="s">
        <v>256</v>
      </c>
      <c r="T242" t="s">
        <v>45</v>
      </c>
      <c r="U242" t="s">
        <v>46</v>
      </c>
      <c r="V242" t="s">
        <v>262</v>
      </c>
      <c r="W242" t="s">
        <v>263</v>
      </c>
    </row>
    <row r="243" spans="1:23" ht="15" customHeight="1" x14ac:dyDescent="0.3">
      <c r="A243" t="s">
        <v>8</v>
      </c>
      <c r="B243">
        <v>342</v>
      </c>
      <c r="C243" t="s">
        <v>33</v>
      </c>
      <c r="D243" t="s">
        <v>254</v>
      </c>
      <c r="E243" t="s">
        <v>34</v>
      </c>
      <c r="F243" t="s">
        <v>255</v>
      </c>
      <c r="G243" t="s">
        <v>36</v>
      </c>
      <c r="H243" t="s">
        <v>52</v>
      </c>
      <c r="I243" t="s">
        <v>254</v>
      </c>
      <c r="J243" t="s">
        <v>267</v>
      </c>
      <c r="K243" s="21" t="s">
        <v>268</v>
      </c>
      <c r="L243" s="21" t="s">
        <v>258</v>
      </c>
      <c r="M243" t="s">
        <v>259</v>
      </c>
      <c r="N243" t="s">
        <v>42</v>
      </c>
      <c r="R243" t="s">
        <v>261</v>
      </c>
      <c r="S243" t="s">
        <v>267</v>
      </c>
      <c r="T243" t="s">
        <v>45</v>
      </c>
      <c r="U243" t="s">
        <v>46</v>
      </c>
      <c r="V243" t="s">
        <v>269</v>
      </c>
      <c r="W243" t="s">
        <v>270</v>
      </c>
    </row>
    <row r="244" spans="1:23" ht="15" customHeight="1" x14ac:dyDescent="0.3">
      <c r="A244" t="s">
        <v>8</v>
      </c>
      <c r="B244">
        <v>342</v>
      </c>
      <c r="C244" t="s">
        <v>33</v>
      </c>
      <c r="D244" t="s">
        <v>254</v>
      </c>
      <c r="E244" t="s">
        <v>34</v>
      </c>
      <c r="F244" t="s">
        <v>255</v>
      </c>
      <c r="G244" t="s">
        <v>36</v>
      </c>
      <c r="H244" t="s">
        <v>52</v>
      </c>
      <c r="I244" t="s">
        <v>254</v>
      </c>
      <c r="J244" t="s">
        <v>267</v>
      </c>
      <c r="K244" s="21" t="s">
        <v>268</v>
      </c>
      <c r="L244" s="21" t="s">
        <v>258</v>
      </c>
      <c r="M244" t="s">
        <v>259</v>
      </c>
      <c r="N244" t="s">
        <v>42</v>
      </c>
      <c r="R244" t="s">
        <v>265</v>
      </c>
      <c r="S244" t="s">
        <v>267</v>
      </c>
      <c r="T244" t="s">
        <v>45</v>
      </c>
      <c r="U244" t="s">
        <v>46</v>
      </c>
      <c r="V244" t="s">
        <v>269</v>
      </c>
      <c r="W244" t="s">
        <v>270</v>
      </c>
    </row>
    <row r="245" spans="1:23" ht="15" customHeight="1" x14ac:dyDescent="0.3">
      <c r="A245" t="s">
        <v>8</v>
      </c>
      <c r="B245">
        <v>342</v>
      </c>
      <c r="C245" t="s">
        <v>33</v>
      </c>
      <c r="D245" t="s">
        <v>254</v>
      </c>
      <c r="E245" t="s">
        <v>34</v>
      </c>
      <c r="F245" t="s">
        <v>255</v>
      </c>
      <c r="G245" t="s">
        <v>36</v>
      </c>
      <c r="H245" t="s">
        <v>52</v>
      </c>
      <c r="I245" t="s">
        <v>254</v>
      </c>
      <c r="J245" t="s">
        <v>267</v>
      </c>
      <c r="K245" s="21" t="s">
        <v>268</v>
      </c>
      <c r="L245" s="21" t="s">
        <v>258</v>
      </c>
      <c r="M245" t="s">
        <v>259</v>
      </c>
      <c r="N245" t="s">
        <v>42</v>
      </c>
      <c r="R245" t="s">
        <v>266</v>
      </c>
      <c r="S245" t="s">
        <v>267</v>
      </c>
      <c r="T245" t="s">
        <v>45</v>
      </c>
      <c r="U245" t="s">
        <v>46</v>
      </c>
      <c r="V245" t="s">
        <v>269</v>
      </c>
      <c r="W245" t="s">
        <v>270</v>
      </c>
    </row>
    <row r="246" spans="1:23" ht="15" customHeight="1" x14ac:dyDescent="0.3">
      <c r="A246" t="s">
        <v>8</v>
      </c>
      <c r="B246">
        <v>342</v>
      </c>
      <c r="C246" t="s">
        <v>33</v>
      </c>
      <c r="D246" t="s">
        <v>254</v>
      </c>
      <c r="E246" t="s">
        <v>34</v>
      </c>
      <c r="F246" t="s">
        <v>255</v>
      </c>
      <c r="G246" t="s">
        <v>36</v>
      </c>
      <c r="H246" t="s">
        <v>57</v>
      </c>
      <c r="I246" t="s">
        <v>254</v>
      </c>
      <c r="J246" t="s">
        <v>271</v>
      </c>
      <c r="K246" s="21" t="s">
        <v>272</v>
      </c>
      <c r="L246" s="21" t="s">
        <v>258</v>
      </c>
      <c r="M246" t="s">
        <v>259</v>
      </c>
      <c r="N246" t="s">
        <v>42</v>
      </c>
      <c r="R246" t="s">
        <v>261</v>
      </c>
      <c r="S246" t="s">
        <v>271</v>
      </c>
      <c r="T246" t="s">
        <v>45</v>
      </c>
      <c r="U246" t="s">
        <v>46</v>
      </c>
      <c r="V246" t="s">
        <v>273</v>
      </c>
      <c r="W246" t="s">
        <v>274</v>
      </c>
    </row>
    <row r="247" spans="1:23" ht="15" customHeight="1" x14ac:dyDescent="0.3">
      <c r="A247" t="s">
        <v>8</v>
      </c>
      <c r="B247">
        <v>342</v>
      </c>
      <c r="C247" t="s">
        <v>33</v>
      </c>
      <c r="D247" t="s">
        <v>254</v>
      </c>
      <c r="E247" t="s">
        <v>34</v>
      </c>
      <c r="F247" t="s">
        <v>255</v>
      </c>
      <c r="G247" t="s">
        <v>36</v>
      </c>
      <c r="H247" t="s">
        <v>57</v>
      </c>
      <c r="I247" t="s">
        <v>254</v>
      </c>
      <c r="J247" t="s">
        <v>271</v>
      </c>
      <c r="K247" s="21" t="s">
        <v>272</v>
      </c>
      <c r="L247" s="21" t="s">
        <v>258</v>
      </c>
      <c r="M247" t="s">
        <v>259</v>
      </c>
      <c r="N247" t="s">
        <v>42</v>
      </c>
      <c r="R247" t="s">
        <v>265</v>
      </c>
      <c r="S247" t="s">
        <v>271</v>
      </c>
      <c r="T247" t="s">
        <v>45</v>
      </c>
      <c r="U247" t="s">
        <v>46</v>
      </c>
      <c r="V247" t="s">
        <v>273</v>
      </c>
      <c r="W247" t="s">
        <v>274</v>
      </c>
    </row>
    <row r="248" spans="1:23" ht="15" customHeight="1" x14ac:dyDescent="0.3">
      <c r="A248" t="s">
        <v>8</v>
      </c>
      <c r="B248">
        <v>342</v>
      </c>
      <c r="C248" t="s">
        <v>33</v>
      </c>
      <c r="D248" t="s">
        <v>254</v>
      </c>
      <c r="E248" t="s">
        <v>34</v>
      </c>
      <c r="F248" t="s">
        <v>255</v>
      </c>
      <c r="G248" t="s">
        <v>36</v>
      </c>
      <c r="H248" t="s">
        <v>57</v>
      </c>
      <c r="I248" t="s">
        <v>254</v>
      </c>
      <c r="J248" t="s">
        <v>271</v>
      </c>
      <c r="K248" s="21" t="s">
        <v>272</v>
      </c>
      <c r="L248" s="21" t="s">
        <v>258</v>
      </c>
      <c r="M248" t="s">
        <v>259</v>
      </c>
      <c r="N248" t="s">
        <v>42</v>
      </c>
      <c r="R248" t="s">
        <v>266</v>
      </c>
      <c r="S248" t="s">
        <v>271</v>
      </c>
      <c r="T248" t="s">
        <v>45</v>
      </c>
      <c r="U248" t="s">
        <v>46</v>
      </c>
      <c r="V248" t="s">
        <v>273</v>
      </c>
      <c r="W248" t="s">
        <v>274</v>
      </c>
    </row>
    <row r="249" spans="1:23" ht="15" customHeight="1" x14ac:dyDescent="0.3">
      <c r="A249" t="s">
        <v>8</v>
      </c>
      <c r="B249">
        <v>342</v>
      </c>
      <c r="C249" t="s">
        <v>33</v>
      </c>
      <c r="D249" t="s">
        <v>254</v>
      </c>
      <c r="E249" t="s">
        <v>34</v>
      </c>
      <c r="F249" t="s">
        <v>255</v>
      </c>
      <c r="G249" t="s">
        <v>36</v>
      </c>
      <c r="H249" t="s">
        <v>49</v>
      </c>
      <c r="I249" t="s">
        <v>254</v>
      </c>
      <c r="J249" t="s">
        <v>275</v>
      </c>
      <c r="K249" s="21" t="s">
        <v>276</v>
      </c>
      <c r="L249" s="21" t="s">
        <v>258</v>
      </c>
      <c r="M249" t="s">
        <v>259</v>
      </c>
      <c r="N249" t="s">
        <v>42</v>
      </c>
      <c r="R249" t="s">
        <v>261</v>
      </c>
      <c r="S249" t="s">
        <v>275</v>
      </c>
      <c r="T249" t="s">
        <v>45</v>
      </c>
      <c r="U249" t="s">
        <v>46</v>
      </c>
      <c r="V249" t="s">
        <v>277</v>
      </c>
      <c r="W249" t="s">
        <v>278</v>
      </c>
    </row>
    <row r="250" spans="1:23" ht="15" customHeight="1" x14ac:dyDescent="0.3">
      <c r="A250" t="s">
        <v>8</v>
      </c>
      <c r="B250">
        <v>342</v>
      </c>
      <c r="C250" t="s">
        <v>33</v>
      </c>
      <c r="D250" t="s">
        <v>254</v>
      </c>
      <c r="E250" t="s">
        <v>34</v>
      </c>
      <c r="F250" t="s">
        <v>255</v>
      </c>
      <c r="G250" t="s">
        <v>36</v>
      </c>
      <c r="H250" t="s">
        <v>49</v>
      </c>
      <c r="I250" t="s">
        <v>254</v>
      </c>
      <c r="J250" t="s">
        <v>275</v>
      </c>
      <c r="K250" s="21" t="s">
        <v>276</v>
      </c>
      <c r="L250" s="21" t="s">
        <v>258</v>
      </c>
      <c r="M250" t="s">
        <v>259</v>
      </c>
      <c r="N250" t="s">
        <v>42</v>
      </c>
      <c r="R250" t="s">
        <v>265</v>
      </c>
      <c r="S250" t="s">
        <v>275</v>
      </c>
      <c r="T250" t="s">
        <v>45</v>
      </c>
      <c r="U250" t="s">
        <v>46</v>
      </c>
      <c r="V250" t="s">
        <v>277</v>
      </c>
      <c r="W250" t="s">
        <v>278</v>
      </c>
    </row>
    <row r="251" spans="1:23" ht="15" customHeight="1" x14ac:dyDescent="0.3">
      <c r="A251" t="s">
        <v>8</v>
      </c>
      <c r="B251">
        <v>342</v>
      </c>
      <c r="C251" t="s">
        <v>33</v>
      </c>
      <c r="D251" t="s">
        <v>254</v>
      </c>
      <c r="E251" t="s">
        <v>34</v>
      </c>
      <c r="F251" t="s">
        <v>255</v>
      </c>
      <c r="G251" t="s">
        <v>36</v>
      </c>
      <c r="H251" t="s">
        <v>49</v>
      </c>
      <c r="I251" t="s">
        <v>254</v>
      </c>
      <c r="J251" t="s">
        <v>275</v>
      </c>
      <c r="K251" s="21" t="s">
        <v>276</v>
      </c>
      <c r="L251" s="21" t="s">
        <v>258</v>
      </c>
      <c r="M251" t="s">
        <v>259</v>
      </c>
      <c r="N251" t="s">
        <v>42</v>
      </c>
      <c r="R251" t="s">
        <v>266</v>
      </c>
      <c r="S251" t="s">
        <v>275</v>
      </c>
      <c r="T251" t="s">
        <v>45</v>
      </c>
      <c r="U251" t="s">
        <v>46</v>
      </c>
      <c r="V251" t="s">
        <v>277</v>
      </c>
      <c r="W251" t="s">
        <v>278</v>
      </c>
    </row>
    <row r="252" spans="1:23" ht="15" customHeight="1" x14ac:dyDescent="0.3">
      <c r="A252" t="s">
        <v>8</v>
      </c>
      <c r="B252">
        <v>342</v>
      </c>
      <c r="C252" t="s">
        <v>33</v>
      </c>
      <c r="D252" t="s">
        <v>254</v>
      </c>
      <c r="E252" t="s">
        <v>34</v>
      </c>
      <c r="F252" t="s">
        <v>255</v>
      </c>
      <c r="G252" t="s">
        <v>36</v>
      </c>
      <c r="H252" t="s">
        <v>87</v>
      </c>
      <c r="I252" t="s">
        <v>254</v>
      </c>
      <c r="J252" t="s">
        <v>279</v>
      </c>
      <c r="K252" s="21" t="s">
        <v>280</v>
      </c>
      <c r="L252" s="21" t="s">
        <v>258</v>
      </c>
      <c r="M252" t="s">
        <v>259</v>
      </c>
      <c r="N252" t="s">
        <v>42</v>
      </c>
      <c r="R252" t="s">
        <v>261</v>
      </c>
      <c r="S252" t="s">
        <v>279</v>
      </c>
      <c r="T252" t="s">
        <v>45</v>
      </c>
      <c r="U252" t="s">
        <v>46</v>
      </c>
      <c r="V252" t="s">
        <v>281</v>
      </c>
      <c r="W252" t="s">
        <v>282</v>
      </c>
    </row>
    <row r="253" spans="1:23" ht="15" customHeight="1" x14ac:dyDescent="0.3">
      <c r="A253" t="s">
        <v>8</v>
      </c>
      <c r="B253">
        <v>342</v>
      </c>
      <c r="C253" t="s">
        <v>33</v>
      </c>
      <c r="D253" t="s">
        <v>254</v>
      </c>
      <c r="E253" t="s">
        <v>34</v>
      </c>
      <c r="F253" t="s">
        <v>255</v>
      </c>
      <c r="G253" t="s">
        <v>36</v>
      </c>
      <c r="H253" t="s">
        <v>87</v>
      </c>
      <c r="I253" t="s">
        <v>254</v>
      </c>
      <c r="J253" t="s">
        <v>279</v>
      </c>
      <c r="K253" s="21" t="s">
        <v>280</v>
      </c>
      <c r="L253" s="21" t="s">
        <v>258</v>
      </c>
      <c r="M253" t="s">
        <v>259</v>
      </c>
      <c r="N253" t="s">
        <v>42</v>
      </c>
      <c r="R253" t="s">
        <v>265</v>
      </c>
      <c r="S253" t="s">
        <v>279</v>
      </c>
      <c r="T253" t="s">
        <v>45</v>
      </c>
      <c r="U253" t="s">
        <v>46</v>
      </c>
      <c r="V253" t="s">
        <v>281</v>
      </c>
      <c r="W253" t="s">
        <v>282</v>
      </c>
    </row>
    <row r="254" spans="1:23" ht="15" customHeight="1" x14ac:dyDescent="0.3">
      <c r="A254" t="s">
        <v>8</v>
      </c>
      <c r="B254">
        <v>342</v>
      </c>
      <c r="C254" t="s">
        <v>33</v>
      </c>
      <c r="D254" t="s">
        <v>254</v>
      </c>
      <c r="E254" t="s">
        <v>34</v>
      </c>
      <c r="F254" t="s">
        <v>255</v>
      </c>
      <c r="G254" t="s">
        <v>36</v>
      </c>
      <c r="H254" t="s">
        <v>87</v>
      </c>
      <c r="I254" t="s">
        <v>254</v>
      </c>
      <c r="J254" t="s">
        <v>279</v>
      </c>
      <c r="K254" s="21" t="s">
        <v>280</v>
      </c>
      <c r="L254" s="21" t="s">
        <v>258</v>
      </c>
      <c r="M254" t="s">
        <v>259</v>
      </c>
      <c r="N254" t="s">
        <v>42</v>
      </c>
      <c r="R254" t="s">
        <v>266</v>
      </c>
      <c r="S254" t="s">
        <v>279</v>
      </c>
      <c r="T254" t="s">
        <v>45</v>
      </c>
      <c r="U254" t="s">
        <v>46</v>
      </c>
      <c r="V254" t="s">
        <v>281</v>
      </c>
      <c r="W254" t="s">
        <v>282</v>
      </c>
    </row>
    <row r="255" spans="1:23" ht="15" customHeight="1" x14ac:dyDescent="0.3">
      <c r="A255" t="s">
        <v>8</v>
      </c>
      <c r="B255">
        <v>342</v>
      </c>
      <c r="C255" t="s">
        <v>33</v>
      </c>
      <c r="D255" t="s">
        <v>254</v>
      </c>
      <c r="E255" t="s">
        <v>34</v>
      </c>
      <c r="F255" t="s">
        <v>255</v>
      </c>
      <c r="G255" t="s">
        <v>36</v>
      </c>
      <c r="H255" t="s">
        <v>421</v>
      </c>
      <c r="I255" t="s">
        <v>254</v>
      </c>
      <c r="J255" t="s">
        <v>1362</v>
      </c>
      <c r="K255" s="21" t="s">
        <v>1363</v>
      </c>
      <c r="L255" s="21" t="s">
        <v>258</v>
      </c>
      <c r="M255" t="s">
        <v>259</v>
      </c>
      <c r="N255" t="s">
        <v>42</v>
      </c>
      <c r="R255" t="s">
        <v>261</v>
      </c>
      <c r="S255" t="s">
        <v>1362</v>
      </c>
      <c r="T255" t="s">
        <v>45</v>
      </c>
      <c r="U255" t="s">
        <v>1257</v>
      </c>
      <c r="V255" t="s">
        <v>262</v>
      </c>
      <c r="W255" t="s">
        <v>1364</v>
      </c>
    </row>
    <row r="256" spans="1:23" ht="15" customHeight="1" x14ac:dyDescent="0.3">
      <c r="A256" t="s">
        <v>8</v>
      </c>
      <c r="B256">
        <v>342</v>
      </c>
      <c r="C256" t="s">
        <v>33</v>
      </c>
      <c r="D256" t="s">
        <v>254</v>
      </c>
      <c r="E256" t="s">
        <v>34</v>
      </c>
      <c r="F256" t="s">
        <v>255</v>
      </c>
      <c r="G256" t="s">
        <v>36</v>
      </c>
      <c r="H256" t="s">
        <v>421</v>
      </c>
      <c r="I256" t="s">
        <v>254</v>
      </c>
      <c r="J256" t="s">
        <v>1362</v>
      </c>
      <c r="K256" s="21" t="s">
        <v>1363</v>
      </c>
      <c r="L256" s="21" t="s">
        <v>258</v>
      </c>
      <c r="M256" t="s">
        <v>259</v>
      </c>
      <c r="N256" t="s">
        <v>42</v>
      </c>
      <c r="R256" t="s">
        <v>265</v>
      </c>
      <c r="S256" t="s">
        <v>1362</v>
      </c>
      <c r="T256" t="s">
        <v>45</v>
      </c>
      <c r="U256" t="s">
        <v>1257</v>
      </c>
      <c r="V256" t="s">
        <v>262</v>
      </c>
      <c r="W256" t="s">
        <v>1364</v>
      </c>
    </row>
    <row r="257" spans="1:23" ht="15" customHeight="1" x14ac:dyDescent="0.3">
      <c r="A257" t="s">
        <v>8</v>
      </c>
      <c r="B257">
        <v>342</v>
      </c>
      <c r="C257" t="s">
        <v>33</v>
      </c>
      <c r="D257" t="s">
        <v>254</v>
      </c>
      <c r="E257" t="s">
        <v>34</v>
      </c>
      <c r="F257" t="s">
        <v>255</v>
      </c>
      <c r="G257" t="s">
        <v>36</v>
      </c>
      <c r="H257" t="s">
        <v>421</v>
      </c>
      <c r="I257" t="s">
        <v>254</v>
      </c>
      <c r="J257" t="s">
        <v>1362</v>
      </c>
      <c r="K257" s="21" t="s">
        <v>1363</v>
      </c>
      <c r="L257" s="21" t="s">
        <v>258</v>
      </c>
      <c r="M257" t="s">
        <v>259</v>
      </c>
      <c r="N257" t="s">
        <v>42</v>
      </c>
      <c r="R257" t="s">
        <v>266</v>
      </c>
      <c r="S257" t="s">
        <v>1362</v>
      </c>
      <c r="T257" t="s">
        <v>45</v>
      </c>
      <c r="U257" t="s">
        <v>1257</v>
      </c>
      <c r="V257" t="s">
        <v>262</v>
      </c>
      <c r="W257" t="s">
        <v>1364</v>
      </c>
    </row>
    <row r="258" spans="1:23" ht="15" customHeight="1" x14ac:dyDescent="0.3">
      <c r="A258" t="s">
        <v>8</v>
      </c>
      <c r="B258">
        <v>342</v>
      </c>
      <c r="C258" t="s">
        <v>33</v>
      </c>
      <c r="D258" t="s">
        <v>254</v>
      </c>
      <c r="E258" t="s">
        <v>34</v>
      </c>
      <c r="F258" t="s">
        <v>255</v>
      </c>
      <c r="G258" t="s">
        <v>36</v>
      </c>
      <c r="H258" t="s">
        <v>182</v>
      </c>
      <c r="I258" t="s">
        <v>254</v>
      </c>
      <c r="J258" t="s">
        <v>283</v>
      </c>
      <c r="K258" s="21" t="s">
        <v>284</v>
      </c>
      <c r="L258" s="21" t="s">
        <v>258</v>
      </c>
      <c r="M258" t="s">
        <v>259</v>
      </c>
      <c r="N258" t="s">
        <v>42</v>
      </c>
      <c r="R258" t="s">
        <v>261</v>
      </c>
      <c r="S258" t="s">
        <v>283</v>
      </c>
      <c r="T258" t="s">
        <v>45</v>
      </c>
      <c r="U258" t="s">
        <v>90</v>
      </c>
      <c r="V258" t="s">
        <v>262</v>
      </c>
      <c r="W258" t="s">
        <v>285</v>
      </c>
    </row>
    <row r="259" spans="1:23" ht="15" customHeight="1" x14ac:dyDescent="0.3">
      <c r="A259" t="s">
        <v>8</v>
      </c>
      <c r="B259">
        <v>342</v>
      </c>
      <c r="C259" t="s">
        <v>33</v>
      </c>
      <c r="D259" t="s">
        <v>254</v>
      </c>
      <c r="E259" t="s">
        <v>34</v>
      </c>
      <c r="F259" t="s">
        <v>255</v>
      </c>
      <c r="G259" t="s">
        <v>36</v>
      </c>
      <c r="H259" t="s">
        <v>182</v>
      </c>
      <c r="I259" t="s">
        <v>254</v>
      </c>
      <c r="J259" t="s">
        <v>283</v>
      </c>
      <c r="K259" s="21" t="s">
        <v>284</v>
      </c>
      <c r="L259" s="21" t="s">
        <v>258</v>
      </c>
      <c r="M259" t="s">
        <v>259</v>
      </c>
      <c r="N259" t="s">
        <v>42</v>
      </c>
      <c r="R259" t="s">
        <v>265</v>
      </c>
      <c r="S259" t="s">
        <v>283</v>
      </c>
      <c r="T259" t="s">
        <v>45</v>
      </c>
      <c r="U259" t="s">
        <v>90</v>
      </c>
      <c r="V259" t="s">
        <v>262</v>
      </c>
      <c r="W259" t="s">
        <v>285</v>
      </c>
    </row>
    <row r="260" spans="1:23" ht="15" customHeight="1" x14ac:dyDescent="0.3">
      <c r="A260" t="s">
        <v>8</v>
      </c>
      <c r="B260">
        <v>342</v>
      </c>
      <c r="C260" t="s">
        <v>33</v>
      </c>
      <c r="D260" t="s">
        <v>254</v>
      </c>
      <c r="E260" t="s">
        <v>34</v>
      </c>
      <c r="F260" t="s">
        <v>255</v>
      </c>
      <c r="G260" t="s">
        <v>36</v>
      </c>
      <c r="H260" t="s">
        <v>182</v>
      </c>
      <c r="I260" t="s">
        <v>254</v>
      </c>
      <c r="J260" t="s">
        <v>283</v>
      </c>
      <c r="K260" s="21" t="s">
        <v>284</v>
      </c>
      <c r="L260" s="21" t="s">
        <v>258</v>
      </c>
      <c r="M260" t="s">
        <v>259</v>
      </c>
      <c r="N260" t="s">
        <v>42</v>
      </c>
      <c r="R260" t="s">
        <v>266</v>
      </c>
      <c r="S260" t="s">
        <v>283</v>
      </c>
      <c r="T260" t="s">
        <v>45</v>
      </c>
      <c r="U260" t="s">
        <v>90</v>
      </c>
      <c r="V260" t="s">
        <v>262</v>
      </c>
      <c r="W260" t="s">
        <v>285</v>
      </c>
    </row>
    <row r="261" spans="1:23" ht="15" customHeight="1" x14ac:dyDescent="0.3">
      <c r="A261" t="s">
        <v>8</v>
      </c>
      <c r="B261">
        <v>342</v>
      </c>
      <c r="C261" t="s">
        <v>33</v>
      </c>
      <c r="D261" t="s">
        <v>254</v>
      </c>
      <c r="E261" t="s">
        <v>34</v>
      </c>
      <c r="F261" t="s">
        <v>255</v>
      </c>
      <c r="G261" t="s">
        <v>36</v>
      </c>
      <c r="H261" t="s">
        <v>1242</v>
      </c>
      <c r="I261" t="s">
        <v>254</v>
      </c>
      <c r="J261" t="s">
        <v>1243</v>
      </c>
      <c r="K261" s="21" t="s">
        <v>1244</v>
      </c>
      <c r="L261" s="21" t="s">
        <v>258</v>
      </c>
      <c r="M261" t="s">
        <v>259</v>
      </c>
      <c r="N261" t="s">
        <v>42</v>
      </c>
      <c r="R261" t="s">
        <v>261</v>
      </c>
      <c r="S261" t="s">
        <v>1243</v>
      </c>
      <c r="T261" t="s">
        <v>1231</v>
      </c>
      <c r="U261" t="s">
        <v>1241</v>
      </c>
      <c r="V261" t="s">
        <v>1245</v>
      </c>
      <c r="W261" t="s">
        <v>1246</v>
      </c>
    </row>
    <row r="262" spans="1:23" ht="15" customHeight="1" x14ac:dyDescent="0.3">
      <c r="A262" t="s">
        <v>8</v>
      </c>
      <c r="B262">
        <v>342</v>
      </c>
      <c r="C262" t="s">
        <v>33</v>
      </c>
      <c r="D262" t="s">
        <v>254</v>
      </c>
      <c r="E262" t="s">
        <v>34</v>
      </c>
      <c r="F262" t="s">
        <v>255</v>
      </c>
      <c r="G262" t="s">
        <v>36</v>
      </c>
      <c r="H262" t="s">
        <v>1242</v>
      </c>
      <c r="I262" t="s">
        <v>254</v>
      </c>
      <c r="J262" t="s">
        <v>1243</v>
      </c>
      <c r="K262" s="21" t="s">
        <v>1244</v>
      </c>
      <c r="L262" s="21" t="s">
        <v>258</v>
      </c>
      <c r="M262" t="s">
        <v>259</v>
      </c>
      <c r="N262" t="s">
        <v>42</v>
      </c>
      <c r="R262" t="s">
        <v>265</v>
      </c>
      <c r="S262" t="s">
        <v>1243</v>
      </c>
      <c r="T262" t="s">
        <v>1231</v>
      </c>
      <c r="U262" t="s">
        <v>1241</v>
      </c>
      <c r="V262" t="s">
        <v>1245</v>
      </c>
      <c r="W262" t="s">
        <v>1246</v>
      </c>
    </row>
    <row r="263" spans="1:23" ht="15" customHeight="1" x14ac:dyDescent="0.3">
      <c r="A263" t="s">
        <v>8</v>
      </c>
      <c r="B263">
        <v>342</v>
      </c>
      <c r="C263" t="s">
        <v>33</v>
      </c>
      <c r="D263" t="s">
        <v>254</v>
      </c>
      <c r="E263" t="s">
        <v>34</v>
      </c>
      <c r="F263" t="s">
        <v>255</v>
      </c>
      <c r="G263" t="s">
        <v>36</v>
      </c>
      <c r="H263" t="s">
        <v>1242</v>
      </c>
      <c r="I263" t="s">
        <v>254</v>
      </c>
      <c r="J263" t="s">
        <v>1243</v>
      </c>
      <c r="K263" s="21" t="s">
        <v>1244</v>
      </c>
      <c r="L263" s="21" t="s">
        <v>258</v>
      </c>
      <c r="M263" t="s">
        <v>259</v>
      </c>
      <c r="N263" t="s">
        <v>42</v>
      </c>
      <c r="R263" t="s">
        <v>266</v>
      </c>
      <c r="S263" t="s">
        <v>1243</v>
      </c>
      <c r="T263" t="s">
        <v>1231</v>
      </c>
      <c r="U263" t="s">
        <v>1241</v>
      </c>
      <c r="V263" t="s">
        <v>1245</v>
      </c>
      <c r="W263" t="s">
        <v>1246</v>
      </c>
    </row>
    <row r="264" spans="1:23" ht="15" customHeight="1" x14ac:dyDescent="0.3">
      <c r="A264" t="s">
        <v>8</v>
      </c>
      <c r="B264">
        <v>342</v>
      </c>
      <c r="C264" t="s">
        <v>33</v>
      </c>
      <c r="D264" t="s">
        <v>254</v>
      </c>
      <c r="E264" t="s">
        <v>34</v>
      </c>
      <c r="F264" t="s">
        <v>255</v>
      </c>
      <c r="G264" t="s">
        <v>36</v>
      </c>
      <c r="H264" t="s">
        <v>425</v>
      </c>
      <c r="I264" t="s">
        <v>254</v>
      </c>
      <c r="J264" t="s">
        <v>1365</v>
      </c>
      <c r="K264" s="21" t="s">
        <v>1366</v>
      </c>
      <c r="L264" s="21" t="s">
        <v>258</v>
      </c>
      <c r="M264" t="s">
        <v>259</v>
      </c>
      <c r="N264" t="s">
        <v>42</v>
      </c>
      <c r="R264" t="s">
        <v>261</v>
      </c>
      <c r="S264" t="s">
        <v>1365</v>
      </c>
      <c r="T264" t="s">
        <v>1249</v>
      </c>
      <c r="U264" t="s">
        <v>1270</v>
      </c>
      <c r="V264" t="s">
        <v>1367</v>
      </c>
      <c r="W264" t="s">
        <v>1368</v>
      </c>
    </row>
    <row r="265" spans="1:23" ht="15" customHeight="1" x14ac:dyDescent="0.3">
      <c r="A265" t="s">
        <v>8</v>
      </c>
      <c r="B265">
        <v>342</v>
      </c>
      <c r="C265" t="s">
        <v>33</v>
      </c>
      <c r="D265" t="s">
        <v>254</v>
      </c>
      <c r="E265" t="s">
        <v>34</v>
      </c>
      <c r="F265" t="s">
        <v>255</v>
      </c>
      <c r="G265" t="s">
        <v>36</v>
      </c>
      <c r="H265" t="s">
        <v>425</v>
      </c>
      <c r="I265" t="s">
        <v>254</v>
      </c>
      <c r="J265" t="s">
        <v>1365</v>
      </c>
      <c r="K265" s="21" t="s">
        <v>1366</v>
      </c>
      <c r="L265" s="21" t="s">
        <v>258</v>
      </c>
      <c r="M265" t="s">
        <v>259</v>
      </c>
      <c r="N265" t="s">
        <v>42</v>
      </c>
      <c r="R265" t="s">
        <v>265</v>
      </c>
      <c r="S265" t="s">
        <v>1365</v>
      </c>
      <c r="T265" t="s">
        <v>1249</v>
      </c>
      <c r="U265" t="s">
        <v>1270</v>
      </c>
      <c r="V265" t="s">
        <v>1367</v>
      </c>
      <c r="W265" t="s">
        <v>1368</v>
      </c>
    </row>
    <row r="266" spans="1:23" ht="15" customHeight="1" x14ac:dyDescent="0.3">
      <c r="A266" t="s">
        <v>8</v>
      </c>
      <c r="B266">
        <v>342</v>
      </c>
      <c r="C266" t="s">
        <v>33</v>
      </c>
      <c r="D266" t="s">
        <v>254</v>
      </c>
      <c r="E266" t="s">
        <v>34</v>
      </c>
      <c r="F266" t="s">
        <v>255</v>
      </c>
      <c r="G266" t="s">
        <v>36</v>
      </c>
      <c r="H266" t="s">
        <v>425</v>
      </c>
      <c r="I266" t="s">
        <v>254</v>
      </c>
      <c r="J266" t="s">
        <v>1365</v>
      </c>
      <c r="K266" s="21" t="s">
        <v>1366</v>
      </c>
      <c r="L266" s="21" t="s">
        <v>258</v>
      </c>
      <c r="M266" t="s">
        <v>259</v>
      </c>
      <c r="N266" t="s">
        <v>42</v>
      </c>
      <c r="R266" t="s">
        <v>266</v>
      </c>
      <c r="S266" t="s">
        <v>1365</v>
      </c>
      <c r="T266" t="s">
        <v>1249</v>
      </c>
      <c r="U266" t="s">
        <v>1270</v>
      </c>
      <c r="V266" t="s">
        <v>1367</v>
      </c>
      <c r="W266" t="s">
        <v>1368</v>
      </c>
    </row>
    <row r="267" spans="1:23" ht="15" customHeight="1" x14ac:dyDescent="0.3">
      <c r="A267" t="s">
        <v>8</v>
      </c>
      <c r="B267">
        <v>342</v>
      </c>
      <c r="C267" t="s">
        <v>33</v>
      </c>
      <c r="D267" t="s">
        <v>254</v>
      </c>
      <c r="E267" t="s">
        <v>34</v>
      </c>
      <c r="F267" t="s">
        <v>255</v>
      </c>
      <c r="G267" t="s">
        <v>36</v>
      </c>
      <c r="H267" t="s">
        <v>996</v>
      </c>
      <c r="I267" t="s">
        <v>254</v>
      </c>
      <c r="J267" t="s">
        <v>1369</v>
      </c>
      <c r="K267" s="21" t="s">
        <v>1370</v>
      </c>
      <c r="L267" s="21" t="s">
        <v>258</v>
      </c>
      <c r="M267" t="s">
        <v>259</v>
      </c>
      <c r="N267" t="s">
        <v>42</v>
      </c>
      <c r="R267" t="s">
        <v>261</v>
      </c>
      <c r="S267" t="s">
        <v>1369</v>
      </c>
      <c r="T267" t="s">
        <v>1249</v>
      </c>
      <c r="U267" t="s">
        <v>1250</v>
      </c>
      <c r="V267" t="s">
        <v>262</v>
      </c>
      <c r="W267" t="s">
        <v>1368</v>
      </c>
    </row>
    <row r="268" spans="1:23" ht="15" customHeight="1" x14ac:dyDescent="0.3">
      <c r="A268" t="s">
        <v>8</v>
      </c>
      <c r="B268">
        <v>342</v>
      </c>
      <c r="C268" t="s">
        <v>33</v>
      </c>
      <c r="D268" t="s">
        <v>254</v>
      </c>
      <c r="E268" t="s">
        <v>34</v>
      </c>
      <c r="F268" t="s">
        <v>255</v>
      </c>
      <c r="G268" t="s">
        <v>36</v>
      </c>
      <c r="H268" t="s">
        <v>996</v>
      </c>
      <c r="I268" t="s">
        <v>254</v>
      </c>
      <c r="J268" t="s">
        <v>1369</v>
      </c>
      <c r="K268" s="21" t="s">
        <v>1370</v>
      </c>
      <c r="L268" s="21" t="s">
        <v>258</v>
      </c>
      <c r="M268" t="s">
        <v>259</v>
      </c>
      <c r="N268" t="s">
        <v>42</v>
      </c>
      <c r="R268" t="s">
        <v>265</v>
      </c>
      <c r="S268" t="s">
        <v>1369</v>
      </c>
      <c r="T268" t="s">
        <v>1249</v>
      </c>
      <c r="U268" t="s">
        <v>1250</v>
      </c>
      <c r="V268" t="s">
        <v>262</v>
      </c>
      <c r="W268" t="s">
        <v>1368</v>
      </c>
    </row>
    <row r="269" spans="1:23" ht="15" customHeight="1" x14ac:dyDescent="0.3">
      <c r="A269" t="s">
        <v>8</v>
      </c>
      <c r="B269">
        <v>342</v>
      </c>
      <c r="C269" t="s">
        <v>33</v>
      </c>
      <c r="D269" t="s">
        <v>254</v>
      </c>
      <c r="E269" t="s">
        <v>34</v>
      </c>
      <c r="F269" t="s">
        <v>255</v>
      </c>
      <c r="G269" t="s">
        <v>36</v>
      </c>
      <c r="H269" t="s">
        <v>996</v>
      </c>
      <c r="I269" t="s">
        <v>254</v>
      </c>
      <c r="J269" t="s">
        <v>1369</v>
      </c>
      <c r="K269" s="21" t="s">
        <v>1370</v>
      </c>
      <c r="L269" s="21" t="s">
        <v>258</v>
      </c>
      <c r="M269" t="s">
        <v>259</v>
      </c>
      <c r="N269" t="s">
        <v>42</v>
      </c>
      <c r="R269" t="s">
        <v>266</v>
      </c>
      <c r="S269" t="s">
        <v>1369</v>
      </c>
      <c r="T269" t="s">
        <v>1249</v>
      </c>
      <c r="U269" t="s">
        <v>1250</v>
      </c>
      <c r="V269" t="s">
        <v>262</v>
      </c>
      <c r="W269" t="s">
        <v>1368</v>
      </c>
    </row>
    <row r="270" spans="1:23" ht="15" customHeight="1" x14ac:dyDescent="0.3">
      <c r="A270" t="s">
        <v>8</v>
      </c>
      <c r="B270">
        <v>342</v>
      </c>
      <c r="C270" t="s">
        <v>33</v>
      </c>
      <c r="D270" t="s">
        <v>254</v>
      </c>
      <c r="E270" t="s">
        <v>34</v>
      </c>
      <c r="F270" t="s">
        <v>255</v>
      </c>
      <c r="G270" t="s">
        <v>36</v>
      </c>
      <c r="H270" t="s">
        <v>1000</v>
      </c>
      <c r="I270" t="s">
        <v>254</v>
      </c>
      <c r="J270" t="s">
        <v>1371</v>
      </c>
      <c r="K270" s="21" t="s">
        <v>1372</v>
      </c>
      <c r="L270" s="21" t="s">
        <v>258</v>
      </c>
      <c r="M270" t="s">
        <v>259</v>
      </c>
      <c r="N270" t="s">
        <v>42</v>
      </c>
      <c r="R270" t="s">
        <v>261</v>
      </c>
      <c r="S270" t="s">
        <v>1371</v>
      </c>
      <c r="T270" t="s">
        <v>1249</v>
      </c>
      <c r="U270" t="s">
        <v>1282</v>
      </c>
      <c r="V270" t="s">
        <v>262</v>
      </c>
      <c r="W270" t="s">
        <v>1368</v>
      </c>
    </row>
    <row r="271" spans="1:23" ht="15" customHeight="1" x14ac:dyDescent="0.3">
      <c r="A271" t="s">
        <v>8</v>
      </c>
      <c r="B271">
        <v>342</v>
      </c>
      <c r="C271" t="s">
        <v>33</v>
      </c>
      <c r="D271" t="s">
        <v>254</v>
      </c>
      <c r="E271" t="s">
        <v>34</v>
      </c>
      <c r="F271" t="s">
        <v>255</v>
      </c>
      <c r="G271" t="s">
        <v>36</v>
      </c>
      <c r="H271" t="s">
        <v>1000</v>
      </c>
      <c r="I271" t="s">
        <v>254</v>
      </c>
      <c r="J271" t="s">
        <v>1371</v>
      </c>
      <c r="K271" s="21" t="s">
        <v>1372</v>
      </c>
      <c r="L271" s="21" t="s">
        <v>258</v>
      </c>
      <c r="M271" t="s">
        <v>259</v>
      </c>
      <c r="N271" t="s">
        <v>42</v>
      </c>
      <c r="R271" t="s">
        <v>265</v>
      </c>
      <c r="S271" t="s">
        <v>1371</v>
      </c>
      <c r="T271" t="s">
        <v>1249</v>
      </c>
      <c r="U271" t="s">
        <v>1282</v>
      </c>
      <c r="V271" t="s">
        <v>262</v>
      </c>
      <c r="W271" t="s">
        <v>1368</v>
      </c>
    </row>
    <row r="272" spans="1:23" ht="15" customHeight="1" x14ac:dyDescent="0.3">
      <c r="A272" t="s">
        <v>8</v>
      </c>
      <c r="B272">
        <v>342</v>
      </c>
      <c r="C272" t="s">
        <v>33</v>
      </c>
      <c r="D272" t="s">
        <v>254</v>
      </c>
      <c r="E272" t="s">
        <v>34</v>
      </c>
      <c r="F272" t="s">
        <v>255</v>
      </c>
      <c r="G272" t="s">
        <v>36</v>
      </c>
      <c r="H272" t="s">
        <v>1000</v>
      </c>
      <c r="I272" t="s">
        <v>254</v>
      </c>
      <c r="J272" t="s">
        <v>1371</v>
      </c>
      <c r="K272" s="21" t="s">
        <v>1372</v>
      </c>
      <c r="L272" s="21" t="s">
        <v>258</v>
      </c>
      <c r="M272" t="s">
        <v>259</v>
      </c>
      <c r="N272" t="s">
        <v>42</v>
      </c>
      <c r="R272" t="s">
        <v>266</v>
      </c>
      <c r="S272" t="s">
        <v>1371</v>
      </c>
      <c r="T272" t="s">
        <v>1249</v>
      </c>
      <c r="U272" t="s">
        <v>1282</v>
      </c>
      <c r="V272" t="s">
        <v>262</v>
      </c>
      <c r="W272" t="s">
        <v>1368</v>
      </c>
    </row>
    <row r="273" spans="1:23" ht="15" customHeight="1" x14ac:dyDescent="0.3">
      <c r="A273" t="s">
        <v>8</v>
      </c>
      <c r="B273">
        <v>343</v>
      </c>
      <c r="C273" t="s">
        <v>33</v>
      </c>
      <c r="D273" t="s">
        <v>286</v>
      </c>
      <c r="E273" t="s">
        <v>34</v>
      </c>
      <c r="F273" t="s">
        <v>287</v>
      </c>
      <c r="G273" t="s">
        <v>36</v>
      </c>
      <c r="H273" t="s">
        <v>37</v>
      </c>
      <c r="I273" t="s">
        <v>286</v>
      </c>
      <c r="J273" t="s">
        <v>288</v>
      </c>
      <c r="K273" t="s">
        <v>289</v>
      </c>
      <c r="L273" s="21" t="s">
        <v>290</v>
      </c>
      <c r="M273" t="s">
        <v>291</v>
      </c>
      <c r="N273" t="s">
        <v>42</v>
      </c>
      <c r="R273" t="s">
        <v>293</v>
      </c>
      <c r="S273" t="s">
        <v>288</v>
      </c>
      <c r="T273" t="s">
        <v>45</v>
      </c>
      <c r="U273" t="s">
        <v>46</v>
      </c>
      <c r="V273" t="s">
        <v>294</v>
      </c>
      <c r="W273" t="s">
        <v>295</v>
      </c>
    </row>
    <row r="274" spans="1:23" ht="15" customHeight="1" x14ac:dyDescent="0.3">
      <c r="A274" t="s">
        <v>8</v>
      </c>
      <c r="B274">
        <v>343</v>
      </c>
      <c r="C274" t="s">
        <v>33</v>
      </c>
      <c r="D274" t="s">
        <v>286</v>
      </c>
      <c r="E274" t="s">
        <v>34</v>
      </c>
      <c r="F274" t="s">
        <v>287</v>
      </c>
      <c r="G274" t="s">
        <v>36</v>
      </c>
      <c r="H274" t="s">
        <v>37</v>
      </c>
      <c r="I274" t="s">
        <v>286</v>
      </c>
      <c r="J274" t="s">
        <v>288</v>
      </c>
      <c r="K274" t="s">
        <v>289</v>
      </c>
      <c r="L274" s="21" t="s">
        <v>290</v>
      </c>
      <c r="M274" t="s">
        <v>291</v>
      </c>
      <c r="N274" t="s">
        <v>42</v>
      </c>
      <c r="R274" t="s">
        <v>296</v>
      </c>
      <c r="S274" t="s">
        <v>288</v>
      </c>
      <c r="T274" t="s">
        <v>45</v>
      </c>
      <c r="U274" t="s">
        <v>46</v>
      </c>
      <c r="V274" t="s">
        <v>294</v>
      </c>
      <c r="W274" t="s">
        <v>295</v>
      </c>
    </row>
    <row r="275" spans="1:23" ht="15" customHeight="1" x14ac:dyDescent="0.3">
      <c r="A275" t="s">
        <v>8</v>
      </c>
      <c r="B275">
        <v>343</v>
      </c>
      <c r="C275" t="s">
        <v>33</v>
      </c>
      <c r="D275" t="s">
        <v>286</v>
      </c>
      <c r="E275" t="s">
        <v>34</v>
      </c>
      <c r="F275" t="s">
        <v>287</v>
      </c>
      <c r="G275" t="s">
        <v>36</v>
      </c>
      <c r="H275" t="s">
        <v>37</v>
      </c>
      <c r="I275" t="s">
        <v>286</v>
      </c>
      <c r="J275" t="s">
        <v>288</v>
      </c>
      <c r="K275" t="s">
        <v>289</v>
      </c>
      <c r="L275" s="21" t="s">
        <v>290</v>
      </c>
      <c r="M275" t="s">
        <v>291</v>
      </c>
      <c r="N275" t="s">
        <v>42</v>
      </c>
      <c r="R275" t="s">
        <v>297</v>
      </c>
      <c r="S275" t="s">
        <v>288</v>
      </c>
      <c r="T275" t="s">
        <v>45</v>
      </c>
      <c r="U275" t="s">
        <v>46</v>
      </c>
      <c r="V275" t="s">
        <v>294</v>
      </c>
      <c r="W275" t="s">
        <v>295</v>
      </c>
    </row>
    <row r="276" spans="1:23" ht="15" customHeight="1" x14ac:dyDescent="0.3">
      <c r="A276" t="s">
        <v>8</v>
      </c>
      <c r="B276">
        <v>343</v>
      </c>
      <c r="C276" t="s">
        <v>33</v>
      </c>
      <c r="D276" t="s">
        <v>286</v>
      </c>
      <c r="E276" t="s">
        <v>34</v>
      </c>
      <c r="F276" t="s">
        <v>287</v>
      </c>
      <c r="G276" t="s">
        <v>36</v>
      </c>
      <c r="H276" t="s">
        <v>52</v>
      </c>
      <c r="I276" t="s">
        <v>286</v>
      </c>
      <c r="J276" t="s">
        <v>298</v>
      </c>
      <c r="K276" s="21" t="s">
        <v>299</v>
      </c>
      <c r="L276" s="21" t="s">
        <v>290</v>
      </c>
      <c r="M276" t="s">
        <v>291</v>
      </c>
      <c r="N276" t="s">
        <v>42</v>
      </c>
      <c r="R276" t="s">
        <v>293</v>
      </c>
      <c r="S276" t="s">
        <v>298</v>
      </c>
      <c r="T276" t="s">
        <v>45</v>
      </c>
      <c r="U276" t="s">
        <v>46</v>
      </c>
      <c r="V276" t="s">
        <v>300</v>
      </c>
      <c r="W276" t="s">
        <v>301</v>
      </c>
    </row>
    <row r="277" spans="1:23" ht="15" customHeight="1" x14ac:dyDescent="0.3">
      <c r="A277" t="s">
        <v>8</v>
      </c>
      <c r="B277">
        <v>343</v>
      </c>
      <c r="C277" t="s">
        <v>33</v>
      </c>
      <c r="D277" t="s">
        <v>286</v>
      </c>
      <c r="E277" t="s">
        <v>34</v>
      </c>
      <c r="F277" t="s">
        <v>287</v>
      </c>
      <c r="G277" t="s">
        <v>36</v>
      </c>
      <c r="H277" t="s">
        <v>52</v>
      </c>
      <c r="I277" t="s">
        <v>286</v>
      </c>
      <c r="J277" t="s">
        <v>298</v>
      </c>
      <c r="K277" s="21" t="s">
        <v>299</v>
      </c>
      <c r="L277" s="21" t="s">
        <v>290</v>
      </c>
      <c r="M277" t="s">
        <v>291</v>
      </c>
      <c r="N277" t="s">
        <v>42</v>
      </c>
      <c r="R277" t="s">
        <v>296</v>
      </c>
      <c r="S277" t="s">
        <v>298</v>
      </c>
      <c r="T277" t="s">
        <v>45</v>
      </c>
      <c r="U277" t="s">
        <v>46</v>
      </c>
      <c r="V277" t="s">
        <v>300</v>
      </c>
      <c r="W277" t="s">
        <v>301</v>
      </c>
    </row>
    <row r="278" spans="1:23" ht="15" customHeight="1" x14ac:dyDescent="0.3">
      <c r="A278" t="s">
        <v>8</v>
      </c>
      <c r="B278">
        <v>343</v>
      </c>
      <c r="C278" t="s">
        <v>33</v>
      </c>
      <c r="D278" t="s">
        <v>286</v>
      </c>
      <c r="E278" t="s">
        <v>34</v>
      </c>
      <c r="F278" t="s">
        <v>287</v>
      </c>
      <c r="G278" t="s">
        <v>36</v>
      </c>
      <c r="H278" t="s">
        <v>52</v>
      </c>
      <c r="I278" t="s">
        <v>286</v>
      </c>
      <c r="J278" t="s">
        <v>298</v>
      </c>
      <c r="K278" s="21" t="s">
        <v>299</v>
      </c>
      <c r="L278" s="21" t="s">
        <v>290</v>
      </c>
      <c r="M278" t="s">
        <v>291</v>
      </c>
      <c r="N278" t="s">
        <v>42</v>
      </c>
      <c r="R278" t="s">
        <v>297</v>
      </c>
      <c r="S278" t="s">
        <v>298</v>
      </c>
      <c r="T278" t="s">
        <v>45</v>
      </c>
      <c r="U278" t="s">
        <v>46</v>
      </c>
      <c r="V278" t="s">
        <v>300</v>
      </c>
      <c r="W278" t="s">
        <v>301</v>
      </c>
    </row>
    <row r="279" spans="1:23" ht="15" customHeight="1" x14ac:dyDescent="0.3">
      <c r="A279" t="s">
        <v>8</v>
      </c>
      <c r="B279">
        <v>343</v>
      </c>
      <c r="C279" t="s">
        <v>33</v>
      </c>
      <c r="D279" t="s">
        <v>286</v>
      </c>
      <c r="E279" t="s">
        <v>34</v>
      </c>
      <c r="F279" t="s">
        <v>287</v>
      </c>
      <c r="G279" t="s">
        <v>36</v>
      </c>
      <c r="H279" t="s">
        <v>57</v>
      </c>
      <c r="I279" t="s">
        <v>286</v>
      </c>
      <c r="J279" t="s">
        <v>1373</v>
      </c>
      <c r="K279" s="21" t="s">
        <v>1374</v>
      </c>
      <c r="L279" s="21" t="s">
        <v>290</v>
      </c>
      <c r="M279" t="s">
        <v>291</v>
      </c>
      <c r="N279" t="s">
        <v>42</v>
      </c>
      <c r="R279" t="s">
        <v>293</v>
      </c>
      <c r="S279" t="s">
        <v>1373</v>
      </c>
      <c r="T279" t="s">
        <v>45</v>
      </c>
      <c r="U279" t="s">
        <v>1257</v>
      </c>
      <c r="V279" t="s">
        <v>304</v>
      </c>
      <c r="W279" t="s">
        <v>1375</v>
      </c>
    </row>
    <row r="280" spans="1:23" ht="15" customHeight="1" x14ac:dyDescent="0.3">
      <c r="A280" t="s">
        <v>8</v>
      </c>
      <c r="B280">
        <v>343</v>
      </c>
      <c r="C280" t="s">
        <v>33</v>
      </c>
      <c r="D280" t="s">
        <v>286</v>
      </c>
      <c r="E280" t="s">
        <v>34</v>
      </c>
      <c r="F280" t="s">
        <v>287</v>
      </c>
      <c r="G280" t="s">
        <v>36</v>
      </c>
      <c r="H280" t="s">
        <v>57</v>
      </c>
      <c r="I280" t="s">
        <v>286</v>
      </c>
      <c r="J280" t="s">
        <v>1373</v>
      </c>
      <c r="K280" s="21" t="s">
        <v>1374</v>
      </c>
      <c r="L280" s="21" t="s">
        <v>290</v>
      </c>
      <c r="M280" t="s">
        <v>291</v>
      </c>
      <c r="N280" t="s">
        <v>42</v>
      </c>
      <c r="R280" t="s">
        <v>296</v>
      </c>
      <c r="S280" t="s">
        <v>1373</v>
      </c>
      <c r="T280" t="s">
        <v>45</v>
      </c>
      <c r="U280" t="s">
        <v>1257</v>
      </c>
      <c r="V280" t="s">
        <v>304</v>
      </c>
      <c r="W280" t="s">
        <v>1375</v>
      </c>
    </row>
    <row r="281" spans="1:23" ht="15" customHeight="1" x14ac:dyDescent="0.3">
      <c r="A281" t="s">
        <v>8</v>
      </c>
      <c r="B281">
        <v>343</v>
      </c>
      <c r="C281" t="s">
        <v>33</v>
      </c>
      <c r="D281" t="s">
        <v>286</v>
      </c>
      <c r="E281" t="s">
        <v>34</v>
      </c>
      <c r="F281" t="s">
        <v>287</v>
      </c>
      <c r="G281" t="s">
        <v>36</v>
      </c>
      <c r="H281" t="s">
        <v>57</v>
      </c>
      <c r="I281" t="s">
        <v>286</v>
      </c>
      <c r="J281" t="s">
        <v>1373</v>
      </c>
      <c r="K281" s="21" t="s">
        <v>1374</v>
      </c>
      <c r="L281" s="21" t="s">
        <v>290</v>
      </c>
      <c r="M281" t="s">
        <v>291</v>
      </c>
      <c r="N281" t="s">
        <v>42</v>
      </c>
      <c r="R281" t="s">
        <v>297</v>
      </c>
      <c r="S281" t="s">
        <v>1373</v>
      </c>
      <c r="T281" t="s">
        <v>45</v>
      </c>
      <c r="U281" t="s">
        <v>1257</v>
      </c>
      <c r="V281" t="s">
        <v>304</v>
      </c>
      <c r="W281" t="s">
        <v>1375</v>
      </c>
    </row>
    <row r="282" spans="1:23" ht="15" customHeight="1" x14ac:dyDescent="0.3">
      <c r="A282" t="s">
        <v>8</v>
      </c>
      <c r="B282">
        <v>343</v>
      </c>
      <c r="C282" t="s">
        <v>33</v>
      </c>
      <c r="D282" t="s">
        <v>286</v>
      </c>
      <c r="E282" t="s">
        <v>34</v>
      </c>
      <c r="F282" t="s">
        <v>287</v>
      </c>
      <c r="G282" t="s">
        <v>36</v>
      </c>
      <c r="H282" t="s">
        <v>49</v>
      </c>
      <c r="I282" t="s">
        <v>286</v>
      </c>
      <c r="J282" t="s">
        <v>302</v>
      </c>
      <c r="K282" s="21" t="s">
        <v>303</v>
      </c>
      <c r="L282" s="21" t="s">
        <v>290</v>
      </c>
      <c r="M282" t="s">
        <v>291</v>
      </c>
      <c r="N282" t="s">
        <v>42</v>
      </c>
      <c r="R282" t="s">
        <v>293</v>
      </c>
      <c r="S282" t="s">
        <v>302</v>
      </c>
      <c r="T282" t="s">
        <v>45</v>
      </c>
      <c r="U282" t="s">
        <v>90</v>
      </c>
      <c r="V282" t="s">
        <v>304</v>
      </c>
      <c r="W282" t="s">
        <v>305</v>
      </c>
    </row>
    <row r="283" spans="1:23" ht="15" customHeight="1" x14ac:dyDescent="0.3">
      <c r="A283" t="s">
        <v>8</v>
      </c>
      <c r="B283">
        <v>343</v>
      </c>
      <c r="C283" t="s">
        <v>33</v>
      </c>
      <c r="D283" t="s">
        <v>286</v>
      </c>
      <c r="E283" t="s">
        <v>34</v>
      </c>
      <c r="F283" t="s">
        <v>287</v>
      </c>
      <c r="G283" t="s">
        <v>36</v>
      </c>
      <c r="H283" t="s">
        <v>49</v>
      </c>
      <c r="I283" t="s">
        <v>286</v>
      </c>
      <c r="J283" t="s">
        <v>302</v>
      </c>
      <c r="K283" s="21" t="s">
        <v>303</v>
      </c>
      <c r="L283" s="21" t="s">
        <v>290</v>
      </c>
      <c r="M283" t="s">
        <v>291</v>
      </c>
      <c r="N283" t="s">
        <v>42</v>
      </c>
      <c r="R283" t="s">
        <v>296</v>
      </c>
      <c r="S283" t="s">
        <v>302</v>
      </c>
      <c r="T283" t="s">
        <v>45</v>
      </c>
      <c r="U283" t="s">
        <v>90</v>
      </c>
      <c r="V283" t="s">
        <v>304</v>
      </c>
      <c r="W283" t="s">
        <v>305</v>
      </c>
    </row>
    <row r="284" spans="1:23" ht="15" customHeight="1" x14ac:dyDescent="0.3">
      <c r="A284" t="s">
        <v>8</v>
      </c>
      <c r="B284">
        <v>343</v>
      </c>
      <c r="C284" t="s">
        <v>33</v>
      </c>
      <c r="D284" t="s">
        <v>286</v>
      </c>
      <c r="E284" t="s">
        <v>34</v>
      </c>
      <c r="F284" t="s">
        <v>287</v>
      </c>
      <c r="G284" t="s">
        <v>36</v>
      </c>
      <c r="H284" t="s">
        <v>49</v>
      </c>
      <c r="I284" t="s">
        <v>286</v>
      </c>
      <c r="J284" t="s">
        <v>302</v>
      </c>
      <c r="K284" s="21" t="s">
        <v>303</v>
      </c>
      <c r="L284" s="21" t="s">
        <v>290</v>
      </c>
      <c r="M284" t="s">
        <v>291</v>
      </c>
      <c r="N284" t="s">
        <v>42</v>
      </c>
      <c r="R284" t="s">
        <v>297</v>
      </c>
      <c r="S284" t="s">
        <v>302</v>
      </c>
      <c r="T284" t="s">
        <v>45</v>
      </c>
      <c r="U284" t="s">
        <v>90</v>
      </c>
      <c r="V284" t="s">
        <v>304</v>
      </c>
      <c r="W284" t="s">
        <v>305</v>
      </c>
    </row>
    <row r="285" spans="1:23" ht="15" customHeight="1" x14ac:dyDescent="0.3">
      <c r="A285" t="s">
        <v>8</v>
      </c>
      <c r="B285">
        <v>343</v>
      </c>
      <c r="C285" t="s">
        <v>33</v>
      </c>
      <c r="D285" t="s">
        <v>286</v>
      </c>
      <c r="E285" t="s">
        <v>34</v>
      </c>
      <c r="F285" t="s">
        <v>287</v>
      </c>
      <c r="G285" t="s">
        <v>36</v>
      </c>
      <c r="H285" t="s">
        <v>87</v>
      </c>
      <c r="I285" t="s">
        <v>286</v>
      </c>
      <c r="J285" t="s">
        <v>1376</v>
      </c>
      <c r="K285" s="21" t="s">
        <v>1377</v>
      </c>
      <c r="L285" s="21" t="s">
        <v>290</v>
      </c>
      <c r="M285" t="s">
        <v>291</v>
      </c>
      <c r="N285" t="s">
        <v>42</v>
      </c>
      <c r="R285" t="s">
        <v>293</v>
      </c>
      <c r="S285" t="s">
        <v>1376</v>
      </c>
      <c r="T285" t="s">
        <v>1249</v>
      </c>
      <c r="U285" t="s">
        <v>1270</v>
      </c>
      <c r="V285" t="s">
        <v>1378</v>
      </c>
      <c r="W285" t="s">
        <v>1379</v>
      </c>
    </row>
    <row r="286" spans="1:23" ht="15" customHeight="1" x14ac:dyDescent="0.3">
      <c r="A286" t="s">
        <v>8</v>
      </c>
      <c r="B286">
        <v>343</v>
      </c>
      <c r="C286" t="s">
        <v>33</v>
      </c>
      <c r="D286" t="s">
        <v>286</v>
      </c>
      <c r="E286" t="s">
        <v>34</v>
      </c>
      <c r="F286" t="s">
        <v>287</v>
      </c>
      <c r="G286" t="s">
        <v>36</v>
      </c>
      <c r="H286" t="s">
        <v>87</v>
      </c>
      <c r="I286" t="s">
        <v>286</v>
      </c>
      <c r="J286" t="s">
        <v>1376</v>
      </c>
      <c r="K286" s="21" t="s">
        <v>1377</v>
      </c>
      <c r="L286" s="21" t="s">
        <v>290</v>
      </c>
      <c r="M286" t="s">
        <v>291</v>
      </c>
      <c r="N286" t="s">
        <v>42</v>
      </c>
      <c r="R286" t="s">
        <v>296</v>
      </c>
      <c r="S286" t="s">
        <v>1376</v>
      </c>
      <c r="T286" t="s">
        <v>1249</v>
      </c>
      <c r="U286" t="s">
        <v>1270</v>
      </c>
      <c r="V286" t="s">
        <v>1378</v>
      </c>
      <c r="W286" t="s">
        <v>1379</v>
      </c>
    </row>
    <row r="287" spans="1:23" ht="15" customHeight="1" x14ac:dyDescent="0.3">
      <c r="A287" t="s">
        <v>8</v>
      </c>
      <c r="B287">
        <v>343</v>
      </c>
      <c r="C287" t="s">
        <v>33</v>
      </c>
      <c r="D287" t="s">
        <v>286</v>
      </c>
      <c r="E287" t="s">
        <v>34</v>
      </c>
      <c r="F287" t="s">
        <v>287</v>
      </c>
      <c r="G287" t="s">
        <v>36</v>
      </c>
      <c r="H287" t="s">
        <v>87</v>
      </c>
      <c r="I287" t="s">
        <v>286</v>
      </c>
      <c r="J287" t="s">
        <v>1376</v>
      </c>
      <c r="K287" s="21" t="s">
        <v>1377</v>
      </c>
      <c r="L287" s="21" t="s">
        <v>290</v>
      </c>
      <c r="M287" t="s">
        <v>291</v>
      </c>
      <c r="N287" t="s">
        <v>42</v>
      </c>
      <c r="R287" t="s">
        <v>297</v>
      </c>
      <c r="S287" t="s">
        <v>1376</v>
      </c>
      <c r="T287" t="s">
        <v>1249</v>
      </c>
      <c r="U287" t="s">
        <v>1270</v>
      </c>
      <c r="V287" t="s">
        <v>1378</v>
      </c>
      <c r="W287" t="s">
        <v>1379</v>
      </c>
    </row>
    <row r="288" spans="1:23" ht="15" customHeight="1" x14ac:dyDescent="0.3">
      <c r="A288" t="s">
        <v>8</v>
      </c>
      <c r="B288">
        <v>343</v>
      </c>
      <c r="C288" t="s">
        <v>33</v>
      </c>
      <c r="D288" t="s">
        <v>286</v>
      </c>
      <c r="E288" t="s">
        <v>34</v>
      </c>
      <c r="F288" t="s">
        <v>287</v>
      </c>
      <c r="G288" t="s">
        <v>36</v>
      </c>
      <c r="H288" t="s">
        <v>421</v>
      </c>
      <c r="I288" t="s">
        <v>286</v>
      </c>
      <c r="J288" t="s">
        <v>1380</v>
      </c>
      <c r="K288" s="21" t="s">
        <v>1381</v>
      </c>
      <c r="L288" s="21" t="s">
        <v>290</v>
      </c>
      <c r="M288" t="s">
        <v>291</v>
      </c>
      <c r="N288" t="s">
        <v>42</v>
      </c>
      <c r="R288" t="s">
        <v>293</v>
      </c>
      <c r="S288" t="s">
        <v>1380</v>
      </c>
      <c r="T288" t="s">
        <v>1249</v>
      </c>
      <c r="U288" t="s">
        <v>1250</v>
      </c>
      <c r="V288" t="s">
        <v>1382</v>
      </c>
      <c r="W288" t="s">
        <v>1379</v>
      </c>
    </row>
    <row r="289" spans="1:23" ht="15" customHeight="1" x14ac:dyDescent="0.3">
      <c r="A289" t="s">
        <v>8</v>
      </c>
      <c r="B289">
        <v>343</v>
      </c>
      <c r="C289" t="s">
        <v>33</v>
      </c>
      <c r="D289" t="s">
        <v>286</v>
      </c>
      <c r="E289" t="s">
        <v>34</v>
      </c>
      <c r="F289" t="s">
        <v>287</v>
      </c>
      <c r="G289" t="s">
        <v>36</v>
      </c>
      <c r="H289" t="s">
        <v>421</v>
      </c>
      <c r="I289" t="s">
        <v>286</v>
      </c>
      <c r="J289" t="s">
        <v>1380</v>
      </c>
      <c r="K289" s="21" t="s">
        <v>1381</v>
      </c>
      <c r="L289" s="21" t="s">
        <v>290</v>
      </c>
      <c r="M289" t="s">
        <v>291</v>
      </c>
      <c r="N289" t="s">
        <v>42</v>
      </c>
      <c r="R289" t="s">
        <v>296</v>
      </c>
      <c r="S289" t="s">
        <v>1380</v>
      </c>
      <c r="T289" t="s">
        <v>1249</v>
      </c>
      <c r="U289" t="s">
        <v>1250</v>
      </c>
      <c r="V289" t="s">
        <v>1382</v>
      </c>
      <c r="W289" t="s">
        <v>1379</v>
      </c>
    </row>
    <row r="290" spans="1:23" ht="15" customHeight="1" x14ac:dyDescent="0.3">
      <c r="A290" t="s">
        <v>8</v>
      </c>
      <c r="B290">
        <v>343</v>
      </c>
      <c r="C290" t="s">
        <v>33</v>
      </c>
      <c r="D290" t="s">
        <v>286</v>
      </c>
      <c r="E290" t="s">
        <v>34</v>
      </c>
      <c r="F290" t="s">
        <v>287</v>
      </c>
      <c r="G290" t="s">
        <v>36</v>
      </c>
      <c r="H290" t="s">
        <v>421</v>
      </c>
      <c r="I290" t="s">
        <v>286</v>
      </c>
      <c r="J290" t="s">
        <v>1380</v>
      </c>
      <c r="K290" s="21" t="s">
        <v>1381</v>
      </c>
      <c r="L290" s="21" t="s">
        <v>290</v>
      </c>
      <c r="M290" t="s">
        <v>291</v>
      </c>
      <c r="N290" t="s">
        <v>42</v>
      </c>
      <c r="R290" t="s">
        <v>297</v>
      </c>
      <c r="S290" t="s">
        <v>1380</v>
      </c>
      <c r="T290" t="s">
        <v>1249</v>
      </c>
      <c r="U290" t="s">
        <v>1250</v>
      </c>
      <c r="V290" t="s">
        <v>1382</v>
      </c>
      <c r="W290" t="s">
        <v>1379</v>
      </c>
    </row>
    <row r="291" spans="1:23" ht="15" customHeight="1" x14ac:dyDescent="0.3">
      <c r="A291" t="s">
        <v>8</v>
      </c>
      <c r="B291">
        <v>344</v>
      </c>
      <c r="C291" t="s">
        <v>33</v>
      </c>
      <c r="D291" t="s">
        <v>306</v>
      </c>
      <c r="E291" t="s">
        <v>34</v>
      </c>
      <c r="F291" t="s">
        <v>307</v>
      </c>
      <c r="G291" t="s">
        <v>36</v>
      </c>
      <c r="H291" t="s">
        <v>37</v>
      </c>
      <c r="I291" t="s">
        <v>306</v>
      </c>
      <c r="J291" t="s">
        <v>308</v>
      </c>
      <c r="K291" t="s">
        <v>309</v>
      </c>
      <c r="L291" s="21" t="s">
        <v>310</v>
      </c>
      <c r="M291" t="s">
        <v>291</v>
      </c>
      <c r="N291" t="s">
        <v>42</v>
      </c>
      <c r="R291" t="s">
        <v>312</v>
      </c>
      <c r="S291" t="s">
        <v>308</v>
      </c>
      <c r="T291" t="s">
        <v>45</v>
      </c>
      <c r="U291" t="s">
        <v>46</v>
      </c>
      <c r="V291" t="s">
        <v>313</v>
      </c>
      <c r="W291" t="s">
        <v>314</v>
      </c>
    </row>
    <row r="292" spans="1:23" ht="15" customHeight="1" x14ac:dyDescent="0.3">
      <c r="A292" t="s">
        <v>8</v>
      </c>
      <c r="B292">
        <v>344</v>
      </c>
      <c r="C292" t="s">
        <v>33</v>
      </c>
      <c r="D292" t="s">
        <v>306</v>
      </c>
      <c r="E292" t="s">
        <v>34</v>
      </c>
      <c r="F292" t="s">
        <v>307</v>
      </c>
      <c r="G292" t="s">
        <v>36</v>
      </c>
      <c r="H292" t="s">
        <v>37</v>
      </c>
      <c r="I292" t="s">
        <v>306</v>
      </c>
      <c r="J292" t="s">
        <v>308</v>
      </c>
      <c r="K292" t="s">
        <v>309</v>
      </c>
      <c r="L292" s="21" t="s">
        <v>310</v>
      </c>
      <c r="M292" t="s">
        <v>291</v>
      </c>
      <c r="N292" t="s">
        <v>42</v>
      </c>
      <c r="R292" t="s">
        <v>315</v>
      </c>
      <c r="S292" t="s">
        <v>308</v>
      </c>
      <c r="T292" t="s">
        <v>45</v>
      </c>
      <c r="U292" t="s">
        <v>46</v>
      </c>
      <c r="V292" t="s">
        <v>313</v>
      </c>
      <c r="W292" t="s">
        <v>314</v>
      </c>
    </row>
    <row r="293" spans="1:23" ht="15" customHeight="1" x14ac:dyDescent="0.3">
      <c r="A293" t="s">
        <v>8</v>
      </c>
      <c r="B293">
        <v>344</v>
      </c>
      <c r="C293" t="s">
        <v>33</v>
      </c>
      <c r="D293" t="s">
        <v>306</v>
      </c>
      <c r="E293" t="s">
        <v>34</v>
      </c>
      <c r="F293" t="s">
        <v>307</v>
      </c>
      <c r="G293" t="s">
        <v>36</v>
      </c>
      <c r="H293" t="s">
        <v>37</v>
      </c>
      <c r="I293" t="s">
        <v>306</v>
      </c>
      <c r="J293" t="s">
        <v>308</v>
      </c>
      <c r="K293" t="s">
        <v>309</v>
      </c>
      <c r="L293" s="21" t="s">
        <v>310</v>
      </c>
      <c r="M293" t="s">
        <v>291</v>
      </c>
      <c r="N293" t="s">
        <v>42</v>
      </c>
      <c r="R293" t="s">
        <v>316</v>
      </c>
      <c r="S293" t="s">
        <v>308</v>
      </c>
      <c r="T293" t="s">
        <v>45</v>
      </c>
      <c r="U293" t="s">
        <v>46</v>
      </c>
      <c r="V293" t="s">
        <v>313</v>
      </c>
      <c r="W293" t="s">
        <v>314</v>
      </c>
    </row>
    <row r="294" spans="1:23" ht="15" customHeight="1" x14ac:dyDescent="0.3">
      <c r="A294" t="s">
        <v>8</v>
      </c>
      <c r="B294">
        <v>344</v>
      </c>
      <c r="C294" t="s">
        <v>33</v>
      </c>
      <c r="D294" t="s">
        <v>306</v>
      </c>
      <c r="E294" t="s">
        <v>34</v>
      </c>
      <c r="F294" t="s">
        <v>307</v>
      </c>
      <c r="G294" t="s">
        <v>36</v>
      </c>
      <c r="H294" t="s">
        <v>52</v>
      </c>
      <c r="I294" t="s">
        <v>306</v>
      </c>
      <c r="J294" t="s">
        <v>317</v>
      </c>
      <c r="K294" s="21" t="s">
        <v>318</v>
      </c>
      <c r="L294" s="21" t="s">
        <v>310</v>
      </c>
      <c r="M294" t="s">
        <v>291</v>
      </c>
      <c r="N294" t="s">
        <v>42</v>
      </c>
      <c r="R294" t="s">
        <v>312</v>
      </c>
      <c r="S294" t="s">
        <v>317</v>
      </c>
      <c r="T294" t="s">
        <v>45</v>
      </c>
      <c r="U294" t="s">
        <v>46</v>
      </c>
      <c r="V294" t="s">
        <v>319</v>
      </c>
      <c r="W294" t="s">
        <v>320</v>
      </c>
    </row>
    <row r="295" spans="1:23" ht="15" customHeight="1" x14ac:dyDescent="0.3">
      <c r="A295" t="s">
        <v>8</v>
      </c>
      <c r="B295">
        <v>344</v>
      </c>
      <c r="C295" t="s">
        <v>33</v>
      </c>
      <c r="D295" t="s">
        <v>306</v>
      </c>
      <c r="E295" t="s">
        <v>34</v>
      </c>
      <c r="F295" t="s">
        <v>307</v>
      </c>
      <c r="G295" t="s">
        <v>36</v>
      </c>
      <c r="H295" t="s">
        <v>52</v>
      </c>
      <c r="I295" t="s">
        <v>306</v>
      </c>
      <c r="J295" t="s">
        <v>317</v>
      </c>
      <c r="K295" s="21" t="s">
        <v>318</v>
      </c>
      <c r="L295" s="21" t="s">
        <v>310</v>
      </c>
      <c r="M295" t="s">
        <v>291</v>
      </c>
      <c r="N295" t="s">
        <v>42</v>
      </c>
      <c r="R295" t="s">
        <v>315</v>
      </c>
      <c r="S295" t="s">
        <v>317</v>
      </c>
      <c r="T295" t="s">
        <v>45</v>
      </c>
      <c r="U295" t="s">
        <v>46</v>
      </c>
      <c r="V295" t="s">
        <v>319</v>
      </c>
      <c r="W295" t="s">
        <v>320</v>
      </c>
    </row>
    <row r="296" spans="1:23" ht="15" customHeight="1" x14ac:dyDescent="0.3">
      <c r="A296" t="s">
        <v>8</v>
      </c>
      <c r="B296">
        <v>344</v>
      </c>
      <c r="C296" t="s">
        <v>33</v>
      </c>
      <c r="D296" t="s">
        <v>306</v>
      </c>
      <c r="E296" t="s">
        <v>34</v>
      </c>
      <c r="F296" t="s">
        <v>307</v>
      </c>
      <c r="G296" t="s">
        <v>36</v>
      </c>
      <c r="H296" t="s">
        <v>52</v>
      </c>
      <c r="I296" t="s">
        <v>306</v>
      </c>
      <c r="J296" t="s">
        <v>317</v>
      </c>
      <c r="K296" s="21" t="s">
        <v>318</v>
      </c>
      <c r="L296" s="21" t="s">
        <v>310</v>
      </c>
      <c r="M296" t="s">
        <v>291</v>
      </c>
      <c r="N296" t="s">
        <v>42</v>
      </c>
      <c r="R296" t="s">
        <v>316</v>
      </c>
      <c r="S296" t="s">
        <v>317</v>
      </c>
      <c r="T296" t="s">
        <v>45</v>
      </c>
      <c r="U296" t="s">
        <v>46</v>
      </c>
      <c r="V296" t="s">
        <v>319</v>
      </c>
      <c r="W296" t="s">
        <v>320</v>
      </c>
    </row>
    <row r="297" spans="1:23" ht="15" customHeight="1" x14ac:dyDescent="0.3">
      <c r="A297" t="s">
        <v>8</v>
      </c>
      <c r="B297">
        <v>344</v>
      </c>
      <c r="C297" t="s">
        <v>33</v>
      </c>
      <c r="D297" t="s">
        <v>306</v>
      </c>
      <c r="E297" t="s">
        <v>34</v>
      </c>
      <c r="F297" t="s">
        <v>307</v>
      </c>
      <c r="G297" t="s">
        <v>36</v>
      </c>
      <c r="H297" t="s">
        <v>57</v>
      </c>
      <c r="I297" t="s">
        <v>306</v>
      </c>
      <c r="J297" t="s">
        <v>321</v>
      </c>
      <c r="K297" s="21" t="s">
        <v>322</v>
      </c>
      <c r="L297" s="21" t="s">
        <v>310</v>
      </c>
      <c r="M297" t="s">
        <v>291</v>
      </c>
      <c r="N297" t="s">
        <v>42</v>
      </c>
      <c r="R297" t="s">
        <v>312</v>
      </c>
      <c r="S297" t="s">
        <v>321</v>
      </c>
      <c r="T297" t="s">
        <v>45</v>
      </c>
      <c r="U297" t="s">
        <v>46</v>
      </c>
      <c r="V297" t="s">
        <v>323</v>
      </c>
      <c r="W297" t="s">
        <v>324</v>
      </c>
    </row>
    <row r="298" spans="1:23" ht="15" customHeight="1" x14ac:dyDescent="0.3">
      <c r="A298" t="s">
        <v>8</v>
      </c>
      <c r="B298">
        <v>344</v>
      </c>
      <c r="C298" t="s">
        <v>33</v>
      </c>
      <c r="D298" t="s">
        <v>306</v>
      </c>
      <c r="E298" t="s">
        <v>34</v>
      </c>
      <c r="F298" t="s">
        <v>307</v>
      </c>
      <c r="G298" t="s">
        <v>36</v>
      </c>
      <c r="H298" t="s">
        <v>57</v>
      </c>
      <c r="I298" t="s">
        <v>306</v>
      </c>
      <c r="J298" t="s">
        <v>321</v>
      </c>
      <c r="K298" s="21" t="s">
        <v>322</v>
      </c>
      <c r="L298" s="21" t="s">
        <v>310</v>
      </c>
      <c r="M298" t="s">
        <v>291</v>
      </c>
      <c r="N298" t="s">
        <v>42</v>
      </c>
      <c r="R298" t="s">
        <v>315</v>
      </c>
      <c r="S298" t="s">
        <v>321</v>
      </c>
      <c r="T298" t="s">
        <v>45</v>
      </c>
      <c r="U298" t="s">
        <v>46</v>
      </c>
      <c r="V298" t="s">
        <v>323</v>
      </c>
      <c r="W298" t="s">
        <v>324</v>
      </c>
    </row>
    <row r="299" spans="1:23" ht="15" customHeight="1" x14ac:dyDescent="0.3">
      <c r="A299" t="s">
        <v>8</v>
      </c>
      <c r="B299">
        <v>344</v>
      </c>
      <c r="C299" t="s">
        <v>33</v>
      </c>
      <c r="D299" t="s">
        <v>306</v>
      </c>
      <c r="E299" t="s">
        <v>34</v>
      </c>
      <c r="F299" t="s">
        <v>307</v>
      </c>
      <c r="G299" t="s">
        <v>36</v>
      </c>
      <c r="H299" t="s">
        <v>57</v>
      </c>
      <c r="I299" t="s">
        <v>306</v>
      </c>
      <c r="J299" t="s">
        <v>321</v>
      </c>
      <c r="K299" s="21" t="s">
        <v>322</v>
      </c>
      <c r="L299" s="21" t="s">
        <v>310</v>
      </c>
      <c r="M299" t="s">
        <v>291</v>
      </c>
      <c r="N299" t="s">
        <v>42</v>
      </c>
      <c r="R299" t="s">
        <v>316</v>
      </c>
      <c r="S299" t="s">
        <v>321</v>
      </c>
      <c r="T299" t="s">
        <v>45</v>
      </c>
      <c r="U299" t="s">
        <v>46</v>
      </c>
      <c r="V299" t="s">
        <v>323</v>
      </c>
      <c r="W299" t="s">
        <v>324</v>
      </c>
    </row>
    <row r="300" spans="1:23" ht="15" customHeight="1" x14ac:dyDescent="0.3">
      <c r="A300" t="s">
        <v>8</v>
      </c>
      <c r="B300">
        <v>344</v>
      </c>
      <c r="C300" t="s">
        <v>33</v>
      </c>
      <c r="D300" t="s">
        <v>306</v>
      </c>
      <c r="E300" t="s">
        <v>34</v>
      </c>
      <c r="F300" t="s">
        <v>307</v>
      </c>
      <c r="G300" t="s">
        <v>36</v>
      </c>
      <c r="H300" t="s">
        <v>49</v>
      </c>
      <c r="I300" t="s">
        <v>306</v>
      </c>
      <c r="J300" t="s">
        <v>325</v>
      </c>
      <c r="K300" s="21" t="s">
        <v>326</v>
      </c>
      <c r="L300" s="21" t="s">
        <v>310</v>
      </c>
      <c r="M300" t="s">
        <v>291</v>
      </c>
      <c r="N300" t="s">
        <v>42</v>
      </c>
      <c r="R300" t="s">
        <v>312</v>
      </c>
      <c r="S300" t="s">
        <v>325</v>
      </c>
      <c r="T300" t="s">
        <v>45</v>
      </c>
      <c r="U300" t="s">
        <v>46</v>
      </c>
      <c r="V300" t="s">
        <v>327</v>
      </c>
      <c r="W300" t="s">
        <v>328</v>
      </c>
    </row>
    <row r="301" spans="1:23" ht="15" customHeight="1" x14ac:dyDescent="0.3">
      <c r="A301" t="s">
        <v>8</v>
      </c>
      <c r="B301">
        <v>344</v>
      </c>
      <c r="C301" t="s">
        <v>33</v>
      </c>
      <c r="D301" t="s">
        <v>306</v>
      </c>
      <c r="E301" t="s">
        <v>34</v>
      </c>
      <c r="F301" t="s">
        <v>307</v>
      </c>
      <c r="G301" t="s">
        <v>36</v>
      </c>
      <c r="H301" t="s">
        <v>49</v>
      </c>
      <c r="I301" t="s">
        <v>306</v>
      </c>
      <c r="J301" t="s">
        <v>325</v>
      </c>
      <c r="K301" s="21" t="s">
        <v>326</v>
      </c>
      <c r="L301" s="21" t="s">
        <v>310</v>
      </c>
      <c r="M301" t="s">
        <v>291</v>
      </c>
      <c r="N301" t="s">
        <v>42</v>
      </c>
      <c r="R301" t="s">
        <v>315</v>
      </c>
      <c r="S301" t="s">
        <v>325</v>
      </c>
      <c r="T301" t="s">
        <v>45</v>
      </c>
      <c r="U301" t="s">
        <v>46</v>
      </c>
      <c r="V301" t="s">
        <v>327</v>
      </c>
      <c r="W301" t="s">
        <v>328</v>
      </c>
    </row>
    <row r="302" spans="1:23" ht="15" customHeight="1" x14ac:dyDescent="0.3">
      <c r="A302" t="s">
        <v>8</v>
      </c>
      <c r="B302">
        <v>344</v>
      </c>
      <c r="C302" t="s">
        <v>33</v>
      </c>
      <c r="D302" t="s">
        <v>306</v>
      </c>
      <c r="E302" t="s">
        <v>34</v>
      </c>
      <c r="F302" t="s">
        <v>307</v>
      </c>
      <c r="G302" t="s">
        <v>36</v>
      </c>
      <c r="H302" t="s">
        <v>49</v>
      </c>
      <c r="I302" t="s">
        <v>306</v>
      </c>
      <c r="J302" t="s">
        <v>325</v>
      </c>
      <c r="K302" s="21" t="s">
        <v>326</v>
      </c>
      <c r="L302" s="21" t="s">
        <v>310</v>
      </c>
      <c r="M302" t="s">
        <v>291</v>
      </c>
      <c r="N302" t="s">
        <v>42</v>
      </c>
      <c r="R302" t="s">
        <v>316</v>
      </c>
      <c r="S302" t="s">
        <v>325</v>
      </c>
      <c r="T302" t="s">
        <v>45</v>
      </c>
      <c r="U302" t="s">
        <v>46</v>
      </c>
      <c r="V302" t="s">
        <v>327</v>
      </c>
      <c r="W302" t="s">
        <v>328</v>
      </c>
    </row>
    <row r="303" spans="1:23" ht="15" customHeight="1" x14ac:dyDescent="0.3">
      <c r="A303" t="s">
        <v>8</v>
      </c>
      <c r="B303">
        <v>344</v>
      </c>
      <c r="C303" t="s">
        <v>33</v>
      </c>
      <c r="D303" t="s">
        <v>306</v>
      </c>
      <c r="E303" t="s">
        <v>34</v>
      </c>
      <c r="F303" t="s">
        <v>307</v>
      </c>
      <c r="G303" t="s">
        <v>36</v>
      </c>
      <c r="H303" t="s">
        <v>87</v>
      </c>
      <c r="I303" t="s">
        <v>306</v>
      </c>
      <c r="J303" t="s">
        <v>329</v>
      </c>
      <c r="K303" s="21" t="s">
        <v>330</v>
      </c>
      <c r="L303" s="21" t="s">
        <v>310</v>
      </c>
      <c r="M303" t="s">
        <v>291</v>
      </c>
      <c r="N303" t="s">
        <v>42</v>
      </c>
      <c r="R303" t="s">
        <v>312</v>
      </c>
      <c r="S303" t="s">
        <v>329</v>
      </c>
      <c r="T303" t="s">
        <v>45</v>
      </c>
      <c r="U303" t="s">
        <v>46</v>
      </c>
      <c r="V303" t="s">
        <v>331</v>
      </c>
      <c r="W303" t="s">
        <v>332</v>
      </c>
    </row>
    <row r="304" spans="1:23" ht="15" customHeight="1" x14ac:dyDescent="0.3">
      <c r="A304" t="s">
        <v>8</v>
      </c>
      <c r="B304">
        <v>344</v>
      </c>
      <c r="C304" t="s">
        <v>33</v>
      </c>
      <c r="D304" t="s">
        <v>306</v>
      </c>
      <c r="E304" t="s">
        <v>34</v>
      </c>
      <c r="F304" t="s">
        <v>307</v>
      </c>
      <c r="G304" t="s">
        <v>36</v>
      </c>
      <c r="H304" t="s">
        <v>87</v>
      </c>
      <c r="I304" t="s">
        <v>306</v>
      </c>
      <c r="J304" t="s">
        <v>329</v>
      </c>
      <c r="K304" s="21" t="s">
        <v>330</v>
      </c>
      <c r="L304" s="21" t="s">
        <v>310</v>
      </c>
      <c r="M304" t="s">
        <v>291</v>
      </c>
      <c r="N304" t="s">
        <v>42</v>
      </c>
      <c r="R304" t="s">
        <v>315</v>
      </c>
      <c r="S304" t="s">
        <v>329</v>
      </c>
      <c r="T304" t="s">
        <v>45</v>
      </c>
      <c r="U304" t="s">
        <v>46</v>
      </c>
      <c r="V304" t="s">
        <v>331</v>
      </c>
      <c r="W304" t="s">
        <v>332</v>
      </c>
    </row>
    <row r="305" spans="1:23" ht="15" customHeight="1" x14ac:dyDescent="0.3">
      <c r="A305" t="s">
        <v>8</v>
      </c>
      <c r="B305">
        <v>344</v>
      </c>
      <c r="C305" t="s">
        <v>33</v>
      </c>
      <c r="D305" t="s">
        <v>306</v>
      </c>
      <c r="E305" t="s">
        <v>34</v>
      </c>
      <c r="F305" t="s">
        <v>307</v>
      </c>
      <c r="G305" t="s">
        <v>36</v>
      </c>
      <c r="H305" t="s">
        <v>87</v>
      </c>
      <c r="I305" t="s">
        <v>306</v>
      </c>
      <c r="J305" t="s">
        <v>329</v>
      </c>
      <c r="K305" s="21" t="s">
        <v>330</v>
      </c>
      <c r="L305" s="21" t="s">
        <v>310</v>
      </c>
      <c r="M305" t="s">
        <v>291</v>
      </c>
      <c r="N305" t="s">
        <v>42</v>
      </c>
      <c r="R305" t="s">
        <v>316</v>
      </c>
      <c r="S305" t="s">
        <v>329</v>
      </c>
      <c r="T305" t="s">
        <v>45</v>
      </c>
      <c r="U305" t="s">
        <v>46</v>
      </c>
      <c r="V305" t="s">
        <v>331</v>
      </c>
      <c r="W305" t="s">
        <v>332</v>
      </c>
    </row>
    <row r="306" spans="1:23" ht="15" customHeight="1" x14ac:dyDescent="0.3">
      <c r="A306" t="s">
        <v>8</v>
      </c>
      <c r="B306">
        <v>344</v>
      </c>
      <c r="C306" t="s">
        <v>33</v>
      </c>
      <c r="D306" t="s">
        <v>306</v>
      </c>
      <c r="E306" t="s">
        <v>34</v>
      </c>
      <c r="F306" t="s">
        <v>307</v>
      </c>
      <c r="G306" t="s">
        <v>36</v>
      </c>
      <c r="H306" t="s">
        <v>421</v>
      </c>
      <c r="I306" t="s">
        <v>306</v>
      </c>
      <c r="J306" t="s">
        <v>1383</v>
      </c>
      <c r="K306" s="21" t="s">
        <v>1384</v>
      </c>
      <c r="L306" s="21" t="s">
        <v>310</v>
      </c>
      <c r="M306" t="s">
        <v>291</v>
      </c>
      <c r="N306" t="s">
        <v>42</v>
      </c>
      <c r="R306" t="s">
        <v>312</v>
      </c>
      <c r="S306" t="s">
        <v>1383</v>
      </c>
      <c r="T306" t="s">
        <v>45</v>
      </c>
      <c r="U306" t="s">
        <v>1257</v>
      </c>
      <c r="V306" t="s">
        <v>313</v>
      </c>
      <c r="W306" t="s">
        <v>1385</v>
      </c>
    </row>
    <row r="307" spans="1:23" ht="15" customHeight="1" x14ac:dyDescent="0.3">
      <c r="A307" t="s">
        <v>8</v>
      </c>
      <c r="B307">
        <v>344</v>
      </c>
      <c r="C307" t="s">
        <v>33</v>
      </c>
      <c r="D307" t="s">
        <v>306</v>
      </c>
      <c r="E307" t="s">
        <v>34</v>
      </c>
      <c r="F307" t="s">
        <v>307</v>
      </c>
      <c r="G307" t="s">
        <v>36</v>
      </c>
      <c r="H307" t="s">
        <v>421</v>
      </c>
      <c r="I307" t="s">
        <v>306</v>
      </c>
      <c r="J307" t="s">
        <v>1383</v>
      </c>
      <c r="K307" s="21" t="s">
        <v>1384</v>
      </c>
      <c r="L307" s="21" t="s">
        <v>310</v>
      </c>
      <c r="M307" t="s">
        <v>291</v>
      </c>
      <c r="N307" t="s">
        <v>42</v>
      </c>
      <c r="R307" t="s">
        <v>315</v>
      </c>
      <c r="S307" t="s">
        <v>1383</v>
      </c>
      <c r="T307" t="s">
        <v>45</v>
      </c>
      <c r="U307" t="s">
        <v>1257</v>
      </c>
      <c r="V307" t="s">
        <v>313</v>
      </c>
      <c r="W307" t="s">
        <v>1385</v>
      </c>
    </row>
    <row r="308" spans="1:23" ht="15" customHeight="1" x14ac:dyDescent="0.3">
      <c r="A308" t="s">
        <v>8</v>
      </c>
      <c r="B308">
        <v>344</v>
      </c>
      <c r="C308" t="s">
        <v>33</v>
      </c>
      <c r="D308" t="s">
        <v>306</v>
      </c>
      <c r="E308" t="s">
        <v>34</v>
      </c>
      <c r="F308" t="s">
        <v>307</v>
      </c>
      <c r="G308" t="s">
        <v>36</v>
      </c>
      <c r="H308" t="s">
        <v>421</v>
      </c>
      <c r="I308" t="s">
        <v>306</v>
      </c>
      <c r="J308" t="s">
        <v>1383</v>
      </c>
      <c r="K308" s="21" t="s">
        <v>1384</v>
      </c>
      <c r="L308" s="21" t="s">
        <v>310</v>
      </c>
      <c r="M308" t="s">
        <v>291</v>
      </c>
      <c r="N308" t="s">
        <v>42</v>
      </c>
      <c r="R308" t="s">
        <v>316</v>
      </c>
      <c r="S308" t="s">
        <v>1383</v>
      </c>
      <c r="T308" t="s">
        <v>45</v>
      </c>
      <c r="U308" t="s">
        <v>1257</v>
      </c>
      <c r="V308" t="s">
        <v>313</v>
      </c>
      <c r="W308" t="s">
        <v>1385</v>
      </c>
    </row>
    <row r="309" spans="1:23" ht="15" customHeight="1" x14ac:dyDescent="0.3">
      <c r="A309" t="s">
        <v>8</v>
      </c>
      <c r="B309">
        <v>344</v>
      </c>
      <c r="C309" t="s">
        <v>33</v>
      </c>
      <c r="D309" t="s">
        <v>306</v>
      </c>
      <c r="E309" t="s">
        <v>34</v>
      </c>
      <c r="F309" t="s">
        <v>307</v>
      </c>
      <c r="G309" t="s">
        <v>36</v>
      </c>
      <c r="H309" t="s">
        <v>182</v>
      </c>
      <c r="I309" t="s">
        <v>306</v>
      </c>
      <c r="J309" t="s">
        <v>333</v>
      </c>
      <c r="K309" s="21" t="s">
        <v>334</v>
      </c>
      <c r="L309" s="21" t="s">
        <v>310</v>
      </c>
      <c r="M309" t="s">
        <v>291</v>
      </c>
      <c r="N309" t="s">
        <v>42</v>
      </c>
      <c r="R309" t="s">
        <v>312</v>
      </c>
      <c r="S309" t="s">
        <v>333</v>
      </c>
      <c r="T309" t="s">
        <v>45</v>
      </c>
      <c r="U309" t="s">
        <v>90</v>
      </c>
      <c r="V309" t="s">
        <v>313</v>
      </c>
      <c r="W309" t="s">
        <v>335</v>
      </c>
    </row>
    <row r="310" spans="1:23" ht="15" customHeight="1" x14ac:dyDescent="0.3">
      <c r="A310" t="s">
        <v>8</v>
      </c>
      <c r="B310">
        <v>344</v>
      </c>
      <c r="C310" t="s">
        <v>33</v>
      </c>
      <c r="D310" t="s">
        <v>306</v>
      </c>
      <c r="E310" t="s">
        <v>34</v>
      </c>
      <c r="F310" t="s">
        <v>307</v>
      </c>
      <c r="G310" t="s">
        <v>36</v>
      </c>
      <c r="H310" t="s">
        <v>182</v>
      </c>
      <c r="I310" t="s">
        <v>306</v>
      </c>
      <c r="J310" t="s">
        <v>333</v>
      </c>
      <c r="K310" s="21" t="s">
        <v>334</v>
      </c>
      <c r="L310" s="21" t="s">
        <v>310</v>
      </c>
      <c r="M310" t="s">
        <v>291</v>
      </c>
      <c r="N310" t="s">
        <v>42</v>
      </c>
      <c r="R310" t="s">
        <v>315</v>
      </c>
      <c r="S310" t="s">
        <v>333</v>
      </c>
      <c r="T310" t="s">
        <v>45</v>
      </c>
      <c r="U310" t="s">
        <v>90</v>
      </c>
      <c r="V310" t="s">
        <v>313</v>
      </c>
      <c r="W310" t="s">
        <v>335</v>
      </c>
    </row>
    <row r="311" spans="1:23" ht="15" customHeight="1" x14ac:dyDescent="0.3">
      <c r="A311" t="s">
        <v>8</v>
      </c>
      <c r="B311">
        <v>344</v>
      </c>
      <c r="C311" t="s">
        <v>33</v>
      </c>
      <c r="D311" t="s">
        <v>306</v>
      </c>
      <c r="E311" t="s">
        <v>34</v>
      </c>
      <c r="F311" t="s">
        <v>307</v>
      </c>
      <c r="G311" t="s">
        <v>36</v>
      </c>
      <c r="H311" t="s">
        <v>182</v>
      </c>
      <c r="I311" t="s">
        <v>306</v>
      </c>
      <c r="J311" t="s">
        <v>333</v>
      </c>
      <c r="K311" s="21" t="s">
        <v>334</v>
      </c>
      <c r="L311" s="21" t="s">
        <v>310</v>
      </c>
      <c r="M311" t="s">
        <v>291</v>
      </c>
      <c r="N311" t="s">
        <v>42</v>
      </c>
      <c r="R311" t="s">
        <v>316</v>
      </c>
      <c r="S311" t="s">
        <v>333</v>
      </c>
      <c r="T311" t="s">
        <v>45</v>
      </c>
      <c r="U311" t="s">
        <v>90</v>
      </c>
      <c r="V311" t="s">
        <v>313</v>
      </c>
      <c r="W311" t="s">
        <v>335</v>
      </c>
    </row>
    <row r="312" spans="1:23" ht="15" customHeight="1" x14ac:dyDescent="0.3">
      <c r="A312" t="s">
        <v>8</v>
      </c>
      <c r="B312">
        <v>344</v>
      </c>
      <c r="C312" t="s">
        <v>33</v>
      </c>
      <c r="D312" t="s">
        <v>306</v>
      </c>
      <c r="E312" t="s">
        <v>34</v>
      </c>
      <c r="F312" t="s">
        <v>307</v>
      </c>
      <c r="G312" t="s">
        <v>36</v>
      </c>
      <c r="H312" t="s">
        <v>1242</v>
      </c>
      <c r="I312" t="s">
        <v>306</v>
      </c>
      <c r="J312" t="s">
        <v>1386</v>
      </c>
      <c r="K312" s="21" t="s">
        <v>1387</v>
      </c>
      <c r="L312" s="21" t="s">
        <v>310</v>
      </c>
      <c r="M312" t="s">
        <v>291</v>
      </c>
      <c r="N312" t="s">
        <v>42</v>
      </c>
      <c r="R312" t="s">
        <v>312</v>
      </c>
      <c r="S312" t="s">
        <v>1386</v>
      </c>
      <c r="T312" t="s">
        <v>1249</v>
      </c>
      <c r="U312" t="s">
        <v>1282</v>
      </c>
      <c r="V312" t="s">
        <v>313</v>
      </c>
      <c r="W312" t="s">
        <v>1388</v>
      </c>
    </row>
    <row r="313" spans="1:23" ht="15" customHeight="1" x14ac:dyDescent="0.3">
      <c r="A313" t="s">
        <v>8</v>
      </c>
      <c r="B313">
        <v>344</v>
      </c>
      <c r="C313" t="s">
        <v>33</v>
      </c>
      <c r="D313" t="s">
        <v>306</v>
      </c>
      <c r="E313" t="s">
        <v>34</v>
      </c>
      <c r="F313" t="s">
        <v>307</v>
      </c>
      <c r="G313" t="s">
        <v>36</v>
      </c>
      <c r="H313" t="s">
        <v>1242</v>
      </c>
      <c r="I313" t="s">
        <v>306</v>
      </c>
      <c r="J313" t="s">
        <v>1386</v>
      </c>
      <c r="K313" s="21" t="s">
        <v>1387</v>
      </c>
      <c r="L313" s="21" t="s">
        <v>310</v>
      </c>
      <c r="M313" t="s">
        <v>291</v>
      </c>
      <c r="N313" t="s">
        <v>42</v>
      </c>
      <c r="R313" t="s">
        <v>315</v>
      </c>
      <c r="S313" t="s">
        <v>1386</v>
      </c>
      <c r="T313" t="s">
        <v>1249</v>
      </c>
      <c r="U313" t="s">
        <v>1282</v>
      </c>
      <c r="V313" t="s">
        <v>313</v>
      </c>
      <c r="W313" t="s">
        <v>1388</v>
      </c>
    </row>
    <row r="314" spans="1:23" ht="15" customHeight="1" x14ac:dyDescent="0.3">
      <c r="A314" t="s">
        <v>8</v>
      </c>
      <c r="B314">
        <v>344</v>
      </c>
      <c r="C314" t="s">
        <v>33</v>
      </c>
      <c r="D314" t="s">
        <v>306</v>
      </c>
      <c r="E314" t="s">
        <v>34</v>
      </c>
      <c r="F314" t="s">
        <v>307</v>
      </c>
      <c r="G314" t="s">
        <v>36</v>
      </c>
      <c r="H314" t="s">
        <v>1242</v>
      </c>
      <c r="I314" t="s">
        <v>306</v>
      </c>
      <c r="J314" t="s">
        <v>1386</v>
      </c>
      <c r="K314" s="21" t="s">
        <v>1387</v>
      </c>
      <c r="L314" s="21" t="s">
        <v>310</v>
      </c>
      <c r="M314" t="s">
        <v>291</v>
      </c>
      <c r="N314" t="s">
        <v>42</v>
      </c>
      <c r="R314" t="s">
        <v>316</v>
      </c>
      <c r="S314" t="s">
        <v>1386</v>
      </c>
      <c r="T314" t="s">
        <v>1249</v>
      </c>
      <c r="U314" t="s">
        <v>1282</v>
      </c>
      <c r="V314" t="s">
        <v>313</v>
      </c>
      <c r="W314" t="s">
        <v>1388</v>
      </c>
    </row>
    <row r="315" spans="1:23" ht="15" customHeight="1" x14ac:dyDescent="0.3">
      <c r="A315" t="s">
        <v>8</v>
      </c>
      <c r="B315">
        <v>345</v>
      </c>
      <c r="C315" t="s">
        <v>33</v>
      </c>
      <c r="D315" t="s">
        <v>336</v>
      </c>
      <c r="E315" t="s">
        <v>34</v>
      </c>
      <c r="F315" t="s">
        <v>337</v>
      </c>
      <c r="G315" t="s">
        <v>36</v>
      </c>
      <c r="H315" t="s">
        <v>37</v>
      </c>
      <c r="I315" t="s">
        <v>336</v>
      </c>
      <c r="J315" t="s">
        <v>1389</v>
      </c>
      <c r="K315" t="s">
        <v>1390</v>
      </c>
      <c r="L315" s="21" t="s">
        <v>340</v>
      </c>
      <c r="M315" t="s">
        <v>341</v>
      </c>
      <c r="N315" t="s">
        <v>159</v>
      </c>
      <c r="R315" t="s">
        <v>343</v>
      </c>
      <c r="S315" t="s">
        <v>1389</v>
      </c>
      <c r="T315" t="s">
        <v>45</v>
      </c>
      <c r="U315" t="s">
        <v>1257</v>
      </c>
      <c r="V315" t="s">
        <v>344</v>
      </c>
      <c r="W315" t="s">
        <v>1391</v>
      </c>
    </row>
    <row r="316" spans="1:23" ht="15" customHeight="1" x14ac:dyDescent="0.3">
      <c r="A316" t="s">
        <v>8</v>
      </c>
      <c r="B316">
        <v>345</v>
      </c>
      <c r="C316" t="s">
        <v>33</v>
      </c>
      <c r="D316" t="s">
        <v>336</v>
      </c>
      <c r="E316" t="s">
        <v>34</v>
      </c>
      <c r="F316" t="s">
        <v>337</v>
      </c>
      <c r="G316" t="s">
        <v>36</v>
      </c>
      <c r="H316" t="s">
        <v>37</v>
      </c>
      <c r="I316" t="s">
        <v>336</v>
      </c>
      <c r="J316" t="s">
        <v>1389</v>
      </c>
      <c r="K316" t="s">
        <v>1390</v>
      </c>
      <c r="L316" s="21" t="s">
        <v>340</v>
      </c>
      <c r="M316" t="s">
        <v>341</v>
      </c>
      <c r="N316" t="s">
        <v>159</v>
      </c>
      <c r="R316" t="s">
        <v>346</v>
      </c>
      <c r="S316" t="s">
        <v>1389</v>
      </c>
      <c r="T316" t="s">
        <v>45</v>
      </c>
      <c r="U316" t="s">
        <v>1257</v>
      </c>
      <c r="V316" t="s">
        <v>344</v>
      </c>
      <c r="W316" t="s">
        <v>1391</v>
      </c>
    </row>
    <row r="317" spans="1:23" ht="15" customHeight="1" x14ac:dyDescent="0.3">
      <c r="A317" t="s">
        <v>8</v>
      </c>
      <c r="B317">
        <v>345</v>
      </c>
      <c r="C317" t="s">
        <v>33</v>
      </c>
      <c r="D317" t="s">
        <v>336</v>
      </c>
      <c r="E317" t="s">
        <v>34</v>
      </c>
      <c r="F317" t="s">
        <v>337</v>
      </c>
      <c r="G317" t="s">
        <v>36</v>
      </c>
      <c r="H317" t="s">
        <v>37</v>
      </c>
      <c r="I317" t="s">
        <v>336</v>
      </c>
      <c r="J317" t="s">
        <v>1389</v>
      </c>
      <c r="K317" t="s">
        <v>1390</v>
      </c>
      <c r="L317" s="21" t="s">
        <v>340</v>
      </c>
      <c r="M317" t="s">
        <v>341</v>
      </c>
      <c r="N317" t="s">
        <v>159</v>
      </c>
      <c r="R317" t="s">
        <v>347</v>
      </c>
      <c r="S317" t="s">
        <v>1389</v>
      </c>
      <c r="T317" t="s">
        <v>45</v>
      </c>
      <c r="U317" t="s">
        <v>1257</v>
      </c>
      <c r="V317" t="s">
        <v>344</v>
      </c>
      <c r="W317" t="s">
        <v>1391</v>
      </c>
    </row>
    <row r="318" spans="1:23" ht="15" customHeight="1" x14ac:dyDescent="0.3">
      <c r="A318" t="s">
        <v>8</v>
      </c>
      <c r="B318">
        <v>345</v>
      </c>
      <c r="C318" t="s">
        <v>33</v>
      </c>
      <c r="D318" t="s">
        <v>336</v>
      </c>
      <c r="E318" t="s">
        <v>34</v>
      </c>
      <c r="F318" t="s">
        <v>337</v>
      </c>
      <c r="G318" t="s">
        <v>36</v>
      </c>
      <c r="H318" t="s">
        <v>52</v>
      </c>
      <c r="I318" t="s">
        <v>336</v>
      </c>
      <c r="J318" t="s">
        <v>338</v>
      </c>
      <c r="K318" s="21" t="s">
        <v>339</v>
      </c>
      <c r="L318" s="21" t="s">
        <v>340</v>
      </c>
      <c r="M318" t="s">
        <v>341</v>
      </c>
      <c r="N318" t="s">
        <v>159</v>
      </c>
      <c r="R318" t="s">
        <v>343</v>
      </c>
      <c r="S318" t="s">
        <v>338</v>
      </c>
      <c r="T318" t="s">
        <v>45</v>
      </c>
      <c r="U318" t="s">
        <v>90</v>
      </c>
      <c r="V318" t="s">
        <v>344</v>
      </c>
      <c r="W318" t="s">
        <v>345</v>
      </c>
    </row>
    <row r="319" spans="1:23" ht="15" customHeight="1" x14ac:dyDescent="0.3">
      <c r="A319" t="s">
        <v>8</v>
      </c>
      <c r="B319">
        <v>345</v>
      </c>
      <c r="C319" t="s">
        <v>33</v>
      </c>
      <c r="D319" t="s">
        <v>336</v>
      </c>
      <c r="E319" t="s">
        <v>34</v>
      </c>
      <c r="F319" t="s">
        <v>337</v>
      </c>
      <c r="G319" t="s">
        <v>36</v>
      </c>
      <c r="H319" t="s">
        <v>52</v>
      </c>
      <c r="I319" t="s">
        <v>336</v>
      </c>
      <c r="J319" t="s">
        <v>338</v>
      </c>
      <c r="K319" s="21" t="s">
        <v>339</v>
      </c>
      <c r="L319" s="21" t="s">
        <v>340</v>
      </c>
      <c r="M319" t="s">
        <v>341</v>
      </c>
      <c r="N319" t="s">
        <v>159</v>
      </c>
      <c r="R319" t="s">
        <v>346</v>
      </c>
      <c r="S319" t="s">
        <v>338</v>
      </c>
      <c r="T319" t="s">
        <v>45</v>
      </c>
      <c r="U319" t="s">
        <v>90</v>
      </c>
      <c r="V319" t="s">
        <v>344</v>
      </c>
      <c r="W319" t="s">
        <v>345</v>
      </c>
    </row>
    <row r="320" spans="1:23" ht="15" customHeight="1" x14ac:dyDescent="0.3">
      <c r="A320" t="s">
        <v>8</v>
      </c>
      <c r="B320">
        <v>345</v>
      </c>
      <c r="C320" t="s">
        <v>33</v>
      </c>
      <c r="D320" t="s">
        <v>336</v>
      </c>
      <c r="E320" t="s">
        <v>34</v>
      </c>
      <c r="F320" t="s">
        <v>337</v>
      </c>
      <c r="G320" t="s">
        <v>36</v>
      </c>
      <c r="H320" t="s">
        <v>52</v>
      </c>
      <c r="I320" t="s">
        <v>336</v>
      </c>
      <c r="J320" t="s">
        <v>338</v>
      </c>
      <c r="K320" s="21" t="s">
        <v>339</v>
      </c>
      <c r="L320" s="21" t="s">
        <v>340</v>
      </c>
      <c r="M320" t="s">
        <v>341</v>
      </c>
      <c r="N320" t="s">
        <v>159</v>
      </c>
      <c r="R320" t="s">
        <v>347</v>
      </c>
      <c r="S320" t="s">
        <v>338</v>
      </c>
      <c r="T320" t="s">
        <v>45</v>
      </c>
      <c r="U320" t="s">
        <v>90</v>
      </c>
      <c r="V320" t="s">
        <v>344</v>
      </c>
      <c r="W320" t="s">
        <v>345</v>
      </c>
    </row>
    <row r="321" spans="1:23" ht="15" customHeight="1" x14ac:dyDescent="0.3">
      <c r="A321" t="s">
        <v>8</v>
      </c>
      <c r="B321">
        <v>345</v>
      </c>
      <c r="C321" t="s">
        <v>33</v>
      </c>
      <c r="D321" t="s">
        <v>336</v>
      </c>
      <c r="E321" t="s">
        <v>34</v>
      </c>
      <c r="F321" t="s">
        <v>337</v>
      </c>
      <c r="G321" t="s">
        <v>36</v>
      </c>
      <c r="H321" t="s">
        <v>57</v>
      </c>
      <c r="I321" t="s">
        <v>336</v>
      </c>
      <c r="J321" t="s">
        <v>1392</v>
      </c>
      <c r="K321" s="21" t="s">
        <v>1393</v>
      </c>
      <c r="L321" s="21" t="s">
        <v>340</v>
      </c>
      <c r="M321" t="s">
        <v>341</v>
      </c>
      <c r="N321" t="s">
        <v>159</v>
      </c>
      <c r="R321" t="s">
        <v>343</v>
      </c>
      <c r="S321" t="s">
        <v>1392</v>
      </c>
      <c r="T321" t="s">
        <v>1231</v>
      </c>
      <c r="U321" t="s">
        <v>1232</v>
      </c>
      <c r="V321" t="s">
        <v>1394</v>
      </c>
      <c r="W321" t="s">
        <v>1395</v>
      </c>
    </row>
    <row r="322" spans="1:23" ht="15" customHeight="1" x14ac:dyDescent="0.3">
      <c r="A322" t="s">
        <v>8</v>
      </c>
      <c r="B322">
        <v>345</v>
      </c>
      <c r="C322" t="s">
        <v>33</v>
      </c>
      <c r="D322" t="s">
        <v>336</v>
      </c>
      <c r="E322" t="s">
        <v>34</v>
      </c>
      <c r="F322" t="s">
        <v>337</v>
      </c>
      <c r="G322" t="s">
        <v>36</v>
      </c>
      <c r="H322" t="s">
        <v>57</v>
      </c>
      <c r="I322" t="s">
        <v>336</v>
      </c>
      <c r="J322" t="s">
        <v>1392</v>
      </c>
      <c r="K322" s="21" t="s">
        <v>1393</v>
      </c>
      <c r="L322" s="21" t="s">
        <v>340</v>
      </c>
      <c r="M322" t="s">
        <v>341</v>
      </c>
      <c r="N322" t="s">
        <v>159</v>
      </c>
      <c r="R322" t="s">
        <v>346</v>
      </c>
      <c r="S322" t="s">
        <v>1392</v>
      </c>
      <c r="T322" t="s">
        <v>1231</v>
      </c>
      <c r="U322" t="s">
        <v>1232</v>
      </c>
      <c r="V322" t="s">
        <v>1394</v>
      </c>
      <c r="W322" t="s">
        <v>1395</v>
      </c>
    </row>
    <row r="323" spans="1:23" ht="15" customHeight="1" x14ac:dyDescent="0.3">
      <c r="A323" t="s">
        <v>8</v>
      </c>
      <c r="B323">
        <v>345</v>
      </c>
      <c r="C323" t="s">
        <v>33</v>
      </c>
      <c r="D323" t="s">
        <v>336</v>
      </c>
      <c r="E323" t="s">
        <v>34</v>
      </c>
      <c r="F323" t="s">
        <v>337</v>
      </c>
      <c r="G323" t="s">
        <v>36</v>
      </c>
      <c r="H323" t="s">
        <v>57</v>
      </c>
      <c r="I323" t="s">
        <v>336</v>
      </c>
      <c r="J323" t="s">
        <v>1392</v>
      </c>
      <c r="K323" s="21" t="s">
        <v>1393</v>
      </c>
      <c r="L323" s="21" t="s">
        <v>340</v>
      </c>
      <c r="M323" t="s">
        <v>341</v>
      </c>
      <c r="N323" t="s">
        <v>159</v>
      </c>
      <c r="R323" t="s">
        <v>347</v>
      </c>
      <c r="S323" t="s">
        <v>1392</v>
      </c>
      <c r="T323" t="s">
        <v>1231</v>
      </c>
      <c r="U323" t="s">
        <v>1232</v>
      </c>
      <c r="V323" t="s">
        <v>1394</v>
      </c>
      <c r="W323" t="s">
        <v>1395</v>
      </c>
    </row>
    <row r="324" spans="1:23" ht="15" customHeight="1" x14ac:dyDescent="0.3">
      <c r="A324" t="s">
        <v>8</v>
      </c>
      <c r="B324">
        <v>345</v>
      </c>
      <c r="C324" t="s">
        <v>33</v>
      </c>
      <c r="D324" t="s">
        <v>336</v>
      </c>
      <c r="E324" t="s">
        <v>34</v>
      </c>
      <c r="F324" t="s">
        <v>337</v>
      </c>
      <c r="G324" t="s">
        <v>36</v>
      </c>
      <c r="H324" t="s">
        <v>49</v>
      </c>
      <c r="I324" t="s">
        <v>336</v>
      </c>
      <c r="J324" t="s">
        <v>1396</v>
      </c>
      <c r="K324" s="21" t="s">
        <v>1397</v>
      </c>
      <c r="L324" s="21" t="s">
        <v>340</v>
      </c>
      <c r="M324" t="s">
        <v>341</v>
      </c>
      <c r="N324" t="s">
        <v>159</v>
      </c>
      <c r="R324" t="s">
        <v>343</v>
      </c>
      <c r="S324" t="s">
        <v>1396</v>
      </c>
      <c r="T324" t="s">
        <v>1231</v>
      </c>
      <c r="U324" t="s">
        <v>1241</v>
      </c>
      <c r="V324" t="s">
        <v>1394</v>
      </c>
      <c r="W324" t="s">
        <v>1395</v>
      </c>
    </row>
    <row r="325" spans="1:23" ht="15" customHeight="1" x14ac:dyDescent="0.3">
      <c r="A325" t="s">
        <v>8</v>
      </c>
      <c r="B325">
        <v>345</v>
      </c>
      <c r="C325" t="s">
        <v>33</v>
      </c>
      <c r="D325" t="s">
        <v>336</v>
      </c>
      <c r="E325" t="s">
        <v>34</v>
      </c>
      <c r="F325" t="s">
        <v>337</v>
      </c>
      <c r="G325" t="s">
        <v>36</v>
      </c>
      <c r="H325" t="s">
        <v>49</v>
      </c>
      <c r="I325" t="s">
        <v>336</v>
      </c>
      <c r="J325" t="s">
        <v>1396</v>
      </c>
      <c r="K325" s="21" t="s">
        <v>1397</v>
      </c>
      <c r="L325" s="21" t="s">
        <v>340</v>
      </c>
      <c r="M325" t="s">
        <v>341</v>
      </c>
      <c r="N325" t="s">
        <v>159</v>
      </c>
      <c r="R325" t="s">
        <v>346</v>
      </c>
      <c r="S325" t="s">
        <v>1396</v>
      </c>
      <c r="T325" t="s">
        <v>1231</v>
      </c>
      <c r="U325" t="s">
        <v>1241</v>
      </c>
      <c r="V325" t="s">
        <v>1394</v>
      </c>
      <c r="W325" t="s">
        <v>1395</v>
      </c>
    </row>
    <row r="326" spans="1:23" ht="15" customHeight="1" x14ac:dyDescent="0.3">
      <c r="A326" t="s">
        <v>8</v>
      </c>
      <c r="B326">
        <v>345</v>
      </c>
      <c r="C326" t="s">
        <v>33</v>
      </c>
      <c r="D326" t="s">
        <v>336</v>
      </c>
      <c r="E326" t="s">
        <v>34</v>
      </c>
      <c r="F326" t="s">
        <v>337</v>
      </c>
      <c r="G326" t="s">
        <v>36</v>
      </c>
      <c r="H326" t="s">
        <v>49</v>
      </c>
      <c r="I326" t="s">
        <v>336</v>
      </c>
      <c r="J326" t="s">
        <v>1396</v>
      </c>
      <c r="K326" s="21" t="s">
        <v>1397</v>
      </c>
      <c r="L326" s="21" t="s">
        <v>340</v>
      </c>
      <c r="M326" t="s">
        <v>341</v>
      </c>
      <c r="N326" t="s">
        <v>159</v>
      </c>
      <c r="R326" t="s">
        <v>347</v>
      </c>
      <c r="S326" t="s">
        <v>1396</v>
      </c>
      <c r="T326" t="s">
        <v>1231</v>
      </c>
      <c r="U326" t="s">
        <v>1241</v>
      </c>
      <c r="V326" t="s">
        <v>1394</v>
      </c>
      <c r="W326" t="s">
        <v>1395</v>
      </c>
    </row>
    <row r="327" spans="1:23" ht="15" customHeight="1" x14ac:dyDescent="0.3">
      <c r="A327" t="s">
        <v>8</v>
      </c>
      <c r="B327">
        <v>345</v>
      </c>
      <c r="C327" t="s">
        <v>33</v>
      </c>
      <c r="D327" t="s">
        <v>336</v>
      </c>
      <c r="E327" t="s">
        <v>34</v>
      </c>
      <c r="F327" t="s">
        <v>337</v>
      </c>
      <c r="G327" t="s">
        <v>36</v>
      </c>
      <c r="H327" t="s">
        <v>87</v>
      </c>
      <c r="I327" t="s">
        <v>336</v>
      </c>
      <c r="J327" t="s">
        <v>1303</v>
      </c>
      <c r="K327" s="21" t="s">
        <v>1304</v>
      </c>
      <c r="L327" s="21" t="s">
        <v>340</v>
      </c>
      <c r="M327" t="s">
        <v>341</v>
      </c>
      <c r="N327" t="s">
        <v>159</v>
      </c>
      <c r="R327" t="s">
        <v>343</v>
      </c>
      <c r="S327" t="s">
        <v>1303</v>
      </c>
      <c r="T327" t="s">
        <v>1231</v>
      </c>
      <c r="U327" t="s">
        <v>1241</v>
      </c>
      <c r="V327" t="s">
        <v>1305</v>
      </c>
      <c r="W327" t="s">
        <v>1306</v>
      </c>
    </row>
    <row r="328" spans="1:23" ht="15" customHeight="1" x14ac:dyDescent="0.3">
      <c r="A328" t="s">
        <v>8</v>
      </c>
      <c r="B328">
        <v>345</v>
      </c>
      <c r="C328" t="s">
        <v>33</v>
      </c>
      <c r="D328" t="s">
        <v>336</v>
      </c>
      <c r="E328" t="s">
        <v>34</v>
      </c>
      <c r="F328" t="s">
        <v>337</v>
      </c>
      <c r="G328" t="s">
        <v>36</v>
      </c>
      <c r="H328" t="s">
        <v>87</v>
      </c>
      <c r="I328" t="s">
        <v>336</v>
      </c>
      <c r="J328" t="s">
        <v>1303</v>
      </c>
      <c r="K328" s="21" t="s">
        <v>1304</v>
      </c>
      <c r="L328" s="21" t="s">
        <v>340</v>
      </c>
      <c r="M328" t="s">
        <v>341</v>
      </c>
      <c r="N328" t="s">
        <v>159</v>
      </c>
      <c r="R328" t="s">
        <v>346</v>
      </c>
      <c r="S328" t="s">
        <v>1303</v>
      </c>
      <c r="T328" t="s">
        <v>1231</v>
      </c>
      <c r="U328" t="s">
        <v>1241</v>
      </c>
      <c r="V328" t="s">
        <v>1305</v>
      </c>
      <c r="W328" t="s">
        <v>1306</v>
      </c>
    </row>
    <row r="329" spans="1:23" ht="15" customHeight="1" x14ac:dyDescent="0.3">
      <c r="A329" t="s">
        <v>8</v>
      </c>
      <c r="B329">
        <v>345</v>
      </c>
      <c r="C329" t="s">
        <v>33</v>
      </c>
      <c r="D329" t="s">
        <v>336</v>
      </c>
      <c r="E329" t="s">
        <v>34</v>
      </c>
      <c r="F329" t="s">
        <v>337</v>
      </c>
      <c r="G329" t="s">
        <v>36</v>
      </c>
      <c r="H329" t="s">
        <v>87</v>
      </c>
      <c r="I329" t="s">
        <v>336</v>
      </c>
      <c r="J329" t="s">
        <v>1303</v>
      </c>
      <c r="K329" s="21" t="s">
        <v>1304</v>
      </c>
      <c r="L329" s="21" t="s">
        <v>340</v>
      </c>
      <c r="M329" t="s">
        <v>341</v>
      </c>
      <c r="N329" t="s">
        <v>159</v>
      </c>
      <c r="R329" t="s">
        <v>347</v>
      </c>
      <c r="S329" t="s">
        <v>1303</v>
      </c>
      <c r="T329" t="s">
        <v>1231</v>
      </c>
      <c r="U329" t="s">
        <v>1241</v>
      </c>
      <c r="V329" t="s">
        <v>1305</v>
      </c>
      <c r="W329" t="s">
        <v>1306</v>
      </c>
    </row>
    <row r="330" spans="1:23" ht="15" customHeight="1" x14ac:dyDescent="0.3">
      <c r="A330" t="s">
        <v>8</v>
      </c>
      <c r="B330">
        <v>345</v>
      </c>
      <c r="C330" t="s">
        <v>33</v>
      </c>
      <c r="D330" t="s">
        <v>336</v>
      </c>
      <c r="E330" t="s">
        <v>34</v>
      </c>
      <c r="F330" t="s">
        <v>337</v>
      </c>
      <c r="G330" t="s">
        <v>36</v>
      </c>
      <c r="H330" t="s">
        <v>421</v>
      </c>
      <c r="I330" t="s">
        <v>336</v>
      </c>
      <c r="J330" t="s">
        <v>1398</v>
      </c>
      <c r="K330" s="21" t="s">
        <v>1399</v>
      </c>
      <c r="L330" s="21" t="s">
        <v>340</v>
      </c>
      <c r="M330" t="s">
        <v>341</v>
      </c>
      <c r="N330" t="s">
        <v>159</v>
      </c>
      <c r="R330" t="s">
        <v>343</v>
      </c>
      <c r="S330" t="s">
        <v>1398</v>
      </c>
      <c r="T330" t="s">
        <v>1249</v>
      </c>
      <c r="U330" t="s">
        <v>1270</v>
      </c>
      <c r="V330" t="s">
        <v>1400</v>
      </c>
      <c r="W330" t="s">
        <v>1395</v>
      </c>
    </row>
    <row r="331" spans="1:23" ht="15" customHeight="1" x14ac:dyDescent="0.3">
      <c r="A331" t="s">
        <v>8</v>
      </c>
      <c r="B331">
        <v>345</v>
      </c>
      <c r="C331" t="s">
        <v>33</v>
      </c>
      <c r="D331" t="s">
        <v>336</v>
      </c>
      <c r="E331" t="s">
        <v>34</v>
      </c>
      <c r="F331" t="s">
        <v>337</v>
      </c>
      <c r="G331" t="s">
        <v>36</v>
      </c>
      <c r="H331" t="s">
        <v>421</v>
      </c>
      <c r="I331" t="s">
        <v>336</v>
      </c>
      <c r="J331" t="s">
        <v>1398</v>
      </c>
      <c r="K331" s="21" t="s">
        <v>1399</v>
      </c>
      <c r="L331" s="21" t="s">
        <v>340</v>
      </c>
      <c r="M331" t="s">
        <v>341</v>
      </c>
      <c r="N331" t="s">
        <v>159</v>
      </c>
      <c r="R331" t="s">
        <v>346</v>
      </c>
      <c r="S331" t="s">
        <v>1398</v>
      </c>
      <c r="T331" t="s">
        <v>1249</v>
      </c>
      <c r="U331" t="s">
        <v>1270</v>
      </c>
      <c r="V331" t="s">
        <v>1400</v>
      </c>
      <c r="W331" t="s">
        <v>1395</v>
      </c>
    </row>
    <row r="332" spans="1:23" ht="15" customHeight="1" x14ac:dyDescent="0.3">
      <c r="A332" t="s">
        <v>8</v>
      </c>
      <c r="B332">
        <v>345</v>
      </c>
      <c r="C332" t="s">
        <v>33</v>
      </c>
      <c r="D332" t="s">
        <v>336</v>
      </c>
      <c r="E332" t="s">
        <v>34</v>
      </c>
      <c r="F332" t="s">
        <v>337</v>
      </c>
      <c r="G332" t="s">
        <v>36</v>
      </c>
      <c r="H332" t="s">
        <v>421</v>
      </c>
      <c r="I332" t="s">
        <v>336</v>
      </c>
      <c r="J332" t="s">
        <v>1398</v>
      </c>
      <c r="K332" s="21" t="s">
        <v>1399</v>
      </c>
      <c r="L332" s="21" t="s">
        <v>340</v>
      </c>
      <c r="M332" t="s">
        <v>341</v>
      </c>
      <c r="N332" t="s">
        <v>159</v>
      </c>
      <c r="R332" t="s">
        <v>347</v>
      </c>
      <c r="S332" t="s">
        <v>1398</v>
      </c>
      <c r="T332" t="s">
        <v>1249</v>
      </c>
      <c r="U332" t="s">
        <v>1270</v>
      </c>
      <c r="V332" t="s">
        <v>1400</v>
      </c>
      <c r="W332" t="s">
        <v>1395</v>
      </c>
    </row>
    <row r="333" spans="1:23" ht="15" customHeight="1" x14ac:dyDescent="0.3">
      <c r="A333" t="s">
        <v>8</v>
      </c>
      <c r="B333">
        <v>345</v>
      </c>
      <c r="C333" t="s">
        <v>33</v>
      </c>
      <c r="D333" t="s">
        <v>336</v>
      </c>
      <c r="E333" t="s">
        <v>34</v>
      </c>
      <c r="F333" t="s">
        <v>337</v>
      </c>
      <c r="G333" t="s">
        <v>36</v>
      </c>
      <c r="H333" t="s">
        <v>182</v>
      </c>
      <c r="I333" t="s">
        <v>336</v>
      </c>
      <c r="J333" t="s">
        <v>1401</v>
      </c>
      <c r="K333" s="21" t="s">
        <v>1402</v>
      </c>
      <c r="L333" s="21" t="s">
        <v>340</v>
      </c>
      <c r="M333" t="s">
        <v>341</v>
      </c>
      <c r="N333" t="s">
        <v>159</v>
      </c>
      <c r="R333" t="s">
        <v>343</v>
      </c>
      <c r="S333" t="s">
        <v>1401</v>
      </c>
      <c r="T333" t="s">
        <v>1249</v>
      </c>
      <c r="U333" t="s">
        <v>1275</v>
      </c>
      <c r="V333" t="s">
        <v>1394</v>
      </c>
      <c r="W333" t="s">
        <v>1395</v>
      </c>
    </row>
    <row r="334" spans="1:23" ht="15" customHeight="1" x14ac:dyDescent="0.3">
      <c r="A334" t="s">
        <v>8</v>
      </c>
      <c r="B334">
        <v>345</v>
      </c>
      <c r="C334" t="s">
        <v>33</v>
      </c>
      <c r="D334" t="s">
        <v>336</v>
      </c>
      <c r="E334" t="s">
        <v>34</v>
      </c>
      <c r="F334" t="s">
        <v>337</v>
      </c>
      <c r="G334" t="s">
        <v>36</v>
      </c>
      <c r="H334" t="s">
        <v>182</v>
      </c>
      <c r="I334" t="s">
        <v>336</v>
      </c>
      <c r="J334" t="s">
        <v>1401</v>
      </c>
      <c r="K334" s="21" t="s">
        <v>1402</v>
      </c>
      <c r="L334" s="21" t="s">
        <v>340</v>
      </c>
      <c r="M334" t="s">
        <v>341</v>
      </c>
      <c r="N334" t="s">
        <v>159</v>
      </c>
      <c r="R334" t="s">
        <v>346</v>
      </c>
      <c r="S334" t="s">
        <v>1401</v>
      </c>
      <c r="T334" t="s">
        <v>1249</v>
      </c>
      <c r="U334" t="s">
        <v>1275</v>
      </c>
      <c r="V334" t="s">
        <v>1394</v>
      </c>
      <c r="W334" t="s">
        <v>1395</v>
      </c>
    </row>
    <row r="335" spans="1:23" ht="15" customHeight="1" x14ac:dyDescent="0.3">
      <c r="A335" t="s">
        <v>8</v>
      </c>
      <c r="B335">
        <v>345</v>
      </c>
      <c r="C335" t="s">
        <v>33</v>
      </c>
      <c r="D335" t="s">
        <v>336</v>
      </c>
      <c r="E335" t="s">
        <v>34</v>
      </c>
      <c r="F335" t="s">
        <v>337</v>
      </c>
      <c r="G335" t="s">
        <v>36</v>
      </c>
      <c r="H335" t="s">
        <v>182</v>
      </c>
      <c r="I335" t="s">
        <v>336</v>
      </c>
      <c r="J335" t="s">
        <v>1401</v>
      </c>
      <c r="K335" s="21" t="s">
        <v>1402</v>
      </c>
      <c r="L335" s="21" t="s">
        <v>340</v>
      </c>
      <c r="M335" t="s">
        <v>341</v>
      </c>
      <c r="N335" t="s">
        <v>159</v>
      </c>
      <c r="R335" t="s">
        <v>347</v>
      </c>
      <c r="S335" t="s">
        <v>1401</v>
      </c>
      <c r="T335" t="s">
        <v>1249</v>
      </c>
      <c r="U335" t="s">
        <v>1275</v>
      </c>
      <c r="V335" t="s">
        <v>1394</v>
      </c>
      <c r="W335" t="s">
        <v>1395</v>
      </c>
    </row>
    <row r="336" spans="1:23" ht="15" customHeight="1" x14ac:dyDescent="0.3">
      <c r="A336" t="s">
        <v>8</v>
      </c>
      <c r="B336">
        <v>345</v>
      </c>
      <c r="C336" t="s">
        <v>33</v>
      </c>
      <c r="D336" t="s">
        <v>336</v>
      </c>
      <c r="E336" t="s">
        <v>34</v>
      </c>
      <c r="F336" t="s">
        <v>337</v>
      </c>
      <c r="G336" t="s">
        <v>36</v>
      </c>
      <c r="H336" t="s">
        <v>1242</v>
      </c>
      <c r="I336" t="s">
        <v>336</v>
      </c>
      <c r="J336" t="s">
        <v>1403</v>
      </c>
      <c r="K336" s="21" t="s">
        <v>1404</v>
      </c>
      <c r="L336" s="21" t="s">
        <v>340</v>
      </c>
      <c r="M336" t="s">
        <v>341</v>
      </c>
      <c r="N336" t="s">
        <v>159</v>
      </c>
      <c r="R336" t="s">
        <v>343</v>
      </c>
      <c r="S336" t="s">
        <v>1403</v>
      </c>
      <c r="T336" t="s">
        <v>1249</v>
      </c>
      <c r="U336" t="s">
        <v>1250</v>
      </c>
      <c r="V336" t="s">
        <v>1405</v>
      </c>
      <c r="W336" t="s">
        <v>1406</v>
      </c>
    </row>
    <row r="337" spans="1:23" ht="15" customHeight="1" x14ac:dyDescent="0.3">
      <c r="A337" t="s">
        <v>8</v>
      </c>
      <c r="B337">
        <v>345</v>
      </c>
      <c r="C337" t="s">
        <v>33</v>
      </c>
      <c r="D337" t="s">
        <v>336</v>
      </c>
      <c r="E337" t="s">
        <v>34</v>
      </c>
      <c r="F337" t="s">
        <v>337</v>
      </c>
      <c r="G337" t="s">
        <v>36</v>
      </c>
      <c r="H337" t="s">
        <v>1242</v>
      </c>
      <c r="I337" t="s">
        <v>336</v>
      </c>
      <c r="J337" t="s">
        <v>1403</v>
      </c>
      <c r="K337" s="21" t="s">
        <v>1404</v>
      </c>
      <c r="L337" s="21" t="s">
        <v>340</v>
      </c>
      <c r="M337" t="s">
        <v>341</v>
      </c>
      <c r="N337" t="s">
        <v>159</v>
      </c>
      <c r="R337" t="s">
        <v>346</v>
      </c>
      <c r="S337" t="s">
        <v>1403</v>
      </c>
      <c r="T337" t="s">
        <v>1249</v>
      </c>
      <c r="U337" t="s">
        <v>1250</v>
      </c>
      <c r="V337" t="s">
        <v>1405</v>
      </c>
      <c r="W337" t="s">
        <v>1406</v>
      </c>
    </row>
    <row r="338" spans="1:23" ht="15" customHeight="1" x14ac:dyDescent="0.3">
      <c r="A338" t="s">
        <v>8</v>
      </c>
      <c r="B338">
        <v>345</v>
      </c>
      <c r="C338" t="s">
        <v>33</v>
      </c>
      <c r="D338" t="s">
        <v>336</v>
      </c>
      <c r="E338" t="s">
        <v>34</v>
      </c>
      <c r="F338" t="s">
        <v>337</v>
      </c>
      <c r="G338" t="s">
        <v>36</v>
      </c>
      <c r="H338" t="s">
        <v>1242</v>
      </c>
      <c r="I338" t="s">
        <v>336</v>
      </c>
      <c r="J338" t="s">
        <v>1403</v>
      </c>
      <c r="K338" s="21" t="s">
        <v>1404</v>
      </c>
      <c r="L338" s="21" t="s">
        <v>340</v>
      </c>
      <c r="M338" t="s">
        <v>341</v>
      </c>
      <c r="N338" t="s">
        <v>159</v>
      </c>
      <c r="R338" t="s">
        <v>347</v>
      </c>
      <c r="S338" t="s">
        <v>1403</v>
      </c>
      <c r="T338" t="s">
        <v>1249</v>
      </c>
      <c r="U338" t="s">
        <v>1250</v>
      </c>
      <c r="V338" t="s">
        <v>1405</v>
      </c>
      <c r="W338" t="s">
        <v>1406</v>
      </c>
    </row>
    <row r="339" spans="1:23" ht="15" customHeight="1" x14ac:dyDescent="0.3">
      <c r="A339" t="s">
        <v>8</v>
      </c>
      <c r="B339">
        <v>345</v>
      </c>
      <c r="C339" t="s">
        <v>33</v>
      </c>
      <c r="D339" t="s">
        <v>336</v>
      </c>
      <c r="E339" t="s">
        <v>34</v>
      </c>
      <c r="F339" t="s">
        <v>337</v>
      </c>
      <c r="G339" t="s">
        <v>36</v>
      </c>
      <c r="H339" t="s">
        <v>425</v>
      </c>
      <c r="I339" t="s">
        <v>336</v>
      </c>
      <c r="J339" t="s">
        <v>1407</v>
      </c>
      <c r="K339" s="21" t="s">
        <v>1408</v>
      </c>
      <c r="L339" s="21" t="s">
        <v>340</v>
      </c>
      <c r="M339" t="s">
        <v>341</v>
      </c>
      <c r="N339" t="s">
        <v>159</v>
      </c>
      <c r="R339" t="s">
        <v>343</v>
      </c>
      <c r="S339" t="s">
        <v>1407</v>
      </c>
      <c r="T339" t="s">
        <v>1249</v>
      </c>
      <c r="U339" t="s">
        <v>1282</v>
      </c>
      <c r="V339" t="s">
        <v>1394</v>
      </c>
      <c r="W339" t="s">
        <v>1395</v>
      </c>
    </row>
    <row r="340" spans="1:23" ht="15" customHeight="1" x14ac:dyDescent="0.3">
      <c r="A340" t="s">
        <v>8</v>
      </c>
      <c r="B340">
        <v>345</v>
      </c>
      <c r="C340" t="s">
        <v>33</v>
      </c>
      <c r="D340" t="s">
        <v>336</v>
      </c>
      <c r="E340" t="s">
        <v>34</v>
      </c>
      <c r="F340" t="s">
        <v>337</v>
      </c>
      <c r="G340" t="s">
        <v>36</v>
      </c>
      <c r="H340" t="s">
        <v>425</v>
      </c>
      <c r="I340" t="s">
        <v>336</v>
      </c>
      <c r="J340" t="s">
        <v>1407</v>
      </c>
      <c r="K340" s="21" t="s">
        <v>1408</v>
      </c>
      <c r="L340" s="21" t="s">
        <v>340</v>
      </c>
      <c r="M340" t="s">
        <v>341</v>
      </c>
      <c r="N340" t="s">
        <v>159</v>
      </c>
      <c r="R340" t="s">
        <v>346</v>
      </c>
      <c r="S340" t="s">
        <v>1407</v>
      </c>
      <c r="T340" t="s">
        <v>1249</v>
      </c>
      <c r="U340" t="s">
        <v>1282</v>
      </c>
      <c r="V340" t="s">
        <v>1394</v>
      </c>
      <c r="W340" t="s">
        <v>1395</v>
      </c>
    </row>
    <row r="341" spans="1:23" ht="15" customHeight="1" x14ac:dyDescent="0.3">
      <c r="A341" t="s">
        <v>8</v>
      </c>
      <c r="B341">
        <v>345</v>
      </c>
      <c r="C341" t="s">
        <v>33</v>
      </c>
      <c r="D341" t="s">
        <v>336</v>
      </c>
      <c r="E341" t="s">
        <v>34</v>
      </c>
      <c r="F341" t="s">
        <v>337</v>
      </c>
      <c r="G341" t="s">
        <v>36</v>
      </c>
      <c r="H341" t="s">
        <v>425</v>
      </c>
      <c r="I341" t="s">
        <v>336</v>
      </c>
      <c r="J341" t="s">
        <v>1407</v>
      </c>
      <c r="K341" s="21" t="s">
        <v>1408</v>
      </c>
      <c r="L341" s="21" t="s">
        <v>340</v>
      </c>
      <c r="M341" t="s">
        <v>341</v>
      </c>
      <c r="N341" t="s">
        <v>159</v>
      </c>
      <c r="R341" t="s">
        <v>347</v>
      </c>
      <c r="S341" t="s">
        <v>1407</v>
      </c>
      <c r="T341" t="s">
        <v>1249</v>
      </c>
      <c r="U341" t="s">
        <v>1282</v>
      </c>
      <c r="V341" t="s">
        <v>1394</v>
      </c>
      <c r="W341" t="s">
        <v>1395</v>
      </c>
    </row>
    <row r="342" spans="1:23" ht="15" customHeight="1" x14ac:dyDescent="0.3">
      <c r="A342" t="s">
        <v>8</v>
      </c>
      <c r="B342">
        <v>345</v>
      </c>
      <c r="C342" t="s">
        <v>33</v>
      </c>
      <c r="D342" t="s">
        <v>336</v>
      </c>
      <c r="E342" t="s">
        <v>34</v>
      </c>
      <c r="F342" t="s">
        <v>337</v>
      </c>
      <c r="G342" t="s">
        <v>36</v>
      </c>
      <c r="H342" t="s">
        <v>996</v>
      </c>
      <c r="I342" t="s">
        <v>336</v>
      </c>
      <c r="J342" t="s">
        <v>1409</v>
      </c>
      <c r="K342" s="21" t="s">
        <v>1410</v>
      </c>
      <c r="L342" s="21" t="s">
        <v>340</v>
      </c>
      <c r="M342" t="s">
        <v>341</v>
      </c>
      <c r="N342" t="s">
        <v>159</v>
      </c>
      <c r="R342" t="s">
        <v>343</v>
      </c>
      <c r="S342" t="s">
        <v>1409</v>
      </c>
      <c r="T342" t="s">
        <v>1290</v>
      </c>
      <c r="U342" t="s">
        <v>1291</v>
      </c>
      <c r="V342" t="s">
        <v>344</v>
      </c>
      <c r="W342" t="s">
        <v>1411</v>
      </c>
    </row>
    <row r="343" spans="1:23" ht="15" customHeight="1" x14ac:dyDescent="0.3">
      <c r="A343" t="s">
        <v>8</v>
      </c>
      <c r="B343">
        <v>345</v>
      </c>
      <c r="C343" t="s">
        <v>33</v>
      </c>
      <c r="D343" t="s">
        <v>336</v>
      </c>
      <c r="E343" t="s">
        <v>34</v>
      </c>
      <c r="F343" t="s">
        <v>337</v>
      </c>
      <c r="G343" t="s">
        <v>36</v>
      </c>
      <c r="H343" t="s">
        <v>996</v>
      </c>
      <c r="I343" t="s">
        <v>336</v>
      </c>
      <c r="J343" t="s">
        <v>1409</v>
      </c>
      <c r="K343" s="21" t="s">
        <v>1410</v>
      </c>
      <c r="L343" s="21" t="s">
        <v>340</v>
      </c>
      <c r="M343" t="s">
        <v>341</v>
      </c>
      <c r="N343" t="s">
        <v>159</v>
      </c>
      <c r="R343" t="s">
        <v>346</v>
      </c>
      <c r="S343" t="s">
        <v>1409</v>
      </c>
      <c r="T343" t="s">
        <v>1290</v>
      </c>
      <c r="U343" t="s">
        <v>1291</v>
      </c>
      <c r="V343" t="s">
        <v>344</v>
      </c>
      <c r="W343" t="s">
        <v>1411</v>
      </c>
    </row>
    <row r="344" spans="1:23" ht="15" customHeight="1" x14ac:dyDescent="0.3">
      <c r="A344" t="s">
        <v>8</v>
      </c>
      <c r="B344">
        <v>345</v>
      </c>
      <c r="C344" t="s">
        <v>33</v>
      </c>
      <c r="D344" t="s">
        <v>336</v>
      </c>
      <c r="E344" t="s">
        <v>34</v>
      </c>
      <c r="F344" t="s">
        <v>337</v>
      </c>
      <c r="G344" t="s">
        <v>36</v>
      </c>
      <c r="H344" t="s">
        <v>996</v>
      </c>
      <c r="I344" t="s">
        <v>336</v>
      </c>
      <c r="J344" t="s">
        <v>1409</v>
      </c>
      <c r="K344" s="21" t="s">
        <v>1410</v>
      </c>
      <c r="L344" s="21" t="s">
        <v>340</v>
      </c>
      <c r="M344" t="s">
        <v>341</v>
      </c>
      <c r="N344" t="s">
        <v>159</v>
      </c>
      <c r="R344" t="s">
        <v>347</v>
      </c>
      <c r="S344" t="s">
        <v>1409</v>
      </c>
      <c r="T344" t="s">
        <v>1290</v>
      </c>
      <c r="U344" t="s">
        <v>1291</v>
      </c>
      <c r="V344" t="s">
        <v>344</v>
      </c>
      <c r="W344" t="s">
        <v>1411</v>
      </c>
    </row>
    <row r="345" spans="1:23" ht="15" customHeight="1" x14ac:dyDescent="0.3">
      <c r="A345" t="s">
        <v>8</v>
      </c>
      <c r="B345">
        <v>345</v>
      </c>
      <c r="C345" t="s">
        <v>33</v>
      </c>
      <c r="D345" t="s">
        <v>336</v>
      </c>
      <c r="E345" t="s">
        <v>34</v>
      </c>
      <c r="F345" t="s">
        <v>337</v>
      </c>
      <c r="G345" t="s">
        <v>36</v>
      </c>
      <c r="H345" t="s">
        <v>1000</v>
      </c>
      <c r="I345" t="s">
        <v>336</v>
      </c>
      <c r="J345" t="s">
        <v>1412</v>
      </c>
      <c r="K345" s="21" t="s">
        <v>1413</v>
      </c>
      <c r="L345" s="21" t="s">
        <v>340</v>
      </c>
      <c r="M345" t="s">
        <v>341</v>
      </c>
      <c r="N345" t="s">
        <v>159</v>
      </c>
      <c r="R345" t="s">
        <v>343</v>
      </c>
      <c r="S345" t="s">
        <v>1412</v>
      </c>
      <c r="T345" t="s">
        <v>1290</v>
      </c>
      <c r="U345" t="s">
        <v>1296</v>
      </c>
      <c r="V345" t="s">
        <v>344</v>
      </c>
      <c r="W345" t="s">
        <v>1411</v>
      </c>
    </row>
    <row r="346" spans="1:23" ht="15" customHeight="1" x14ac:dyDescent="0.3">
      <c r="A346" t="s">
        <v>8</v>
      </c>
      <c r="B346">
        <v>345</v>
      </c>
      <c r="C346" t="s">
        <v>33</v>
      </c>
      <c r="D346" t="s">
        <v>336</v>
      </c>
      <c r="E346" t="s">
        <v>34</v>
      </c>
      <c r="F346" t="s">
        <v>337</v>
      </c>
      <c r="G346" t="s">
        <v>36</v>
      </c>
      <c r="H346" t="s">
        <v>1000</v>
      </c>
      <c r="I346" t="s">
        <v>336</v>
      </c>
      <c r="J346" t="s">
        <v>1412</v>
      </c>
      <c r="K346" s="21" t="s">
        <v>1413</v>
      </c>
      <c r="L346" s="21" t="s">
        <v>340</v>
      </c>
      <c r="M346" t="s">
        <v>341</v>
      </c>
      <c r="N346" t="s">
        <v>159</v>
      </c>
      <c r="R346" t="s">
        <v>346</v>
      </c>
      <c r="S346" t="s">
        <v>1412</v>
      </c>
      <c r="T346" t="s">
        <v>1290</v>
      </c>
      <c r="U346" t="s">
        <v>1296</v>
      </c>
      <c r="V346" t="s">
        <v>344</v>
      </c>
      <c r="W346" t="s">
        <v>1411</v>
      </c>
    </row>
    <row r="347" spans="1:23" ht="15" customHeight="1" x14ac:dyDescent="0.3">
      <c r="A347" t="s">
        <v>8</v>
      </c>
      <c r="B347">
        <v>345</v>
      </c>
      <c r="C347" t="s">
        <v>33</v>
      </c>
      <c r="D347" t="s">
        <v>336</v>
      </c>
      <c r="E347" t="s">
        <v>34</v>
      </c>
      <c r="F347" t="s">
        <v>337</v>
      </c>
      <c r="G347" t="s">
        <v>36</v>
      </c>
      <c r="H347" t="s">
        <v>1000</v>
      </c>
      <c r="I347" t="s">
        <v>336</v>
      </c>
      <c r="J347" t="s">
        <v>1412</v>
      </c>
      <c r="K347" s="21" t="s">
        <v>1413</v>
      </c>
      <c r="L347" s="21" t="s">
        <v>340</v>
      </c>
      <c r="M347" t="s">
        <v>341</v>
      </c>
      <c r="N347" t="s">
        <v>159</v>
      </c>
      <c r="R347" t="s">
        <v>347</v>
      </c>
      <c r="S347" t="s">
        <v>1412</v>
      </c>
      <c r="T347" t="s">
        <v>1290</v>
      </c>
      <c r="U347" t="s">
        <v>1296</v>
      </c>
      <c r="V347" t="s">
        <v>344</v>
      </c>
      <c r="W347" t="s">
        <v>1411</v>
      </c>
    </row>
    <row r="348" spans="1:23" ht="15" customHeight="1" x14ac:dyDescent="0.3">
      <c r="A348" t="s">
        <v>8</v>
      </c>
      <c r="B348">
        <v>126</v>
      </c>
      <c r="C348" t="s">
        <v>354</v>
      </c>
      <c r="D348" t="s">
        <v>355</v>
      </c>
      <c r="E348" t="s">
        <v>34</v>
      </c>
      <c r="F348" t="s">
        <v>356</v>
      </c>
      <c r="G348" t="s">
        <v>36</v>
      </c>
      <c r="H348" t="s">
        <v>37</v>
      </c>
      <c r="I348" t="s">
        <v>355</v>
      </c>
      <c r="J348" t="s">
        <v>357</v>
      </c>
      <c r="K348" t="s">
        <v>358</v>
      </c>
      <c r="L348" s="21" t="s">
        <v>359</v>
      </c>
      <c r="M348" t="s">
        <v>360</v>
      </c>
      <c r="N348" t="s">
        <v>42</v>
      </c>
      <c r="R348" t="s">
        <v>362</v>
      </c>
      <c r="S348" t="s">
        <v>357</v>
      </c>
      <c r="T348" t="s">
        <v>45</v>
      </c>
      <c r="U348" t="s">
        <v>90</v>
      </c>
      <c r="V348" t="s">
        <v>363</v>
      </c>
      <c r="W348" t="s">
        <v>364</v>
      </c>
    </row>
    <row r="349" spans="1:23" ht="15" customHeight="1" x14ac:dyDescent="0.3">
      <c r="A349" t="s">
        <v>8</v>
      </c>
      <c r="B349">
        <v>126</v>
      </c>
      <c r="C349" t="s">
        <v>354</v>
      </c>
      <c r="D349" t="s">
        <v>355</v>
      </c>
      <c r="E349" t="s">
        <v>34</v>
      </c>
      <c r="F349" t="s">
        <v>356</v>
      </c>
      <c r="G349" t="s">
        <v>36</v>
      </c>
      <c r="H349" t="s">
        <v>37</v>
      </c>
      <c r="I349" t="s">
        <v>355</v>
      </c>
      <c r="J349" t="s">
        <v>357</v>
      </c>
      <c r="K349" t="s">
        <v>358</v>
      </c>
      <c r="L349" s="21" t="s">
        <v>359</v>
      </c>
      <c r="M349" t="s">
        <v>360</v>
      </c>
      <c r="N349" t="s">
        <v>42</v>
      </c>
      <c r="R349" t="s">
        <v>365</v>
      </c>
      <c r="S349" t="s">
        <v>357</v>
      </c>
      <c r="T349" t="s">
        <v>45</v>
      </c>
      <c r="U349" t="s">
        <v>90</v>
      </c>
      <c r="V349" t="s">
        <v>363</v>
      </c>
      <c r="W349" t="s">
        <v>364</v>
      </c>
    </row>
    <row r="350" spans="1:23" ht="15" customHeight="1" x14ac:dyDescent="0.3">
      <c r="A350" t="s">
        <v>8</v>
      </c>
      <c r="B350">
        <v>126</v>
      </c>
      <c r="C350" t="s">
        <v>354</v>
      </c>
      <c r="D350" t="s">
        <v>355</v>
      </c>
      <c r="E350" t="s">
        <v>34</v>
      </c>
      <c r="F350" t="s">
        <v>356</v>
      </c>
      <c r="G350" t="s">
        <v>36</v>
      </c>
      <c r="H350" t="s">
        <v>37</v>
      </c>
      <c r="I350" t="s">
        <v>355</v>
      </c>
      <c r="J350" t="s">
        <v>357</v>
      </c>
      <c r="K350" t="s">
        <v>358</v>
      </c>
      <c r="L350" s="21" t="s">
        <v>359</v>
      </c>
      <c r="M350" t="s">
        <v>360</v>
      </c>
      <c r="N350" t="s">
        <v>42</v>
      </c>
      <c r="R350" t="s">
        <v>686</v>
      </c>
      <c r="S350" t="s">
        <v>357</v>
      </c>
      <c r="T350" t="s">
        <v>45</v>
      </c>
      <c r="U350" t="s">
        <v>90</v>
      </c>
      <c r="V350" t="s">
        <v>363</v>
      </c>
      <c r="W350" t="s">
        <v>364</v>
      </c>
    </row>
    <row r="351" spans="1:23" ht="15" customHeight="1" x14ac:dyDescent="0.3">
      <c r="A351" t="s">
        <v>8</v>
      </c>
      <c r="B351">
        <v>126</v>
      </c>
      <c r="C351" t="s">
        <v>354</v>
      </c>
      <c r="D351" t="s">
        <v>355</v>
      </c>
      <c r="E351" t="s">
        <v>34</v>
      </c>
      <c r="F351" t="s">
        <v>356</v>
      </c>
      <c r="G351" t="s">
        <v>36</v>
      </c>
      <c r="H351" t="s">
        <v>37</v>
      </c>
      <c r="I351" t="s">
        <v>355</v>
      </c>
      <c r="J351" t="s">
        <v>357</v>
      </c>
      <c r="K351" t="s">
        <v>358</v>
      </c>
      <c r="L351" s="21" t="s">
        <v>359</v>
      </c>
      <c r="M351" t="s">
        <v>360</v>
      </c>
      <c r="N351" t="s">
        <v>42</v>
      </c>
      <c r="R351" t="s">
        <v>687</v>
      </c>
      <c r="S351" t="s">
        <v>357</v>
      </c>
      <c r="T351" t="s">
        <v>45</v>
      </c>
      <c r="U351" t="s">
        <v>90</v>
      </c>
      <c r="V351" t="s">
        <v>363</v>
      </c>
      <c r="W351" t="s">
        <v>364</v>
      </c>
    </row>
    <row r="352" spans="1:23" ht="15" customHeight="1" x14ac:dyDescent="0.3">
      <c r="A352" t="s">
        <v>8</v>
      </c>
      <c r="B352">
        <v>126</v>
      </c>
      <c r="C352" t="s">
        <v>354</v>
      </c>
      <c r="D352" t="s">
        <v>355</v>
      </c>
      <c r="E352" t="s">
        <v>34</v>
      </c>
      <c r="F352" t="s">
        <v>356</v>
      </c>
      <c r="G352" t="s">
        <v>36</v>
      </c>
      <c r="H352" t="s">
        <v>37</v>
      </c>
      <c r="I352" t="s">
        <v>355</v>
      </c>
      <c r="J352" t="s">
        <v>357</v>
      </c>
      <c r="K352" t="s">
        <v>358</v>
      </c>
      <c r="L352" s="21" t="s">
        <v>359</v>
      </c>
      <c r="M352" t="s">
        <v>360</v>
      </c>
      <c r="N352" t="s">
        <v>42</v>
      </c>
      <c r="R352" t="s">
        <v>367</v>
      </c>
      <c r="S352" t="s">
        <v>357</v>
      </c>
      <c r="T352" t="s">
        <v>45</v>
      </c>
      <c r="U352" t="s">
        <v>90</v>
      </c>
      <c r="V352" t="s">
        <v>363</v>
      </c>
      <c r="W352" t="s">
        <v>364</v>
      </c>
    </row>
    <row r="353" spans="1:23" ht="15" customHeight="1" x14ac:dyDescent="0.3">
      <c r="A353" t="s">
        <v>8</v>
      </c>
      <c r="B353">
        <v>126</v>
      </c>
      <c r="C353" t="s">
        <v>354</v>
      </c>
      <c r="D353" t="s">
        <v>355</v>
      </c>
      <c r="E353" t="s">
        <v>34</v>
      </c>
      <c r="F353" t="s">
        <v>356</v>
      </c>
      <c r="G353" t="s">
        <v>36</v>
      </c>
      <c r="H353" t="s">
        <v>52</v>
      </c>
      <c r="I353" t="s">
        <v>355</v>
      </c>
      <c r="J353" t="s">
        <v>1414</v>
      </c>
      <c r="K353" s="21" t="s">
        <v>1415</v>
      </c>
      <c r="L353" s="21" t="s">
        <v>359</v>
      </c>
      <c r="M353" t="s">
        <v>360</v>
      </c>
      <c r="N353" t="s">
        <v>42</v>
      </c>
      <c r="R353" t="s">
        <v>362</v>
      </c>
      <c r="S353" t="s">
        <v>1414</v>
      </c>
      <c r="T353" t="s">
        <v>45</v>
      </c>
      <c r="U353" t="s">
        <v>1416</v>
      </c>
      <c r="V353" t="s">
        <v>363</v>
      </c>
      <c r="W353" t="s">
        <v>1417</v>
      </c>
    </row>
    <row r="354" spans="1:23" ht="15" customHeight="1" x14ac:dyDescent="0.3">
      <c r="A354" t="s">
        <v>8</v>
      </c>
      <c r="B354">
        <v>126</v>
      </c>
      <c r="C354" t="s">
        <v>354</v>
      </c>
      <c r="D354" t="s">
        <v>355</v>
      </c>
      <c r="E354" t="s">
        <v>34</v>
      </c>
      <c r="F354" t="s">
        <v>356</v>
      </c>
      <c r="G354" t="s">
        <v>36</v>
      </c>
      <c r="H354" t="s">
        <v>52</v>
      </c>
      <c r="I354" t="s">
        <v>355</v>
      </c>
      <c r="J354" t="s">
        <v>1414</v>
      </c>
      <c r="K354" s="21" t="s">
        <v>1415</v>
      </c>
      <c r="L354" s="21" t="s">
        <v>359</v>
      </c>
      <c r="M354" t="s">
        <v>360</v>
      </c>
      <c r="N354" t="s">
        <v>42</v>
      </c>
      <c r="R354" t="s">
        <v>365</v>
      </c>
      <c r="S354" t="s">
        <v>1414</v>
      </c>
      <c r="T354" t="s">
        <v>45</v>
      </c>
      <c r="U354" t="s">
        <v>1416</v>
      </c>
      <c r="V354" t="s">
        <v>363</v>
      </c>
      <c r="W354" t="s">
        <v>1417</v>
      </c>
    </row>
    <row r="355" spans="1:23" ht="15" customHeight="1" x14ac:dyDescent="0.3">
      <c r="A355" t="s">
        <v>8</v>
      </c>
      <c r="B355">
        <v>126</v>
      </c>
      <c r="C355" t="s">
        <v>354</v>
      </c>
      <c r="D355" t="s">
        <v>355</v>
      </c>
      <c r="E355" t="s">
        <v>34</v>
      </c>
      <c r="F355" t="s">
        <v>356</v>
      </c>
      <c r="G355" t="s">
        <v>36</v>
      </c>
      <c r="H355" t="s">
        <v>52</v>
      </c>
      <c r="I355" t="s">
        <v>355</v>
      </c>
      <c r="J355" t="s">
        <v>1414</v>
      </c>
      <c r="K355" s="21" t="s">
        <v>1415</v>
      </c>
      <c r="L355" s="21" t="s">
        <v>359</v>
      </c>
      <c r="M355" t="s">
        <v>360</v>
      </c>
      <c r="N355" t="s">
        <v>42</v>
      </c>
      <c r="R355" t="s">
        <v>686</v>
      </c>
      <c r="S355" t="s">
        <v>1414</v>
      </c>
      <c r="T355" t="s">
        <v>45</v>
      </c>
      <c r="U355" t="s">
        <v>1416</v>
      </c>
      <c r="V355" t="s">
        <v>363</v>
      </c>
      <c r="W355" t="s">
        <v>1417</v>
      </c>
    </row>
    <row r="356" spans="1:23" ht="15" customHeight="1" x14ac:dyDescent="0.3">
      <c r="A356" t="s">
        <v>8</v>
      </c>
      <c r="B356">
        <v>126</v>
      </c>
      <c r="C356" t="s">
        <v>354</v>
      </c>
      <c r="D356" t="s">
        <v>355</v>
      </c>
      <c r="E356" t="s">
        <v>34</v>
      </c>
      <c r="F356" t="s">
        <v>356</v>
      </c>
      <c r="G356" t="s">
        <v>36</v>
      </c>
      <c r="H356" t="s">
        <v>52</v>
      </c>
      <c r="I356" t="s">
        <v>355</v>
      </c>
      <c r="J356" t="s">
        <v>1414</v>
      </c>
      <c r="K356" s="21" t="s">
        <v>1415</v>
      </c>
      <c r="L356" s="21" t="s">
        <v>359</v>
      </c>
      <c r="M356" t="s">
        <v>360</v>
      </c>
      <c r="N356" t="s">
        <v>42</v>
      </c>
      <c r="R356" t="s">
        <v>687</v>
      </c>
      <c r="S356" t="s">
        <v>1414</v>
      </c>
      <c r="T356" t="s">
        <v>45</v>
      </c>
      <c r="U356" t="s">
        <v>1416</v>
      </c>
      <c r="V356" t="s">
        <v>363</v>
      </c>
      <c r="W356" t="s">
        <v>1417</v>
      </c>
    </row>
    <row r="357" spans="1:23" ht="15" customHeight="1" x14ac:dyDescent="0.3">
      <c r="A357" t="s">
        <v>8</v>
      </c>
      <c r="B357">
        <v>126</v>
      </c>
      <c r="C357" t="s">
        <v>354</v>
      </c>
      <c r="D357" t="s">
        <v>355</v>
      </c>
      <c r="E357" t="s">
        <v>34</v>
      </c>
      <c r="F357" t="s">
        <v>356</v>
      </c>
      <c r="G357" t="s">
        <v>36</v>
      </c>
      <c r="H357" t="s">
        <v>52</v>
      </c>
      <c r="I357" t="s">
        <v>355</v>
      </c>
      <c r="J357" t="s">
        <v>1414</v>
      </c>
      <c r="K357" s="21" t="s">
        <v>1415</v>
      </c>
      <c r="L357" s="21" t="s">
        <v>359</v>
      </c>
      <c r="M357" t="s">
        <v>360</v>
      </c>
      <c r="N357" t="s">
        <v>42</v>
      </c>
      <c r="R357" t="s">
        <v>367</v>
      </c>
      <c r="S357" t="s">
        <v>1414</v>
      </c>
      <c r="T357" t="s">
        <v>45</v>
      </c>
      <c r="U357" t="s">
        <v>1416</v>
      </c>
      <c r="V357" t="s">
        <v>363</v>
      </c>
      <c r="W357" t="s">
        <v>1417</v>
      </c>
    </row>
    <row r="358" spans="1:23" ht="15" customHeight="1" x14ac:dyDescent="0.3">
      <c r="A358" t="s">
        <v>8</v>
      </c>
      <c r="B358">
        <v>126</v>
      </c>
      <c r="C358" t="s">
        <v>354</v>
      </c>
      <c r="D358" t="s">
        <v>355</v>
      </c>
      <c r="E358" t="s">
        <v>34</v>
      </c>
      <c r="F358" t="s">
        <v>356</v>
      </c>
      <c r="G358" t="s">
        <v>36</v>
      </c>
      <c r="H358" t="s">
        <v>57</v>
      </c>
      <c r="I358" t="s">
        <v>355</v>
      </c>
      <c r="J358" t="s">
        <v>1418</v>
      </c>
      <c r="K358" s="21" t="s">
        <v>1419</v>
      </c>
      <c r="L358" s="21" t="s">
        <v>359</v>
      </c>
      <c r="M358" t="s">
        <v>360</v>
      </c>
      <c r="N358" t="s">
        <v>42</v>
      </c>
      <c r="R358" t="s">
        <v>362</v>
      </c>
      <c r="S358" t="s">
        <v>1418</v>
      </c>
      <c r="T358" t="s">
        <v>45</v>
      </c>
      <c r="U358" t="s">
        <v>1420</v>
      </c>
      <c r="V358" t="s">
        <v>363</v>
      </c>
      <c r="W358" t="s">
        <v>1421</v>
      </c>
    </row>
    <row r="359" spans="1:23" ht="15" customHeight="1" x14ac:dyDescent="0.3">
      <c r="A359" t="s">
        <v>8</v>
      </c>
      <c r="B359">
        <v>126</v>
      </c>
      <c r="C359" t="s">
        <v>354</v>
      </c>
      <c r="D359" t="s">
        <v>355</v>
      </c>
      <c r="E359" t="s">
        <v>34</v>
      </c>
      <c r="F359" t="s">
        <v>356</v>
      </c>
      <c r="G359" t="s">
        <v>36</v>
      </c>
      <c r="H359" t="s">
        <v>57</v>
      </c>
      <c r="I359" t="s">
        <v>355</v>
      </c>
      <c r="J359" t="s">
        <v>1418</v>
      </c>
      <c r="K359" s="21" t="s">
        <v>1419</v>
      </c>
      <c r="L359" s="21" t="s">
        <v>359</v>
      </c>
      <c r="M359" t="s">
        <v>360</v>
      </c>
      <c r="N359" t="s">
        <v>42</v>
      </c>
      <c r="R359" t="s">
        <v>365</v>
      </c>
      <c r="S359" t="s">
        <v>1418</v>
      </c>
      <c r="T359" t="s">
        <v>45</v>
      </c>
      <c r="U359" t="s">
        <v>1420</v>
      </c>
      <c r="V359" t="s">
        <v>363</v>
      </c>
      <c r="W359" t="s">
        <v>1421</v>
      </c>
    </row>
    <row r="360" spans="1:23" ht="15" customHeight="1" x14ac:dyDescent="0.3">
      <c r="A360" t="s">
        <v>8</v>
      </c>
      <c r="B360">
        <v>126</v>
      </c>
      <c r="C360" t="s">
        <v>354</v>
      </c>
      <c r="D360" t="s">
        <v>355</v>
      </c>
      <c r="E360" t="s">
        <v>34</v>
      </c>
      <c r="F360" t="s">
        <v>356</v>
      </c>
      <c r="G360" t="s">
        <v>36</v>
      </c>
      <c r="H360" t="s">
        <v>57</v>
      </c>
      <c r="I360" t="s">
        <v>355</v>
      </c>
      <c r="J360" t="s">
        <v>1418</v>
      </c>
      <c r="K360" s="21" t="s">
        <v>1419</v>
      </c>
      <c r="L360" s="21" t="s">
        <v>359</v>
      </c>
      <c r="M360" t="s">
        <v>360</v>
      </c>
      <c r="N360" t="s">
        <v>42</v>
      </c>
      <c r="R360" t="s">
        <v>686</v>
      </c>
      <c r="S360" t="s">
        <v>1418</v>
      </c>
      <c r="T360" t="s">
        <v>45</v>
      </c>
      <c r="U360" t="s">
        <v>1420</v>
      </c>
      <c r="V360" t="s">
        <v>363</v>
      </c>
      <c r="W360" t="s">
        <v>1421</v>
      </c>
    </row>
    <row r="361" spans="1:23" ht="15" customHeight="1" x14ac:dyDescent="0.3">
      <c r="A361" t="s">
        <v>8</v>
      </c>
      <c r="B361">
        <v>126</v>
      </c>
      <c r="C361" t="s">
        <v>354</v>
      </c>
      <c r="D361" t="s">
        <v>355</v>
      </c>
      <c r="E361" t="s">
        <v>34</v>
      </c>
      <c r="F361" t="s">
        <v>356</v>
      </c>
      <c r="G361" t="s">
        <v>36</v>
      </c>
      <c r="H361" t="s">
        <v>57</v>
      </c>
      <c r="I361" t="s">
        <v>355</v>
      </c>
      <c r="J361" t="s">
        <v>1418</v>
      </c>
      <c r="K361" s="21" t="s">
        <v>1419</v>
      </c>
      <c r="L361" s="21" t="s">
        <v>359</v>
      </c>
      <c r="M361" t="s">
        <v>360</v>
      </c>
      <c r="N361" t="s">
        <v>42</v>
      </c>
      <c r="R361" t="s">
        <v>687</v>
      </c>
      <c r="S361" t="s">
        <v>1418</v>
      </c>
      <c r="T361" t="s">
        <v>45</v>
      </c>
      <c r="U361" t="s">
        <v>1420</v>
      </c>
      <c r="V361" t="s">
        <v>363</v>
      </c>
      <c r="W361" t="s">
        <v>1421</v>
      </c>
    </row>
    <row r="362" spans="1:23" ht="15" customHeight="1" x14ac:dyDescent="0.3">
      <c r="A362" t="s">
        <v>8</v>
      </c>
      <c r="B362">
        <v>126</v>
      </c>
      <c r="C362" t="s">
        <v>354</v>
      </c>
      <c r="D362" t="s">
        <v>355</v>
      </c>
      <c r="E362" t="s">
        <v>34</v>
      </c>
      <c r="F362" t="s">
        <v>356</v>
      </c>
      <c r="G362" t="s">
        <v>36</v>
      </c>
      <c r="H362" t="s">
        <v>57</v>
      </c>
      <c r="I362" t="s">
        <v>355</v>
      </c>
      <c r="J362" t="s">
        <v>1418</v>
      </c>
      <c r="K362" s="21" t="s">
        <v>1419</v>
      </c>
      <c r="L362" s="21" t="s">
        <v>359</v>
      </c>
      <c r="M362" t="s">
        <v>360</v>
      </c>
      <c r="N362" t="s">
        <v>42</v>
      </c>
      <c r="R362" t="s">
        <v>367</v>
      </c>
      <c r="S362" t="s">
        <v>1418</v>
      </c>
      <c r="T362" t="s">
        <v>45</v>
      </c>
      <c r="U362" t="s">
        <v>1420</v>
      </c>
      <c r="V362" t="s">
        <v>363</v>
      </c>
      <c r="W362" t="s">
        <v>1421</v>
      </c>
    </row>
    <row r="363" spans="1:23" ht="15" customHeight="1" x14ac:dyDescent="0.3">
      <c r="A363" t="s">
        <v>8</v>
      </c>
      <c r="B363">
        <v>125</v>
      </c>
      <c r="C363" t="s">
        <v>354</v>
      </c>
      <c r="D363" t="s">
        <v>1422</v>
      </c>
      <c r="E363" t="s">
        <v>34</v>
      </c>
      <c r="F363" t="s">
        <v>1423</v>
      </c>
      <c r="G363" t="s">
        <v>36</v>
      </c>
      <c r="H363" t="s">
        <v>37</v>
      </c>
      <c r="I363" t="s">
        <v>1422</v>
      </c>
      <c r="J363" t="s">
        <v>1424</v>
      </c>
      <c r="K363" t="s">
        <v>1425</v>
      </c>
      <c r="L363" s="21" t="s">
        <v>1426</v>
      </c>
      <c r="M363" t="s">
        <v>375</v>
      </c>
      <c r="N363" t="s">
        <v>159</v>
      </c>
      <c r="R363" t="s">
        <v>1427</v>
      </c>
      <c r="S363" t="s">
        <v>1424</v>
      </c>
      <c r="T363" t="s">
        <v>45</v>
      </c>
      <c r="U363" t="s">
        <v>1428</v>
      </c>
      <c r="V363" t="s">
        <v>1429</v>
      </c>
      <c r="W363" t="s">
        <v>1430</v>
      </c>
    </row>
    <row r="364" spans="1:23" ht="15" customHeight="1" x14ac:dyDescent="0.3">
      <c r="A364" t="s">
        <v>8</v>
      </c>
      <c r="B364">
        <v>125</v>
      </c>
      <c r="C364" t="s">
        <v>354</v>
      </c>
      <c r="D364" t="s">
        <v>1422</v>
      </c>
      <c r="E364" t="s">
        <v>34</v>
      </c>
      <c r="F364" t="s">
        <v>1423</v>
      </c>
      <c r="G364" t="s">
        <v>36</v>
      </c>
      <c r="H364" t="s">
        <v>37</v>
      </c>
      <c r="I364" t="s">
        <v>1422</v>
      </c>
      <c r="J364" t="s">
        <v>1424</v>
      </c>
      <c r="K364" t="s">
        <v>1425</v>
      </c>
      <c r="L364" s="21" t="s">
        <v>1426</v>
      </c>
      <c r="M364" t="s">
        <v>375</v>
      </c>
      <c r="N364" t="s">
        <v>159</v>
      </c>
      <c r="R364" t="s">
        <v>1431</v>
      </c>
      <c r="S364" t="s">
        <v>1424</v>
      </c>
      <c r="T364" t="s">
        <v>45</v>
      </c>
      <c r="U364" t="s">
        <v>1428</v>
      </c>
      <c r="V364" t="s">
        <v>1429</v>
      </c>
      <c r="W364" t="s">
        <v>1430</v>
      </c>
    </row>
    <row r="365" spans="1:23" ht="15" customHeight="1" x14ac:dyDescent="0.3">
      <c r="A365" t="s">
        <v>8</v>
      </c>
      <c r="B365">
        <v>125</v>
      </c>
      <c r="C365" t="s">
        <v>354</v>
      </c>
      <c r="D365" t="s">
        <v>1422</v>
      </c>
      <c r="E365" t="s">
        <v>34</v>
      </c>
      <c r="F365" t="s">
        <v>1423</v>
      </c>
      <c r="G365" t="s">
        <v>36</v>
      </c>
      <c r="H365" t="s">
        <v>37</v>
      </c>
      <c r="I365" t="s">
        <v>1422</v>
      </c>
      <c r="J365" t="s">
        <v>1424</v>
      </c>
      <c r="K365" t="s">
        <v>1425</v>
      </c>
      <c r="L365" s="21" t="s">
        <v>1426</v>
      </c>
      <c r="M365" t="s">
        <v>375</v>
      </c>
      <c r="N365" t="s">
        <v>159</v>
      </c>
      <c r="R365" t="s">
        <v>1432</v>
      </c>
      <c r="S365" t="s">
        <v>1424</v>
      </c>
      <c r="T365" t="s">
        <v>45</v>
      </c>
      <c r="U365" t="s">
        <v>1428</v>
      </c>
      <c r="V365" t="s">
        <v>1429</v>
      </c>
      <c r="W365" t="s">
        <v>1430</v>
      </c>
    </row>
    <row r="366" spans="1:23" ht="15" customHeight="1" x14ac:dyDescent="0.3">
      <c r="A366" t="s">
        <v>8</v>
      </c>
      <c r="B366">
        <v>125</v>
      </c>
      <c r="C366" t="s">
        <v>354</v>
      </c>
      <c r="D366" t="s">
        <v>1422</v>
      </c>
      <c r="E366" t="s">
        <v>34</v>
      </c>
      <c r="F366" t="s">
        <v>1423</v>
      </c>
      <c r="G366" t="s">
        <v>36</v>
      </c>
      <c r="H366" t="s">
        <v>37</v>
      </c>
      <c r="I366" t="s">
        <v>1422</v>
      </c>
      <c r="J366" t="s">
        <v>1424</v>
      </c>
      <c r="K366" t="s">
        <v>1425</v>
      </c>
      <c r="L366" s="21" t="s">
        <v>1426</v>
      </c>
      <c r="M366" t="s">
        <v>375</v>
      </c>
      <c r="N366" t="s">
        <v>159</v>
      </c>
      <c r="R366" t="s">
        <v>1433</v>
      </c>
      <c r="S366" t="s">
        <v>1424</v>
      </c>
      <c r="T366" t="s">
        <v>45</v>
      </c>
      <c r="U366" t="s">
        <v>1428</v>
      </c>
      <c r="V366" t="s">
        <v>1429</v>
      </c>
      <c r="W366" t="s">
        <v>1430</v>
      </c>
    </row>
    <row r="367" spans="1:23" ht="15" customHeight="1" x14ac:dyDescent="0.3">
      <c r="A367" t="s">
        <v>8</v>
      </c>
      <c r="B367">
        <v>125</v>
      </c>
      <c r="C367" t="s">
        <v>354</v>
      </c>
      <c r="D367" t="s">
        <v>1422</v>
      </c>
      <c r="E367" t="s">
        <v>34</v>
      </c>
      <c r="F367" t="s">
        <v>1423</v>
      </c>
      <c r="G367" t="s">
        <v>36</v>
      </c>
      <c r="H367" t="s">
        <v>37</v>
      </c>
      <c r="I367" t="s">
        <v>1422</v>
      </c>
      <c r="J367" t="s">
        <v>1424</v>
      </c>
      <c r="K367" t="s">
        <v>1425</v>
      </c>
      <c r="L367" s="21" t="s">
        <v>1426</v>
      </c>
      <c r="M367" t="s">
        <v>375</v>
      </c>
      <c r="N367" t="s">
        <v>159</v>
      </c>
      <c r="R367" t="s">
        <v>1434</v>
      </c>
      <c r="S367" t="s">
        <v>1424</v>
      </c>
      <c r="T367" t="s">
        <v>45</v>
      </c>
      <c r="U367" t="s">
        <v>1428</v>
      </c>
      <c r="V367" t="s">
        <v>1429</v>
      </c>
      <c r="W367" t="s">
        <v>1430</v>
      </c>
    </row>
    <row r="368" spans="1:23" ht="15" customHeight="1" x14ac:dyDescent="0.3">
      <c r="A368" t="s">
        <v>8</v>
      </c>
      <c r="B368">
        <v>125</v>
      </c>
      <c r="C368" t="s">
        <v>354</v>
      </c>
      <c r="D368" t="s">
        <v>1422</v>
      </c>
      <c r="E368" t="s">
        <v>34</v>
      </c>
      <c r="F368" t="s">
        <v>1423</v>
      </c>
      <c r="G368" t="s">
        <v>36</v>
      </c>
      <c r="H368" t="s">
        <v>52</v>
      </c>
      <c r="I368" t="s">
        <v>1422</v>
      </c>
      <c r="J368" t="s">
        <v>1435</v>
      </c>
      <c r="K368" s="21" t="s">
        <v>1436</v>
      </c>
      <c r="L368" s="21" t="s">
        <v>1426</v>
      </c>
      <c r="M368" t="s">
        <v>375</v>
      </c>
      <c r="N368" t="s">
        <v>159</v>
      </c>
      <c r="R368" t="s">
        <v>1427</v>
      </c>
      <c r="S368" t="s">
        <v>1435</v>
      </c>
      <c r="T368" t="s">
        <v>45</v>
      </c>
      <c r="U368" t="s">
        <v>1437</v>
      </c>
      <c r="V368" t="s">
        <v>1429</v>
      </c>
      <c r="W368" t="s">
        <v>1438</v>
      </c>
    </row>
    <row r="369" spans="1:23" ht="15" customHeight="1" x14ac:dyDescent="0.3">
      <c r="A369" t="s">
        <v>8</v>
      </c>
      <c r="B369">
        <v>125</v>
      </c>
      <c r="C369" t="s">
        <v>354</v>
      </c>
      <c r="D369" t="s">
        <v>1422</v>
      </c>
      <c r="E369" t="s">
        <v>34</v>
      </c>
      <c r="F369" t="s">
        <v>1423</v>
      </c>
      <c r="G369" t="s">
        <v>36</v>
      </c>
      <c r="H369" t="s">
        <v>52</v>
      </c>
      <c r="I369" t="s">
        <v>1422</v>
      </c>
      <c r="J369" t="s">
        <v>1435</v>
      </c>
      <c r="K369" s="21" t="s">
        <v>1436</v>
      </c>
      <c r="L369" s="21" t="s">
        <v>1426</v>
      </c>
      <c r="M369" t="s">
        <v>375</v>
      </c>
      <c r="N369" t="s">
        <v>159</v>
      </c>
      <c r="R369" t="s">
        <v>1431</v>
      </c>
      <c r="S369" t="s">
        <v>1435</v>
      </c>
      <c r="T369" t="s">
        <v>45</v>
      </c>
      <c r="U369" t="s">
        <v>1437</v>
      </c>
      <c r="V369" t="s">
        <v>1429</v>
      </c>
      <c r="W369" t="s">
        <v>1438</v>
      </c>
    </row>
    <row r="370" spans="1:23" ht="15" customHeight="1" x14ac:dyDescent="0.3">
      <c r="A370" t="s">
        <v>8</v>
      </c>
      <c r="B370">
        <v>125</v>
      </c>
      <c r="C370" t="s">
        <v>354</v>
      </c>
      <c r="D370" t="s">
        <v>1422</v>
      </c>
      <c r="E370" t="s">
        <v>34</v>
      </c>
      <c r="F370" t="s">
        <v>1423</v>
      </c>
      <c r="G370" t="s">
        <v>36</v>
      </c>
      <c r="H370" t="s">
        <v>52</v>
      </c>
      <c r="I370" t="s">
        <v>1422</v>
      </c>
      <c r="J370" t="s">
        <v>1435</v>
      </c>
      <c r="K370" s="21" t="s">
        <v>1436</v>
      </c>
      <c r="L370" s="21" t="s">
        <v>1426</v>
      </c>
      <c r="M370" t="s">
        <v>375</v>
      </c>
      <c r="N370" t="s">
        <v>159</v>
      </c>
      <c r="R370" t="s">
        <v>1432</v>
      </c>
      <c r="S370" t="s">
        <v>1435</v>
      </c>
      <c r="T370" t="s">
        <v>45</v>
      </c>
      <c r="U370" t="s">
        <v>1437</v>
      </c>
      <c r="V370" t="s">
        <v>1429</v>
      </c>
      <c r="W370" t="s">
        <v>1438</v>
      </c>
    </row>
    <row r="371" spans="1:23" ht="15" customHeight="1" x14ac:dyDescent="0.3">
      <c r="A371" t="s">
        <v>8</v>
      </c>
      <c r="B371">
        <v>125</v>
      </c>
      <c r="C371" t="s">
        <v>354</v>
      </c>
      <c r="D371" t="s">
        <v>1422</v>
      </c>
      <c r="E371" t="s">
        <v>34</v>
      </c>
      <c r="F371" t="s">
        <v>1423</v>
      </c>
      <c r="G371" t="s">
        <v>36</v>
      </c>
      <c r="H371" t="s">
        <v>52</v>
      </c>
      <c r="I371" t="s">
        <v>1422</v>
      </c>
      <c r="J371" t="s">
        <v>1435</v>
      </c>
      <c r="K371" s="21" t="s">
        <v>1436</v>
      </c>
      <c r="L371" s="21" t="s">
        <v>1426</v>
      </c>
      <c r="M371" t="s">
        <v>375</v>
      </c>
      <c r="N371" t="s">
        <v>159</v>
      </c>
      <c r="R371" t="s">
        <v>1433</v>
      </c>
      <c r="S371" t="s">
        <v>1435</v>
      </c>
      <c r="T371" t="s">
        <v>45</v>
      </c>
      <c r="U371" t="s">
        <v>1437</v>
      </c>
      <c r="V371" t="s">
        <v>1429</v>
      </c>
      <c r="W371" t="s">
        <v>1438</v>
      </c>
    </row>
    <row r="372" spans="1:23" ht="15" customHeight="1" x14ac:dyDescent="0.3">
      <c r="A372" t="s">
        <v>8</v>
      </c>
      <c r="B372">
        <v>125</v>
      </c>
      <c r="C372" t="s">
        <v>354</v>
      </c>
      <c r="D372" t="s">
        <v>1422</v>
      </c>
      <c r="E372" t="s">
        <v>34</v>
      </c>
      <c r="F372" t="s">
        <v>1423</v>
      </c>
      <c r="G372" t="s">
        <v>36</v>
      </c>
      <c r="H372" t="s">
        <v>52</v>
      </c>
      <c r="I372" t="s">
        <v>1422</v>
      </c>
      <c r="J372" t="s">
        <v>1435</v>
      </c>
      <c r="K372" s="21" t="s">
        <v>1436</v>
      </c>
      <c r="L372" s="21" t="s">
        <v>1426</v>
      </c>
      <c r="M372" t="s">
        <v>375</v>
      </c>
      <c r="N372" t="s">
        <v>159</v>
      </c>
      <c r="R372" t="s">
        <v>1434</v>
      </c>
      <c r="S372" t="s">
        <v>1435</v>
      </c>
      <c r="T372" t="s">
        <v>45</v>
      </c>
      <c r="U372" t="s">
        <v>1437</v>
      </c>
      <c r="V372" t="s">
        <v>1429</v>
      </c>
      <c r="W372" t="s">
        <v>1438</v>
      </c>
    </row>
    <row r="373" spans="1:23" ht="15" customHeight="1" x14ac:dyDescent="0.3">
      <c r="A373" t="s">
        <v>8</v>
      </c>
      <c r="B373">
        <v>125</v>
      </c>
      <c r="C373" t="s">
        <v>354</v>
      </c>
      <c r="D373" t="s">
        <v>1422</v>
      </c>
      <c r="E373" t="s">
        <v>34</v>
      </c>
      <c r="F373" t="s">
        <v>1423</v>
      </c>
      <c r="G373" t="s">
        <v>36</v>
      </c>
      <c r="H373" t="s">
        <v>57</v>
      </c>
      <c r="I373" t="s">
        <v>1422</v>
      </c>
      <c r="J373" t="s">
        <v>1439</v>
      </c>
      <c r="K373" s="21" t="s">
        <v>1440</v>
      </c>
      <c r="L373" s="21" t="s">
        <v>1426</v>
      </c>
      <c r="M373" t="s">
        <v>375</v>
      </c>
      <c r="N373" t="s">
        <v>159</v>
      </c>
      <c r="R373" t="s">
        <v>1427</v>
      </c>
      <c r="S373" t="s">
        <v>1439</v>
      </c>
      <c r="T373" t="s">
        <v>45</v>
      </c>
      <c r="U373" t="s">
        <v>1416</v>
      </c>
      <c r="V373" t="s">
        <v>1429</v>
      </c>
      <c r="W373" t="s">
        <v>1441</v>
      </c>
    </row>
    <row r="374" spans="1:23" ht="15" customHeight="1" x14ac:dyDescent="0.3">
      <c r="A374" t="s">
        <v>8</v>
      </c>
      <c r="B374">
        <v>125</v>
      </c>
      <c r="C374" t="s">
        <v>354</v>
      </c>
      <c r="D374" t="s">
        <v>1422</v>
      </c>
      <c r="E374" t="s">
        <v>34</v>
      </c>
      <c r="F374" t="s">
        <v>1423</v>
      </c>
      <c r="G374" t="s">
        <v>36</v>
      </c>
      <c r="H374" t="s">
        <v>57</v>
      </c>
      <c r="I374" t="s">
        <v>1422</v>
      </c>
      <c r="J374" t="s">
        <v>1439</v>
      </c>
      <c r="K374" s="21" t="s">
        <v>1440</v>
      </c>
      <c r="L374" s="21" t="s">
        <v>1426</v>
      </c>
      <c r="M374" t="s">
        <v>375</v>
      </c>
      <c r="N374" t="s">
        <v>159</v>
      </c>
      <c r="R374" t="s">
        <v>1431</v>
      </c>
      <c r="S374" t="s">
        <v>1439</v>
      </c>
      <c r="T374" t="s">
        <v>45</v>
      </c>
      <c r="U374" t="s">
        <v>1416</v>
      </c>
      <c r="V374" t="s">
        <v>1429</v>
      </c>
      <c r="W374" t="s">
        <v>1441</v>
      </c>
    </row>
    <row r="375" spans="1:23" ht="15" customHeight="1" x14ac:dyDescent="0.3">
      <c r="A375" t="s">
        <v>8</v>
      </c>
      <c r="B375">
        <v>125</v>
      </c>
      <c r="C375" t="s">
        <v>354</v>
      </c>
      <c r="D375" t="s">
        <v>1422</v>
      </c>
      <c r="E375" t="s">
        <v>34</v>
      </c>
      <c r="F375" t="s">
        <v>1423</v>
      </c>
      <c r="G375" t="s">
        <v>36</v>
      </c>
      <c r="H375" t="s">
        <v>57</v>
      </c>
      <c r="I375" t="s">
        <v>1422</v>
      </c>
      <c r="J375" t="s">
        <v>1439</v>
      </c>
      <c r="K375" s="21" t="s">
        <v>1440</v>
      </c>
      <c r="L375" s="21" t="s">
        <v>1426</v>
      </c>
      <c r="M375" t="s">
        <v>375</v>
      </c>
      <c r="N375" t="s">
        <v>159</v>
      </c>
      <c r="R375" t="s">
        <v>1432</v>
      </c>
      <c r="S375" t="s">
        <v>1439</v>
      </c>
      <c r="T375" t="s">
        <v>45</v>
      </c>
      <c r="U375" t="s">
        <v>1416</v>
      </c>
      <c r="V375" t="s">
        <v>1429</v>
      </c>
      <c r="W375" t="s">
        <v>1441</v>
      </c>
    </row>
    <row r="376" spans="1:23" ht="15" customHeight="1" x14ac:dyDescent="0.3">
      <c r="A376" t="s">
        <v>8</v>
      </c>
      <c r="B376">
        <v>125</v>
      </c>
      <c r="C376" t="s">
        <v>354</v>
      </c>
      <c r="D376" t="s">
        <v>1422</v>
      </c>
      <c r="E376" t="s">
        <v>34</v>
      </c>
      <c r="F376" t="s">
        <v>1423</v>
      </c>
      <c r="G376" t="s">
        <v>36</v>
      </c>
      <c r="H376" t="s">
        <v>57</v>
      </c>
      <c r="I376" t="s">
        <v>1422</v>
      </c>
      <c r="J376" t="s">
        <v>1439</v>
      </c>
      <c r="K376" s="21" t="s">
        <v>1440</v>
      </c>
      <c r="L376" s="21" t="s">
        <v>1426</v>
      </c>
      <c r="M376" t="s">
        <v>375</v>
      </c>
      <c r="N376" t="s">
        <v>159</v>
      </c>
      <c r="R376" t="s">
        <v>1433</v>
      </c>
      <c r="S376" t="s">
        <v>1439</v>
      </c>
      <c r="T376" t="s">
        <v>45</v>
      </c>
      <c r="U376" t="s">
        <v>1416</v>
      </c>
      <c r="V376" t="s">
        <v>1429</v>
      </c>
      <c r="W376" t="s">
        <v>1441</v>
      </c>
    </row>
    <row r="377" spans="1:23" ht="15" customHeight="1" x14ac:dyDescent="0.3">
      <c r="A377" t="s">
        <v>8</v>
      </c>
      <c r="B377">
        <v>125</v>
      </c>
      <c r="C377" t="s">
        <v>354</v>
      </c>
      <c r="D377" t="s">
        <v>1422</v>
      </c>
      <c r="E377" t="s">
        <v>34</v>
      </c>
      <c r="F377" t="s">
        <v>1423</v>
      </c>
      <c r="G377" t="s">
        <v>36</v>
      </c>
      <c r="H377" t="s">
        <v>57</v>
      </c>
      <c r="I377" t="s">
        <v>1422</v>
      </c>
      <c r="J377" t="s">
        <v>1439</v>
      </c>
      <c r="K377" s="21" t="s">
        <v>1440</v>
      </c>
      <c r="L377" s="21" t="s">
        <v>1426</v>
      </c>
      <c r="M377" t="s">
        <v>375</v>
      </c>
      <c r="N377" t="s">
        <v>159</v>
      </c>
      <c r="R377" t="s">
        <v>1434</v>
      </c>
      <c r="S377" t="s">
        <v>1439</v>
      </c>
      <c r="T377" t="s">
        <v>45</v>
      </c>
      <c r="U377" t="s">
        <v>1416</v>
      </c>
      <c r="V377" t="s">
        <v>1429</v>
      </c>
      <c r="W377" t="s">
        <v>1441</v>
      </c>
    </row>
    <row r="378" spans="1:23" ht="15" customHeight="1" x14ac:dyDescent="0.3">
      <c r="A378" t="s">
        <v>8</v>
      </c>
      <c r="B378">
        <v>125</v>
      </c>
      <c r="C378" t="s">
        <v>354</v>
      </c>
      <c r="D378" t="s">
        <v>1422</v>
      </c>
      <c r="E378" t="s">
        <v>34</v>
      </c>
      <c r="F378" t="s">
        <v>1423</v>
      </c>
      <c r="G378" t="s">
        <v>36</v>
      </c>
      <c r="H378" t="s">
        <v>49</v>
      </c>
      <c r="I378" t="s">
        <v>1422</v>
      </c>
      <c r="J378" t="s">
        <v>1442</v>
      </c>
      <c r="K378" s="21" t="s">
        <v>1443</v>
      </c>
      <c r="L378" s="21" t="s">
        <v>1426</v>
      </c>
      <c r="M378" t="s">
        <v>375</v>
      </c>
      <c r="N378" t="s">
        <v>159</v>
      </c>
      <c r="R378" t="s">
        <v>1427</v>
      </c>
      <c r="S378" t="s">
        <v>1442</v>
      </c>
      <c r="T378" t="s">
        <v>1249</v>
      </c>
      <c r="U378" t="s">
        <v>1444</v>
      </c>
      <c r="V378" t="s">
        <v>1445</v>
      </c>
      <c r="W378" t="s">
        <v>1446</v>
      </c>
    </row>
    <row r="379" spans="1:23" ht="15" customHeight="1" x14ac:dyDescent="0.3">
      <c r="A379" t="s">
        <v>8</v>
      </c>
      <c r="B379">
        <v>125</v>
      </c>
      <c r="C379" t="s">
        <v>354</v>
      </c>
      <c r="D379" t="s">
        <v>1422</v>
      </c>
      <c r="E379" t="s">
        <v>34</v>
      </c>
      <c r="F379" t="s">
        <v>1423</v>
      </c>
      <c r="G379" t="s">
        <v>36</v>
      </c>
      <c r="H379" t="s">
        <v>49</v>
      </c>
      <c r="I379" t="s">
        <v>1422</v>
      </c>
      <c r="J379" t="s">
        <v>1442</v>
      </c>
      <c r="K379" s="21" t="s">
        <v>1443</v>
      </c>
      <c r="L379" s="21" t="s">
        <v>1426</v>
      </c>
      <c r="M379" t="s">
        <v>375</v>
      </c>
      <c r="N379" t="s">
        <v>159</v>
      </c>
      <c r="R379" t="s">
        <v>1431</v>
      </c>
      <c r="S379" t="s">
        <v>1442</v>
      </c>
      <c r="T379" t="s">
        <v>1249</v>
      </c>
      <c r="U379" t="s">
        <v>1444</v>
      </c>
      <c r="V379" t="s">
        <v>1445</v>
      </c>
      <c r="W379" t="s">
        <v>1446</v>
      </c>
    </row>
    <row r="380" spans="1:23" ht="15" customHeight="1" x14ac:dyDescent="0.3">
      <c r="A380" t="s">
        <v>8</v>
      </c>
      <c r="B380">
        <v>125</v>
      </c>
      <c r="C380" t="s">
        <v>354</v>
      </c>
      <c r="D380" t="s">
        <v>1422</v>
      </c>
      <c r="E380" t="s">
        <v>34</v>
      </c>
      <c r="F380" t="s">
        <v>1423</v>
      </c>
      <c r="G380" t="s">
        <v>36</v>
      </c>
      <c r="H380" t="s">
        <v>49</v>
      </c>
      <c r="I380" t="s">
        <v>1422</v>
      </c>
      <c r="J380" t="s">
        <v>1442</v>
      </c>
      <c r="K380" s="21" t="s">
        <v>1443</v>
      </c>
      <c r="L380" s="21" t="s">
        <v>1426</v>
      </c>
      <c r="M380" t="s">
        <v>375</v>
      </c>
      <c r="N380" t="s">
        <v>159</v>
      </c>
      <c r="R380" t="s">
        <v>1432</v>
      </c>
      <c r="S380" t="s">
        <v>1442</v>
      </c>
      <c r="T380" t="s">
        <v>1249</v>
      </c>
      <c r="U380" t="s">
        <v>1444</v>
      </c>
      <c r="V380" t="s">
        <v>1445</v>
      </c>
      <c r="W380" t="s">
        <v>1446</v>
      </c>
    </row>
    <row r="381" spans="1:23" ht="15" customHeight="1" x14ac:dyDescent="0.3">
      <c r="A381" t="s">
        <v>8</v>
      </c>
      <c r="B381">
        <v>125</v>
      </c>
      <c r="C381" t="s">
        <v>354</v>
      </c>
      <c r="D381" t="s">
        <v>1422</v>
      </c>
      <c r="E381" t="s">
        <v>34</v>
      </c>
      <c r="F381" t="s">
        <v>1423</v>
      </c>
      <c r="G381" t="s">
        <v>36</v>
      </c>
      <c r="H381" t="s">
        <v>49</v>
      </c>
      <c r="I381" t="s">
        <v>1422</v>
      </c>
      <c r="J381" t="s">
        <v>1442</v>
      </c>
      <c r="K381" s="21" t="s">
        <v>1443</v>
      </c>
      <c r="L381" s="21" t="s">
        <v>1426</v>
      </c>
      <c r="M381" t="s">
        <v>375</v>
      </c>
      <c r="N381" t="s">
        <v>159</v>
      </c>
      <c r="R381" t="s">
        <v>1433</v>
      </c>
      <c r="S381" t="s">
        <v>1442</v>
      </c>
      <c r="T381" t="s">
        <v>1249</v>
      </c>
      <c r="U381" t="s">
        <v>1444</v>
      </c>
      <c r="V381" t="s">
        <v>1445</v>
      </c>
      <c r="W381" t="s">
        <v>1446</v>
      </c>
    </row>
    <row r="382" spans="1:23" ht="15" customHeight="1" x14ac:dyDescent="0.3">
      <c r="A382" t="s">
        <v>8</v>
      </c>
      <c r="B382">
        <v>125</v>
      </c>
      <c r="C382" t="s">
        <v>354</v>
      </c>
      <c r="D382" t="s">
        <v>1422</v>
      </c>
      <c r="E382" t="s">
        <v>34</v>
      </c>
      <c r="F382" t="s">
        <v>1423</v>
      </c>
      <c r="G382" t="s">
        <v>36</v>
      </c>
      <c r="H382" t="s">
        <v>49</v>
      </c>
      <c r="I382" t="s">
        <v>1422</v>
      </c>
      <c r="J382" t="s">
        <v>1442</v>
      </c>
      <c r="K382" s="21" t="s">
        <v>1443</v>
      </c>
      <c r="L382" s="21" t="s">
        <v>1426</v>
      </c>
      <c r="M382" t="s">
        <v>375</v>
      </c>
      <c r="N382" t="s">
        <v>159</v>
      </c>
      <c r="R382" t="s">
        <v>1434</v>
      </c>
      <c r="S382" t="s">
        <v>1442</v>
      </c>
      <c r="T382" t="s">
        <v>1249</v>
      </c>
      <c r="U382" t="s">
        <v>1444</v>
      </c>
      <c r="V382" t="s">
        <v>1445</v>
      </c>
      <c r="W382" t="s">
        <v>1446</v>
      </c>
    </row>
    <row r="383" spans="1:23" ht="15" customHeight="1" x14ac:dyDescent="0.3">
      <c r="A383" t="s">
        <v>8</v>
      </c>
      <c r="B383">
        <v>125</v>
      </c>
      <c r="C383" t="s">
        <v>354</v>
      </c>
      <c r="D383" t="s">
        <v>1422</v>
      </c>
      <c r="E383" t="s">
        <v>34</v>
      </c>
      <c r="F383" t="s">
        <v>1423</v>
      </c>
      <c r="G383" t="s">
        <v>36</v>
      </c>
      <c r="H383" t="s">
        <v>87</v>
      </c>
      <c r="I383" t="s">
        <v>1422</v>
      </c>
      <c r="J383" t="s">
        <v>1447</v>
      </c>
      <c r="K383" s="21" t="s">
        <v>1448</v>
      </c>
      <c r="L383" s="21" t="s">
        <v>1426</v>
      </c>
      <c r="M383" t="s">
        <v>375</v>
      </c>
      <c r="N383" t="s">
        <v>159</v>
      </c>
      <c r="R383" t="s">
        <v>1427</v>
      </c>
      <c r="S383" t="s">
        <v>1447</v>
      </c>
      <c r="T383" t="s">
        <v>1249</v>
      </c>
      <c r="U383" t="s">
        <v>1449</v>
      </c>
      <c r="V383" t="s">
        <v>1445</v>
      </c>
      <c r="W383" t="s">
        <v>1446</v>
      </c>
    </row>
    <row r="384" spans="1:23" ht="15" customHeight="1" x14ac:dyDescent="0.3">
      <c r="A384" t="s">
        <v>8</v>
      </c>
      <c r="B384">
        <v>125</v>
      </c>
      <c r="C384" t="s">
        <v>354</v>
      </c>
      <c r="D384" t="s">
        <v>1422</v>
      </c>
      <c r="E384" t="s">
        <v>34</v>
      </c>
      <c r="F384" t="s">
        <v>1423</v>
      </c>
      <c r="G384" t="s">
        <v>36</v>
      </c>
      <c r="H384" t="s">
        <v>87</v>
      </c>
      <c r="I384" t="s">
        <v>1422</v>
      </c>
      <c r="J384" t="s">
        <v>1447</v>
      </c>
      <c r="K384" s="21" t="s">
        <v>1448</v>
      </c>
      <c r="L384" s="21" t="s">
        <v>1426</v>
      </c>
      <c r="M384" t="s">
        <v>375</v>
      </c>
      <c r="N384" t="s">
        <v>159</v>
      </c>
      <c r="R384" t="s">
        <v>1431</v>
      </c>
      <c r="S384" t="s">
        <v>1447</v>
      </c>
      <c r="T384" t="s">
        <v>1249</v>
      </c>
      <c r="U384" t="s">
        <v>1449</v>
      </c>
      <c r="V384" t="s">
        <v>1445</v>
      </c>
      <c r="W384" t="s">
        <v>1446</v>
      </c>
    </row>
    <row r="385" spans="1:23" ht="15" customHeight="1" x14ac:dyDescent="0.3">
      <c r="A385" t="s">
        <v>8</v>
      </c>
      <c r="B385">
        <v>125</v>
      </c>
      <c r="C385" t="s">
        <v>354</v>
      </c>
      <c r="D385" t="s">
        <v>1422</v>
      </c>
      <c r="E385" t="s">
        <v>34</v>
      </c>
      <c r="F385" t="s">
        <v>1423</v>
      </c>
      <c r="G385" t="s">
        <v>36</v>
      </c>
      <c r="H385" t="s">
        <v>87</v>
      </c>
      <c r="I385" t="s">
        <v>1422</v>
      </c>
      <c r="J385" t="s">
        <v>1447</v>
      </c>
      <c r="K385" s="21" t="s">
        <v>1448</v>
      </c>
      <c r="L385" s="21" t="s">
        <v>1426</v>
      </c>
      <c r="M385" t="s">
        <v>375</v>
      </c>
      <c r="N385" t="s">
        <v>159</v>
      </c>
      <c r="R385" t="s">
        <v>1432</v>
      </c>
      <c r="S385" t="s">
        <v>1447</v>
      </c>
      <c r="T385" t="s">
        <v>1249</v>
      </c>
      <c r="U385" t="s">
        <v>1449</v>
      </c>
      <c r="V385" t="s">
        <v>1445</v>
      </c>
      <c r="W385" t="s">
        <v>1446</v>
      </c>
    </row>
    <row r="386" spans="1:23" ht="15" customHeight="1" x14ac:dyDescent="0.3">
      <c r="A386" t="s">
        <v>8</v>
      </c>
      <c r="B386">
        <v>125</v>
      </c>
      <c r="C386" t="s">
        <v>354</v>
      </c>
      <c r="D386" t="s">
        <v>1422</v>
      </c>
      <c r="E386" t="s">
        <v>34</v>
      </c>
      <c r="F386" t="s">
        <v>1423</v>
      </c>
      <c r="G386" t="s">
        <v>36</v>
      </c>
      <c r="H386" t="s">
        <v>87</v>
      </c>
      <c r="I386" t="s">
        <v>1422</v>
      </c>
      <c r="J386" t="s">
        <v>1447</v>
      </c>
      <c r="K386" s="21" t="s">
        <v>1448</v>
      </c>
      <c r="L386" s="21" t="s">
        <v>1426</v>
      </c>
      <c r="M386" t="s">
        <v>375</v>
      </c>
      <c r="N386" t="s">
        <v>159</v>
      </c>
      <c r="R386" t="s">
        <v>1433</v>
      </c>
      <c r="S386" t="s">
        <v>1447</v>
      </c>
      <c r="T386" t="s">
        <v>1249</v>
      </c>
      <c r="U386" t="s">
        <v>1449</v>
      </c>
      <c r="V386" t="s">
        <v>1445</v>
      </c>
      <c r="W386" t="s">
        <v>1446</v>
      </c>
    </row>
    <row r="387" spans="1:23" ht="15" customHeight="1" x14ac:dyDescent="0.3">
      <c r="A387" t="s">
        <v>8</v>
      </c>
      <c r="B387">
        <v>125</v>
      </c>
      <c r="C387" t="s">
        <v>354</v>
      </c>
      <c r="D387" t="s">
        <v>1422</v>
      </c>
      <c r="E387" t="s">
        <v>34</v>
      </c>
      <c r="F387" t="s">
        <v>1423</v>
      </c>
      <c r="G387" t="s">
        <v>36</v>
      </c>
      <c r="H387" t="s">
        <v>87</v>
      </c>
      <c r="I387" t="s">
        <v>1422</v>
      </c>
      <c r="J387" t="s">
        <v>1447</v>
      </c>
      <c r="K387" s="21" t="s">
        <v>1448</v>
      </c>
      <c r="L387" s="21" t="s">
        <v>1426</v>
      </c>
      <c r="M387" t="s">
        <v>375</v>
      </c>
      <c r="N387" t="s">
        <v>159</v>
      </c>
      <c r="R387" t="s">
        <v>1434</v>
      </c>
      <c r="S387" t="s">
        <v>1447</v>
      </c>
      <c r="T387" t="s">
        <v>1249</v>
      </c>
      <c r="U387" t="s">
        <v>1449</v>
      </c>
      <c r="V387" t="s">
        <v>1445</v>
      </c>
      <c r="W387" t="s">
        <v>1446</v>
      </c>
    </row>
    <row r="388" spans="1:23" ht="15" customHeight="1" x14ac:dyDescent="0.3">
      <c r="A388" t="s">
        <v>8</v>
      </c>
      <c r="B388">
        <v>125</v>
      </c>
      <c r="C388" t="s">
        <v>354</v>
      </c>
      <c r="D388" t="s">
        <v>1422</v>
      </c>
      <c r="E388" t="s">
        <v>34</v>
      </c>
      <c r="F388" t="s">
        <v>1423</v>
      </c>
      <c r="G388" t="s">
        <v>36</v>
      </c>
      <c r="H388" t="s">
        <v>421</v>
      </c>
      <c r="I388" t="s">
        <v>1422</v>
      </c>
      <c r="J388" t="s">
        <v>1450</v>
      </c>
      <c r="K388" s="21" t="s">
        <v>1451</v>
      </c>
      <c r="L388" s="21" t="s">
        <v>1426</v>
      </c>
      <c r="M388" t="s">
        <v>375</v>
      </c>
      <c r="N388" t="s">
        <v>159</v>
      </c>
      <c r="R388" t="s">
        <v>1427</v>
      </c>
      <c r="S388" t="s">
        <v>1450</v>
      </c>
      <c r="T388" t="s">
        <v>1249</v>
      </c>
      <c r="U388" t="s">
        <v>1282</v>
      </c>
      <c r="V388" t="s">
        <v>1445</v>
      </c>
      <c r="W388" t="s">
        <v>1446</v>
      </c>
    </row>
    <row r="389" spans="1:23" ht="15" customHeight="1" x14ac:dyDescent="0.3">
      <c r="A389" t="s">
        <v>8</v>
      </c>
      <c r="B389">
        <v>125</v>
      </c>
      <c r="C389" t="s">
        <v>354</v>
      </c>
      <c r="D389" t="s">
        <v>1422</v>
      </c>
      <c r="E389" t="s">
        <v>34</v>
      </c>
      <c r="F389" t="s">
        <v>1423</v>
      </c>
      <c r="G389" t="s">
        <v>36</v>
      </c>
      <c r="H389" t="s">
        <v>421</v>
      </c>
      <c r="I389" t="s">
        <v>1422</v>
      </c>
      <c r="J389" t="s">
        <v>1450</v>
      </c>
      <c r="K389" s="21" t="s">
        <v>1451</v>
      </c>
      <c r="L389" s="21" t="s">
        <v>1426</v>
      </c>
      <c r="M389" t="s">
        <v>375</v>
      </c>
      <c r="N389" t="s">
        <v>159</v>
      </c>
      <c r="R389" t="s">
        <v>1431</v>
      </c>
      <c r="S389" t="s">
        <v>1450</v>
      </c>
      <c r="T389" t="s">
        <v>1249</v>
      </c>
      <c r="U389" t="s">
        <v>1282</v>
      </c>
      <c r="V389" t="s">
        <v>1445</v>
      </c>
      <c r="W389" t="s">
        <v>1446</v>
      </c>
    </row>
    <row r="390" spans="1:23" ht="15" customHeight="1" x14ac:dyDescent="0.3">
      <c r="A390" t="s">
        <v>8</v>
      </c>
      <c r="B390">
        <v>125</v>
      </c>
      <c r="C390" t="s">
        <v>354</v>
      </c>
      <c r="D390" t="s">
        <v>1422</v>
      </c>
      <c r="E390" t="s">
        <v>34</v>
      </c>
      <c r="F390" t="s">
        <v>1423</v>
      </c>
      <c r="G390" t="s">
        <v>36</v>
      </c>
      <c r="H390" t="s">
        <v>421</v>
      </c>
      <c r="I390" t="s">
        <v>1422</v>
      </c>
      <c r="J390" t="s">
        <v>1450</v>
      </c>
      <c r="K390" s="21" t="s">
        <v>1451</v>
      </c>
      <c r="L390" s="21" t="s">
        <v>1426</v>
      </c>
      <c r="M390" t="s">
        <v>375</v>
      </c>
      <c r="N390" t="s">
        <v>159</v>
      </c>
      <c r="R390" t="s">
        <v>1432</v>
      </c>
      <c r="S390" t="s">
        <v>1450</v>
      </c>
      <c r="T390" t="s">
        <v>1249</v>
      </c>
      <c r="U390" t="s">
        <v>1282</v>
      </c>
      <c r="V390" t="s">
        <v>1445</v>
      </c>
      <c r="W390" t="s">
        <v>1446</v>
      </c>
    </row>
    <row r="391" spans="1:23" ht="15" customHeight="1" x14ac:dyDescent="0.3">
      <c r="A391" t="s">
        <v>8</v>
      </c>
      <c r="B391">
        <v>125</v>
      </c>
      <c r="C391" t="s">
        <v>354</v>
      </c>
      <c r="D391" t="s">
        <v>1422</v>
      </c>
      <c r="E391" t="s">
        <v>34</v>
      </c>
      <c r="F391" t="s">
        <v>1423</v>
      </c>
      <c r="G391" t="s">
        <v>36</v>
      </c>
      <c r="H391" t="s">
        <v>421</v>
      </c>
      <c r="I391" t="s">
        <v>1422</v>
      </c>
      <c r="J391" t="s">
        <v>1450</v>
      </c>
      <c r="K391" s="21" t="s">
        <v>1451</v>
      </c>
      <c r="L391" s="21" t="s">
        <v>1426</v>
      </c>
      <c r="M391" t="s">
        <v>375</v>
      </c>
      <c r="N391" t="s">
        <v>159</v>
      </c>
      <c r="R391" t="s">
        <v>1433</v>
      </c>
      <c r="S391" t="s">
        <v>1450</v>
      </c>
      <c r="T391" t="s">
        <v>1249</v>
      </c>
      <c r="U391" t="s">
        <v>1282</v>
      </c>
      <c r="V391" t="s">
        <v>1445</v>
      </c>
      <c r="W391" t="s">
        <v>1446</v>
      </c>
    </row>
    <row r="392" spans="1:23" ht="15" customHeight="1" x14ac:dyDescent="0.3">
      <c r="A392" t="s">
        <v>8</v>
      </c>
      <c r="B392">
        <v>125</v>
      </c>
      <c r="C392" t="s">
        <v>354</v>
      </c>
      <c r="D392" t="s">
        <v>1422</v>
      </c>
      <c r="E392" t="s">
        <v>34</v>
      </c>
      <c r="F392" t="s">
        <v>1423</v>
      </c>
      <c r="G392" t="s">
        <v>36</v>
      </c>
      <c r="H392" t="s">
        <v>421</v>
      </c>
      <c r="I392" t="s">
        <v>1422</v>
      </c>
      <c r="J392" t="s">
        <v>1450</v>
      </c>
      <c r="K392" s="21" t="s">
        <v>1451</v>
      </c>
      <c r="L392" s="21" t="s">
        <v>1426</v>
      </c>
      <c r="M392" t="s">
        <v>375</v>
      </c>
      <c r="N392" t="s">
        <v>159</v>
      </c>
      <c r="R392" t="s">
        <v>1434</v>
      </c>
      <c r="S392" t="s">
        <v>1450</v>
      </c>
      <c r="T392" t="s">
        <v>1249</v>
      </c>
      <c r="U392" t="s">
        <v>1282</v>
      </c>
      <c r="V392" t="s">
        <v>1445</v>
      </c>
      <c r="W392" t="s">
        <v>1446</v>
      </c>
    </row>
    <row r="393" spans="1:23" ht="15" customHeight="1" x14ac:dyDescent="0.3">
      <c r="A393" t="s">
        <v>8</v>
      </c>
      <c r="B393">
        <v>125</v>
      </c>
      <c r="C393" t="s">
        <v>354</v>
      </c>
      <c r="D393" t="s">
        <v>1422</v>
      </c>
      <c r="E393" t="s">
        <v>34</v>
      </c>
      <c r="F393" t="s">
        <v>1423</v>
      </c>
      <c r="G393" t="s">
        <v>36</v>
      </c>
      <c r="H393" t="s">
        <v>182</v>
      </c>
      <c r="I393" t="s">
        <v>1422</v>
      </c>
      <c r="J393" t="s">
        <v>1452</v>
      </c>
      <c r="K393" s="21" t="s">
        <v>1453</v>
      </c>
      <c r="L393" s="21" t="s">
        <v>1426</v>
      </c>
      <c r="M393" t="s">
        <v>375</v>
      </c>
      <c r="N393" t="s">
        <v>159</v>
      </c>
      <c r="R393" t="s">
        <v>1427</v>
      </c>
      <c r="S393" t="s">
        <v>1452</v>
      </c>
      <c r="T393" t="s">
        <v>1249</v>
      </c>
      <c r="U393" t="s">
        <v>1454</v>
      </c>
      <c r="V393" t="s">
        <v>1445</v>
      </c>
      <c r="W393" t="s">
        <v>1446</v>
      </c>
    </row>
    <row r="394" spans="1:23" ht="15" customHeight="1" x14ac:dyDescent="0.3">
      <c r="A394" t="s">
        <v>8</v>
      </c>
      <c r="B394">
        <v>125</v>
      </c>
      <c r="C394" t="s">
        <v>354</v>
      </c>
      <c r="D394" t="s">
        <v>1422</v>
      </c>
      <c r="E394" t="s">
        <v>34</v>
      </c>
      <c r="F394" t="s">
        <v>1423</v>
      </c>
      <c r="G394" t="s">
        <v>36</v>
      </c>
      <c r="H394" t="s">
        <v>182</v>
      </c>
      <c r="I394" t="s">
        <v>1422</v>
      </c>
      <c r="J394" t="s">
        <v>1452</v>
      </c>
      <c r="K394" s="21" t="s">
        <v>1453</v>
      </c>
      <c r="L394" s="21" t="s">
        <v>1426</v>
      </c>
      <c r="M394" t="s">
        <v>375</v>
      </c>
      <c r="N394" t="s">
        <v>159</v>
      </c>
      <c r="R394" t="s">
        <v>1431</v>
      </c>
      <c r="S394" t="s">
        <v>1452</v>
      </c>
      <c r="T394" t="s">
        <v>1249</v>
      </c>
      <c r="U394" t="s">
        <v>1454</v>
      </c>
      <c r="V394" t="s">
        <v>1445</v>
      </c>
      <c r="W394" t="s">
        <v>1446</v>
      </c>
    </row>
    <row r="395" spans="1:23" ht="15" customHeight="1" x14ac:dyDescent="0.3">
      <c r="A395" t="s">
        <v>8</v>
      </c>
      <c r="B395">
        <v>125</v>
      </c>
      <c r="C395" t="s">
        <v>354</v>
      </c>
      <c r="D395" t="s">
        <v>1422</v>
      </c>
      <c r="E395" t="s">
        <v>34</v>
      </c>
      <c r="F395" t="s">
        <v>1423</v>
      </c>
      <c r="G395" t="s">
        <v>36</v>
      </c>
      <c r="H395" t="s">
        <v>182</v>
      </c>
      <c r="I395" t="s">
        <v>1422</v>
      </c>
      <c r="J395" t="s">
        <v>1452</v>
      </c>
      <c r="K395" s="21" t="s">
        <v>1453</v>
      </c>
      <c r="L395" s="21" t="s">
        <v>1426</v>
      </c>
      <c r="M395" t="s">
        <v>375</v>
      </c>
      <c r="N395" t="s">
        <v>159</v>
      </c>
      <c r="R395" t="s">
        <v>1432</v>
      </c>
      <c r="S395" t="s">
        <v>1452</v>
      </c>
      <c r="T395" t="s">
        <v>1249</v>
      </c>
      <c r="U395" t="s">
        <v>1454</v>
      </c>
      <c r="V395" t="s">
        <v>1445</v>
      </c>
      <c r="W395" t="s">
        <v>1446</v>
      </c>
    </row>
    <row r="396" spans="1:23" ht="15" customHeight="1" x14ac:dyDescent="0.3">
      <c r="A396" t="s">
        <v>8</v>
      </c>
      <c r="B396">
        <v>125</v>
      </c>
      <c r="C396" t="s">
        <v>354</v>
      </c>
      <c r="D396" t="s">
        <v>1422</v>
      </c>
      <c r="E396" t="s">
        <v>34</v>
      </c>
      <c r="F396" t="s">
        <v>1423</v>
      </c>
      <c r="G396" t="s">
        <v>36</v>
      </c>
      <c r="H396" t="s">
        <v>182</v>
      </c>
      <c r="I396" t="s">
        <v>1422</v>
      </c>
      <c r="J396" t="s">
        <v>1452</v>
      </c>
      <c r="K396" s="21" t="s">
        <v>1453</v>
      </c>
      <c r="L396" s="21" t="s">
        <v>1426</v>
      </c>
      <c r="M396" t="s">
        <v>375</v>
      </c>
      <c r="N396" t="s">
        <v>159</v>
      </c>
      <c r="R396" t="s">
        <v>1433</v>
      </c>
      <c r="S396" t="s">
        <v>1452</v>
      </c>
      <c r="T396" t="s">
        <v>1249</v>
      </c>
      <c r="U396" t="s">
        <v>1454</v>
      </c>
      <c r="V396" t="s">
        <v>1445</v>
      </c>
      <c r="W396" t="s">
        <v>1446</v>
      </c>
    </row>
    <row r="397" spans="1:23" ht="15" customHeight="1" x14ac:dyDescent="0.3">
      <c r="A397" t="s">
        <v>8</v>
      </c>
      <c r="B397">
        <v>125</v>
      </c>
      <c r="C397" t="s">
        <v>354</v>
      </c>
      <c r="D397" t="s">
        <v>1422</v>
      </c>
      <c r="E397" t="s">
        <v>34</v>
      </c>
      <c r="F397" t="s">
        <v>1423</v>
      </c>
      <c r="G397" t="s">
        <v>36</v>
      </c>
      <c r="H397" t="s">
        <v>182</v>
      </c>
      <c r="I397" t="s">
        <v>1422</v>
      </c>
      <c r="J397" t="s">
        <v>1452</v>
      </c>
      <c r="K397" s="21" t="s">
        <v>1453</v>
      </c>
      <c r="L397" s="21" t="s">
        <v>1426</v>
      </c>
      <c r="M397" t="s">
        <v>375</v>
      </c>
      <c r="N397" t="s">
        <v>159</v>
      </c>
      <c r="R397" t="s">
        <v>1434</v>
      </c>
      <c r="S397" t="s">
        <v>1452</v>
      </c>
      <c r="T397" t="s">
        <v>1249</v>
      </c>
      <c r="U397" t="s">
        <v>1454</v>
      </c>
      <c r="V397" t="s">
        <v>1445</v>
      </c>
      <c r="W397" t="s">
        <v>1446</v>
      </c>
    </row>
    <row r="398" spans="1:23" ht="15" customHeight="1" x14ac:dyDescent="0.3">
      <c r="A398" t="s">
        <v>8</v>
      </c>
      <c r="B398">
        <v>125</v>
      </c>
      <c r="C398" t="s">
        <v>354</v>
      </c>
      <c r="D398" t="s">
        <v>1422</v>
      </c>
      <c r="E398" t="s">
        <v>34</v>
      </c>
      <c r="F398" t="s">
        <v>1423</v>
      </c>
      <c r="G398" t="s">
        <v>36</v>
      </c>
      <c r="H398" t="s">
        <v>1242</v>
      </c>
      <c r="I398" t="s">
        <v>1422</v>
      </c>
      <c r="J398" t="s">
        <v>1455</v>
      </c>
      <c r="K398" s="21" t="s">
        <v>1456</v>
      </c>
      <c r="L398" s="21" t="s">
        <v>1426</v>
      </c>
      <c r="M398" t="s">
        <v>375</v>
      </c>
      <c r="N398" t="s">
        <v>159</v>
      </c>
      <c r="R398" t="s">
        <v>1427</v>
      </c>
      <c r="S398" t="s">
        <v>1455</v>
      </c>
      <c r="T398" t="s">
        <v>1249</v>
      </c>
      <c r="U398" t="s">
        <v>1270</v>
      </c>
      <c r="V398" t="s">
        <v>1457</v>
      </c>
      <c r="W398" t="s">
        <v>1458</v>
      </c>
    </row>
    <row r="399" spans="1:23" ht="15" customHeight="1" x14ac:dyDescent="0.3">
      <c r="A399" t="s">
        <v>8</v>
      </c>
      <c r="B399">
        <v>125</v>
      </c>
      <c r="C399" t="s">
        <v>354</v>
      </c>
      <c r="D399" t="s">
        <v>1422</v>
      </c>
      <c r="E399" t="s">
        <v>34</v>
      </c>
      <c r="F399" t="s">
        <v>1423</v>
      </c>
      <c r="G399" t="s">
        <v>36</v>
      </c>
      <c r="H399" t="s">
        <v>1242</v>
      </c>
      <c r="I399" t="s">
        <v>1422</v>
      </c>
      <c r="J399" t="s">
        <v>1455</v>
      </c>
      <c r="K399" s="21" t="s">
        <v>1456</v>
      </c>
      <c r="L399" s="21" t="s">
        <v>1426</v>
      </c>
      <c r="M399" t="s">
        <v>375</v>
      </c>
      <c r="N399" t="s">
        <v>159</v>
      </c>
      <c r="R399" t="s">
        <v>1431</v>
      </c>
      <c r="S399" t="s">
        <v>1455</v>
      </c>
      <c r="T399" t="s">
        <v>1249</v>
      </c>
      <c r="U399" t="s">
        <v>1270</v>
      </c>
      <c r="V399" t="s">
        <v>1457</v>
      </c>
      <c r="W399" t="s">
        <v>1458</v>
      </c>
    </row>
    <row r="400" spans="1:23" ht="15" customHeight="1" x14ac:dyDescent="0.3">
      <c r="A400" t="s">
        <v>8</v>
      </c>
      <c r="B400">
        <v>125</v>
      </c>
      <c r="C400" t="s">
        <v>354</v>
      </c>
      <c r="D400" t="s">
        <v>1422</v>
      </c>
      <c r="E400" t="s">
        <v>34</v>
      </c>
      <c r="F400" t="s">
        <v>1423</v>
      </c>
      <c r="G400" t="s">
        <v>36</v>
      </c>
      <c r="H400" t="s">
        <v>1242</v>
      </c>
      <c r="I400" t="s">
        <v>1422</v>
      </c>
      <c r="J400" t="s">
        <v>1455</v>
      </c>
      <c r="K400" s="21" t="s">
        <v>1456</v>
      </c>
      <c r="L400" s="21" t="s">
        <v>1426</v>
      </c>
      <c r="M400" t="s">
        <v>375</v>
      </c>
      <c r="N400" t="s">
        <v>159</v>
      </c>
      <c r="R400" t="s">
        <v>1432</v>
      </c>
      <c r="S400" t="s">
        <v>1455</v>
      </c>
      <c r="T400" t="s">
        <v>1249</v>
      </c>
      <c r="U400" t="s">
        <v>1270</v>
      </c>
      <c r="V400" t="s">
        <v>1457</v>
      </c>
      <c r="W400" t="s">
        <v>1458</v>
      </c>
    </row>
    <row r="401" spans="1:23" ht="15" customHeight="1" x14ac:dyDescent="0.3">
      <c r="A401" t="s">
        <v>8</v>
      </c>
      <c r="B401">
        <v>125</v>
      </c>
      <c r="C401" t="s">
        <v>354</v>
      </c>
      <c r="D401" t="s">
        <v>1422</v>
      </c>
      <c r="E401" t="s">
        <v>34</v>
      </c>
      <c r="F401" t="s">
        <v>1423</v>
      </c>
      <c r="G401" t="s">
        <v>36</v>
      </c>
      <c r="H401" t="s">
        <v>1242</v>
      </c>
      <c r="I401" t="s">
        <v>1422</v>
      </c>
      <c r="J401" t="s">
        <v>1455</v>
      </c>
      <c r="K401" s="21" t="s">
        <v>1456</v>
      </c>
      <c r="L401" s="21" t="s">
        <v>1426</v>
      </c>
      <c r="M401" t="s">
        <v>375</v>
      </c>
      <c r="N401" t="s">
        <v>159</v>
      </c>
      <c r="R401" t="s">
        <v>1433</v>
      </c>
      <c r="S401" t="s">
        <v>1455</v>
      </c>
      <c r="T401" t="s">
        <v>1249</v>
      </c>
      <c r="U401" t="s">
        <v>1270</v>
      </c>
      <c r="V401" t="s">
        <v>1457</v>
      </c>
      <c r="W401" t="s">
        <v>1458</v>
      </c>
    </row>
    <row r="402" spans="1:23" ht="15" customHeight="1" x14ac:dyDescent="0.3">
      <c r="A402" t="s">
        <v>8</v>
      </c>
      <c r="B402">
        <v>125</v>
      </c>
      <c r="C402" t="s">
        <v>354</v>
      </c>
      <c r="D402" t="s">
        <v>1422</v>
      </c>
      <c r="E402" t="s">
        <v>34</v>
      </c>
      <c r="F402" t="s">
        <v>1423</v>
      </c>
      <c r="G402" t="s">
        <v>36</v>
      </c>
      <c r="H402" t="s">
        <v>1242</v>
      </c>
      <c r="I402" t="s">
        <v>1422</v>
      </c>
      <c r="J402" t="s">
        <v>1455</v>
      </c>
      <c r="K402" s="21" t="s">
        <v>1456</v>
      </c>
      <c r="L402" s="21" t="s">
        <v>1426</v>
      </c>
      <c r="M402" t="s">
        <v>375</v>
      </c>
      <c r="N402" t="s">
        <v>159</v>
      </c>
      <c r="R402" t="s">
        <v>1434</v>
      </c>
      <c r="S402" t="s">
        <v>1455</v>
      </c>
      <c r="T402" t="s">
        <v>1249</v>
      </c>
      <c r="U402" t="s">
        <v>1270</v>
      </c>
      <c r="V402" t="s">
        <v>1457</v>
      </c>
      <c r="W402" t="s">
        <v>1458</v>
      </c>
    </row>
    <row r="403" spans="1:23" ht="15" customHeight="1" x14ac:dyDescent="0.3">
      <c r="A403" t="s">
        <v>8</v>
      </c>
      <c r="B403">
        <v>125</v>
      </c>
      <c r="C403" t="s">
        <v>354</v>
      </c>
      <c r="D403" t="s">
        <v>1422</v>
      </c>
      <c r="E403" t="s">
        <v>34</v>
      </c>
      <c r="F403" t="s">
        <v>1423</v>
      </c>
      <c r="G403" t="s">
        <v>36</v>
      </c>
      <c r="H403" t="s">
        <v>425</v>
      </c>
      <c r="I403" t="s">
        <v>1422</v>
      </c>
      <c r="J403" t="s">
        <v>1459</v>
      </c>
      <c r="K403" s="21" t="s">
        <v>1460</v>
      </c>
      <c r="L403" s="21" t="s">
        <v>1426</v>
      </c>
      <c r="M403" t="s">
        <v>375</v>
      </c>
      <c r="N403" t="s">
        <v>159</v>
      </c>
      <c r="R403" t="s">
        <v>1427</v>
      </c>
      <c r="S403" t="s">
        <v>1459</v>
      </c>
      <c r="T403" t="s">
        <v>1249</v>
      </c>
      <c r="U403" t="s">
        <v>1461</v>
      </c>
      <c r="V403" t="s">
        <v>1457</v>
      </c>
      <c r="W403" t="s">
        <v>1458</v>
      </c>
    </row>
    <row r="404" spans="1:23" ht="15" customHeight="1" x14ac:dyDescent="0.3">
      <c r="A404" t="s">
        <v>8</v>
      </c>
      <c r="B404">
        <v>125</v>
      </c>
      <c r="C404" t="s">
        <v>354</v>
      </c>
      <c r="D404" t="s">
        <v>1422</v>
      </c>
      <c r="E404" t="s">
        <v>34</v>
      </c>
      <c r="F404" t="s">
        <v>1423</v>
      </c>
      <c r="G404" t="s">
        <v>36</v>
      </c>
      <c r="H404" t="s">
        <v>425</v>
      </c>
      <c r="I404" t="s">
        <v>1422</v>
      </c>
      <c r="J404" t="s">
        <v>1459</v>
      </c>
      <c r="K404" s="21" t="s">
        <v>1460</v>
      </c>
      <c r="L404" s="21" t="s">
        <v>1426</v>
      </c>
      <c r="M404" t="s">
        <v>375</v>
      </c>
      <c r="N404" t="s">
        <v>159</v>
      </c>
      <c r="R404" t="s">
        <v>1431</v>
      </c>
      <c r="S404" t="s">
        <v>1459</v>
      </c>
      <c r="T404" t="s">
        <v>1249</v>
      </c>
      <c r="U404" t="s">
        <v>1461</v>
      </c>
      <c r="V404" t="s">
        <v>1457</v>
      </c>
      <c r="W404" t="s">
        <v>1458</v>
      </c>
    </row>
    <row r="405" spans="1:23" ht="15" customHeight="1" x14ac:dyDescent="0.3">
      <c r="A405" t="s">
        <v>8</v>
      </c>
      <c r="B405">
        <v>125</v>
      </c>
      <c r="C405" t="s">
        <v>354</v>
      </c>
      <c r="D405" t="s">
        <v>1422</v>
      </c>
      <c r="E405" t="s">
        <v>34</v>
      </c>
      <c r="F405" t="s">
        <v>1423</v>
      </c>
      <c r="G405" t="s">
        <v>36</v>
      </c>
      <c r="H405" t="s">
        <v>425</v>
      </c>
      <c r="I405" t="s">
        <v>1422</v>
      </c>
      <c r="J405" t="s">
        <v>1459</v>
      </c>
      <c r="K405" s="21" t="s">
        <v>1460</v>
      </c>
      <c r="L405" s="21" t="s">
        <v>1426</v>
      </c>
      <c r="M405" t="s">
        <v>375</v>
      </c>
      <c r="N405" t="s">
        <v>159</v>
      </c>
      <c r="R405" t="s">
        <v>1432</v>
      </c>
      <c r="S405" t="s">
        <v>1459</v>
      </c>
      <c r="T405" t="s">
        <v>1249</v>
      </c>
      <c r="U405" t="s">
        <v>1461</v>
      </c>
      <c r="V405" t="s">
        <v>1457</v>
      </c>
      <c r="W405" t="s">
        <v>1458</v>
      </c>
    </row>
    <row r="406" spans="1:23" ht="15" customHeight="1" x14ac:dyDescent="0.3">
      <c r="A406" t="s">
        <v>8</v>
      </c>
      <c r="B406">
        <v>125</v>
      </c>
      <c r="C406" t="s">
        <v>354</v>
      </c>
      <c r="D406" t="s">
        <v>1422</v>
      </c>
      <c r="E406" t="s">
        <v>34</v>
      </c>
      <c r="F406" t="s">
        <v>1423</v>
      </c>
      <c r="G406" t="s">
        <v>36</v>
      </c>
      <c r="H406" t="s">
        <v>425</v>
      </c>
      <c r="I406" t="s">
        <v>1422</v>
      </c>
      <c r="J406" t="s">
        <v>1459</v>
      </c>
      <c r="K406" s="21" t="s">
        <v>1460</v>
      </c>
      <c r="L406" s="21" t="s">
        <v>1426</v>
      </c>
      <c r="M406" t="s">
        <v>375</v>
      </c>
      <c r="N406" t="s">
        <v>159</v>
      </c>
      <c r="R406" t="s">
        <v>1433</v>
      </c>
      <c r="S406" t="s">
        <v>1459</v>
      </c>
      <c r="T406" t="s">
        <v>1249</v>
      </c>
      <c r="U406" t="s">
        <v>1461</v>
      </c>
      <c r="V406" t="s">
        <v>1457</v>
      </c>
      <c r="W406" t="s">
        <v>1458</v>
      </c>
    </row>
    <row r="407" spans="1:23" ht="15" customHeight="1" x14ac:dyDescent="0.3">
      <c r="A407" t="s">
        <v>8</v>
      </c>
      <c r="B407">
        <v>125</v>
      </c>
      <c r="C407" t="s">
        <v>354</v>
      </c>
      <c r="D407" t="s">
        <v>1422</v>
      </c>
      <c r="E407" t="s">
        <v>34</v>
      </c>
      <c r="F407" t="s">
        <v>1423</v>
      </c>
      <c r="G407" t="s">
        <v>36</v>
      </c>
      <c r="H407" t="s">
        <v>425</v>
      </c>
      <c r="I407" t="s">
        <v>1422</v>
      </c>
      <c r="J407" t="s">
        <v>1459</v>
      </c>
      <c r="K407" s="21" t="s">
        <v>1460</v>
      </c>
      <c r="L407" s="21" t="s">
        <v>1426</v>
      </c>
      <c r="M407" t="s">
        <v>375</v>
      </c>
      <c r="N407" t="s">
        <v>159</v>
      </c>
      <c r="R407" t="s">
        <v>1434</v>
      </c>
      <c r="S407" t="s">
        <v>1459</v>
      </c>
      <c r="T407" t="s">
        <v>1249</v>
      </c>
      <c r="U407" t="s">
        <v>1461</v>
      </c>
      <c r="V407" t="s">
        <v>1457</v>
      </c>
      <c r="W407" t="s">
        <v>1458</v>
      </c>
    </row>
    <row r="408" spans="1:23" ht="15" customHeight="1" x14ac:dyDescent="0.3">
      <c r="A408" t="s">
        <v>8</v>
      </c>
      <c r="B408">
        <v>125</v>
      </c>
      <c r="C408" t="s">
        <v>354</v>
      </c>
      <c r="D408" t="s">
        <v>1422</v>
      </c>
      <c r="E408" t="s">
        <v>34</v>
      </c>
      <c r="F408" t="s">
        <v>1423</v>
      </c>
      <c r="G408" t="s">
        <v>36</v>
      </c>
      <c r="H408" t="s">
        <v>996</v>
      </c>
      <c r="I408" t="s">
        <v>1422</v>
      </c>
      <c r="J408" t="s">
        <v>1462</v>
      </c>
      <c r="K408" s="21" t="s">
        <v>1463</v>
      </c>
      <c r="L408" s="21" t="s">
        <v>1426</v>
      </c>
      <c r="M408" t="s">
        <v>375</v>
      </c>
      <c r="N408" t="s">
        <v>159</v>
      </c>
      <c r="R408" t="s">
        <v>1427</v>
      </c>
      <c r="S408" t="s">
        <v>1462</v>
      </c>
      <c r="T408" t="s">
        <v>1249</v>
      </c>
      <c r="U408" t="s">
        <v>1464</v>
      </c>
      <c r="V408" t="s">
        <v>1457</v>
      </c>
      <c r="W408" t="s">
        <v>1458</v>
      </c>
    </row>
    <row r="409" spans="1:23" ht="15" customHeight="1" x14ac:dyDescent="0.3">
      <c r="A409" t="s">
        <v>8</v>
      </c>
      <c r="B409">
        <v>125</v>
      </c>
      <c r="C409" t="s">
        <v>354</v>
      </c>
      <c r="D409" t="s">
        <v>1422</v>
      </c>
      <c r="E409" t="s">
        <v>34</v>
      </c>
      <c r="F409" t="s">
        <v>1423</v>
      </c>
      <c r="G409" t="s">
        <v>36</v>
      </c>
      <c r="H409" t="s">
        <v>996</v>
      </c>
      <c r="I409" t="s">
        <v>1422</v>
      </c>
      <c r="J409" t="s">
        <v>1462</v>
      </c>
      <c r="K409" s="21" t="s">
        <v>1463</v>
      </c>
      <c r="L409" s="21" t="s">
        <v>1426</v>
      </c>
      <c r="M409" t="s">
        <v>375</v>
      </c>
      <c r="N409" t="s">
        <v>159</v>
      </c>
      <c r="R409" t="s">
        <v>1431</v>
      </c>
      <c r="S409" t="s">
        <v>1462</v>
      </c>
      <c r="T409" t="s">
        <v>1249</v>
      </c>
      <c r="U409" t="s">
        <v>1464</v>
      </c>
      <c r="V409" t="s">
        <v>1457</v>
      </c>
      <c r="W409" t="s">
        <v>1458</v>
      </c>
    </row>
    <row r="410" spans="1:23" ht="15" customHeight="1" x14ac:dyDescent="0.3">
      <c r="A410" t="s">
        <v>8</v>
      </c>
      <c r="B410">
        <v>125</v>
      </c>
      <c r="C410" t="s">
        <v>354</v>
      </c>
      <c r="D410" t="s">
        <v>1422</v>
      </c>
      <c r="E410" t="s">
        <v>34</v>
      </c>
      <c r="F410" t="s">
        <v>1423</v>
      </c>
      <c r="G410" t="s">
        <v>36</v>
      </c>
      <c r="H410" t="s">
        <v>996</v>
      </c>
      <c r="I410" t="s">
        <v>1422</v>
      </c>
      <c r="J410" t="s">
        <v>1462</v>
      </c>
      <c r="K410" s="21" t="s">
        <v>1463</v>
      </c>
      <c r="L410" s="21" t="s">
        <v>1426</v>
      </c>
      <c r="M410" t="s">
        <v>375</v>
      </c>
      <c r="N410" t="s">
        <v>159</v>
      </c>
      <c r="R410" t="s">
        <v>1432</v>
      </c>
      <c r="S410" t="s">
        <v>1462</v>
      </c>
      <c r="T410" t="s">
        <v>1249</v>
      </c>
      <c r="U410" t="s">
        <v>1464</v>
      </c>
      <c r="V410" t="s">
        <v>1457</v>
      </c>
      <c r="W410" t="s">
        <v>1458</v>
      </c>
    </row>
    <row r="411" spans="1:23" ht="15" customHeight="1" x14ac:dyDescent="0.3">
      <c r="A411" t="s">
        <v>8</v>
      </c>
      <c r="B411">
        <v>125</v>
      </c>
      <c r="C411" t="s">
        <v>354</v>
      </c>
      <c r="D411" t="s">
        <v>1422</v>
      </c>
      <c r="E411" t="s">
        <v>34</v>
      </c>
      <c r="F411" t="s">
        <v>1423</v>
      </c>
      <c r="G411" t="s">
        <v>36</v>
      </c>
      <c r="H411" t="s">
        <v>996</v>
      </c>
      <c r="I411" t="s">
        <v>1422</v>
      </c>
      <c r="J411" t="s">
        <v>1462</v>
      </c>
      <c r="K411" s="21" t="s">
        <v>1463</v>
      </c>
      <c r="L411" s="21" t="s">
        <v>1426</v>
      </c>
      <c r="M411" t="s">
        <v>375</v>
      </c>
      <c r="N411" t="s">
        <v>159</v>
      </c>
      <c r="R411" t="s">
        <v>1433</v>
      </c>
      <c r="S411" t="s">
        <v>1462</v>
      </c>
      <c r="T411" t="s">
        <v>1249</v>
      </c>
      <c r="U411" t="s">
        <v>1464</v>
      </c>
      <c r="V411" t="s">
        <v>1457</v>
      </c>
      <c r="W411" t="s">
        <v>1458</v>
      </c>
    </row>
    <row r="412" spans="1:23" ht="15" customHeight="1" x14ac:dyDescent="0.3">
      <c r="A412" t="s">
        <v>8</v>
      </c>
      <c r="B412">
        <v>125</v>
      </c>
      <c r="C412" t="s">
        <v>354</v>
      </c>
      <c r="D412" t="s">
        <v>1422</v>
      </c>
      <c r="E412" t="s">
        <v>34</v>
      </c>
      <c r="F412" t="s">
        <v>1423</v>
      </c>
      <c r="G412" t="s">
        <v>36</v>
      </c>
      <c r="H412" t="s">
        <v>996</v>
      </c>
      <c r="I412" t="s">
        <v>1422</v>
      </c>
      <c r="J412" t="s">
        <v>1462</v>
      </c>
      <c r="K412" s="21" t="s">
        <v>1463</v>
      </c>
      <c r="L412" s="21" t="s">
        <v>1426</v>
      </c>
      <c r="M412" t="s">
        <v>375</v>
      </c>
      <c r="N412" t="s">
        <v>159</v>
      </c>
      <c r="R412" t="s">
        <v>1434</v>
      </c>
      <c r="S412" t="s">
        <v>1462</v>
      </c>
      <c r="T412" t="s">
        <v>1249</v>
      </c>
      <c r="U412" t="s">
        <v>1464</v>
      </c>
      <c r="V412" t="s">
        <v>1457</v>
      </c>
      <c r="W412" t="s">
        <v>1458</v>
      </c>
    </row>
    <row r="413" spans="1:23" ht="15" customHeight="1" x14ac:dyDescent="0.3">
      <c r="A413" t="s">
        <v>8</v>
      </c>
      <c r="B413">
        <v>125</v>
      </c>
      <c r="C413" t="s">
        <v>354</v>
      </c>
      <c r="D413" t="s">
        <v>1422</v>
      </c>
      <c r="E413" t="s">
        <v>34</v>
      </c>
      <c r="F413" t="s">
        <v>1423</v>
      </c>
      <c r="G413" t="s">
        <v>36</v>
      </c>
      <c r="H413" t="s">
        <v>1000</v>
      </c>
      <c r="I413" t="s">
        <v>1422</v>
      </c>
      <c r="J413" t="s">
        <v>1465</v>
      </c>
      <c r="K413" s="21" t="s">
        <v>1466</v>
      </c>
      <c r="L413" s="21" t="s">
        <v>1426</v>
      </c>
      <c r="M413" t="s">
        <v>375</v>
      </c>
      <c r="N413" t="s">
        <v>159</v>
      </c>
      <c r="R413" t="s">
        <v>1427</v>
      </c>
      <c r="S413" t="s">
        <v>1465</v>
      </c>
      <c r="T413" t="s">
        <v>1249</v>
      </c>
      <c r="U413" t="s">
        <v>1467</v>
      </c>
      <c r="V413" t="s">
        <v>1457</v>
      </c>
      <c r="W413" t="s">
        <v>1458</v>
      </c>
    </row>
    <row r="414" spans="1:23" ht="15" customHeight="1" x14ac:dyDescent="0.3">
      <c r="A414" t="s">
        <v>8</v>
      </c>
      <c r="B414">
        <v>125</v>
      </c>
      <c r="C414" t="s">
        <v>354</v>
      </c>
      <c r="D414" t="s">
        <v>1422</v>
      </c>
      <c r="E414" t="s">
        <v>34</v>
      </c>
      <c r="F414" t="s">
        <v>1423</v>
      </c>
      <c r="G414" t="s">
        <v>36</v>
      </c>
      <c r="H414" t="s">
        <v>1000</v>
      </c>
      <c r="I414" t="s">
        <v>1422</v>
      </c>
      <c r="J414" t="s">
        <v>1465</v>
      </c>
      <c r="K414" s="21" t="s">
        <v>1466</v>
      </c>
      <c r="L414" s="21" t="s">
        <v>1426</v>
      </c>
      <c r="M414" t="s">
        <v>375</v>
      </c>
      <c r="N414" t="s">
        <v>159</v>
      </c>
      <c r="R414" t="s">
        <v>1431</v>
      </c>
      <c r="S414" t="s">
        <v>1465</v>
      </c>
      <c r="T414" t="s">
        <v>1249</v>
      </c>
      <c r="U414" t="s">
        <v>1467</v>
      </c>
      <c r="V414" t="s">
        <v>1457</v>
      </c>
      <c r="W414" t="s">
        <v>1458</v>
      </c>
    </row>
    <row r="415" spans="1:23" ht="15" customHeight="1" x14ac:dyDescent="0.3">
      <c r="A415" t="s">
        <v>8</v>
      </c>
      <c r="B415">
        <v>125</v>
      </c>
      <c r="C415" t="s">
        <v>354</v>
      </c>
      <c r="D415" t="s">
        <v>1422</v>
      </c>
      <c r="E415" t="s">
        <v>34</v>
      </c>
      <c r="F415" t="s">
        <v>1423</v>
      </c>
      <c r="G415" t="s">
        <v>36</v>
      </c>
      <c r="H415" t="s">
        <v>1000</v>
      </c>
      <c r="I415" t="s">
        <v>1422</v>
      </c>
      <c r="J415" t="s">
        <v>1465</v>
      </c>
      <c r="K415" s="21" t="s">
        <v>1466</v>
      </c>
      <c r="L415" s="21" t="s">
        <v>1426</v>
      </c>
      <c r="M415" t="s">
        <v>375</v>
      </c>
      <c r="N415" t="s">
        <v>159</v>
      </c>
      <c r="R415" t="s">
        <v>1432</v>
      </c>
      <c r="S415" t="s">
        <v>1465</v>
      </c>
      <c r="T415" t="s">
        <v>1249</v>
      </c>
      <c r="U415" t="s">
        <v>1467</v>
      </c>
      <c r="V415" t="s">
        <v>1457</v>
      </c>
      <c r="W415" t="s">
        <v>1458</v>
      </c>
    </row>
    <row r="416" spans="1:23" ht="15" customHeight="1" x14ac:dyDescent="0.3">
      <c r="A416" t="s">
        <v>8</v>
      </c>
      <c r="B416">
        <v>125</v>
      </c>
      <c r="C416" t="s">
        <v>354</v>
      </c>
      <c r="D416" t="s">
        <v>1422</v>
      </c>
      <c r="E416" t="s">
        <v>34</v>
      </c>
      <c r="F416" t="s">
        <v>1423</v>
      </c>
      <c r="G416" t="s">
        <v>36</v>
      </c>
      <c r="H416" t="s">
        <v>1000</v>
      </c>
      <c r="I416" t="s">
        <v>1422</v>
      </c>
      <c r="J416" t="s">
        <v>1465</v>
      </c>
      <c r="K416" s="21" t="s">
        <v>1466</v>
      </c>
      <c r="L416" s="21" t="s">
        <v>1426</v>
      </c>
      <c r="M416" t="s">
        <v>375</v>
      </c>
      <c r="N416" t="s">
        <v>159</v>
      </c>
      <c r="R416" t="s">
        <v>1433</v>
      </c>
      <c r="S416" t="s">
        <v>1465</v>
      </c>
      <c r="T416" t="s">
        <v>1249</v>
      </c>
      <c r="U416" t="s">
        <v>1467</v>
      </c>
      <c r="V416" t="s">
        <v>1457</v>
      </c>
      <c r="W416" t="s">
        <v>1458</v>
      </c>
    </row>
    <row r="417" spans="1:23" ht="15" customHeight="1" x14ac:dyDescent="0.3">
      <c r="A417" t="s">
        <v>8</v>
      </c>
      <c r="B417">
        <v>125</v>
      </c>
      <c r="C417" t="s">
        <v>354</v>
      </c>
      <c r="D417" t="s">
        <v>1422</v>
      </c>
      <c r="E417" t="s">
        <v>34</v>
      </c>
      <c r="F417" t="s">
        <v>1423</v>
      </c>
      <c r="G417" t="s">
        <v>36</v>
      </c>
      <c r="H417" t="s">
        <v>1000</v>
      </c>
      <c r="I417" t="s">
        <v>1422</v>
      </c>
      <c r="J417" t="s">
        <v>1465</v>
      </c>
      <c r="K417" s="21" t="s">
        <v>1466</v>
      </c>
      <c r="L417" s="21" t="s">
        <v>1426</v>
      </c>
      <c r="M417" t="s">
        <v>375</v>
      </c>
      <c r="N417" t="s">
        <v>159</v>
      </c>
      <c r="R417" t="s">
        <v>1434</v>
      </c>
      <c r="S417" t="s">
        <v>1465</v>
      </c>
      <c r="T417" t="s">
        <v>1249</v>
      </c>
      <c r="U417" t="s">
        <v>1467</v>
      </c>
      <c r="V417" t="s">
        <v>1457</v>
      </c>
      <c r="W417" t="s">
        <v>1458</v>
      </c>
    </row>
    <row r="418" spans="1:23" ht="15" customHeight="1" x14ac:dyDescent="0.3">
      <c r="A418" t="s">
        <v>8</v>
      </c>
      <c r="B418">
        <v>125</v>
      </c>
      <c r="C418" t="s">
        <v>354</v>
      </c>
      <c r="D418" t="s">
        <v>1422</v>
      </c>
      <c r="E418" t="s">
        <v>34</v>
      </c>
      <c r="F418" t="s">
        <v>1423</v>
      </c>
      <c r="G418" t="s">
        <v>36</v>
      </c>
      <c r="H418" t="s">
        <v>1272</v>
      </c>
      <c r="I418" t="s">
        <v>1422</v>
      </c>
      <c r="J418" t="s">
        <v>1468</v>
      </c>
      <c r="K418" s="21" t="s">
        <v>1469</v>
      </c>
      <c r="L418" s="21" t="s">
        <v>1426</v>
      </c>
      <c r="M418" t="s">
        <v>375</v>
      </c>
      <c r="N418" t="s">
        <v>159</v>
      </c>
      <c r="R418" t="s">
        <v>1427</v>
      </c>
      <c r="S418" t="s">
        <v>1468</v>
      </c>
      <c r="T418" t="s">
        <v>1249</v>
      </c>
      <c r="U418" t="s">
        <v>1470</v>
      </c>
      <c r="V418" t="s">
        <v>1457</v>
      </c>
      <c r="W418" t="s">
        <v>1458</v>
      </c>
    </row>
    <row r="419" spans="1:23" ht="15" customHeight="1" x14ac:dyDescent="0.3">
      <c r="A419" t="s">
        <v>8</v>
      </c>
      <c r="B419">
        <v>125</v>
      </c>
      <c r="C419" t="s">
        <v>354</v>
      </c>
      <c r="D419" t="s">
        <v>1422</v>
      </c>
      <c r="E419" t="s">
        <v>34</v>
      </c>
      <c r="F419" t="s">
        <v>1423</v>
      </c>
      <c r="G419" t="s">
        <v>36</v>
      </c>
      <c r="H419" t="s">
        <v>1272</v>
      </c>
      <c r="I419" t="s">
        <v>1422</v>
      </c>
      <c r="J419" t="s">
        <v>1468</v>
      </c>
      <c r="K419" s="21" t="s">
        <v>1469</v>
      </c>
      <c r="L419" s="21" t="s">
        <v>1426</v>
      </c>
      <c r="M419" t="s">
        <v>375</v>
      </c>
      <c r="N419" t="s">
        <v>159</v>
      </c>
      <c r="R419" t="s">
        <v>1431</v>
      </c>
      <c r="S419" t="s">
        <v>1468</v>
      </c>
      <c r="T419" t="s">
        <v>1249</v>
      </c>
      <c r="U419" t="s">
        <v>1470</v>
      </c>
      <c r="V419" t="s">
        <v>1457</v>
      </c>
      <c r="W419" t="s">
        <v>1458</v>
      </c>
    </row>
    <row r="420" spans="1:23" ht="15" customHeight="1" x14ac:dyDescent="0.3">
      <c r="A420" t="s">
        <v>8</v>
      </c>
      <c r="B420">
        <v>125</v>
      </c>
      <c r="C420" t="s">
        <v>354</v>
      </c>
      <c r="D420" t="s">
        <v>1422</v>
      </c>
      <c r="E420" t="s">
        <v>34</v>
      </c>
      <c r="F420" t="s">
        <v>1423</v>
      </c>
      <c r="G420" t="s">
        <v>36</v>
      </c>
      <c r="H420" t="s">
        <v>1272</v>
      </c>
      <c r="I420" t="s">
        <v>1422</v>
      </c>
      <c r="J420" t="s">
        <v>1468</v>
      </c>
      <c r="K420" s="21" t="s">
        <v>1469</v>
      </c>
      <c r="L420" s="21" t="s">
        <v>1426</v>
      </c>
      <c r="M420" t="s">
        <v>375</v>
      </c>
      <c r="N420" t="s">
        <v>159</v>
      </c>
      <c r="R420" t="s">
        <v>1432</v>
      </c>
      <c r="S420" t="s">
        <v>1468</v>
      </c>
      <c r="T420" t="s">
        <v>1249</v>
      </c>
      <c r="U420" t="s">
        <v>1470</v>
      </c>
      <c r="V420" t="s">
        <v>1457</v>
      </c>
      <c r="W420" t="s">
        <v>1458</v>
      </c>
    </row>
    <row r="421" spans="1:23" ht="15" customHeight="1" x14ac:dyDescent="0.3">
      <c r="A421" t="s">
        <v>8</v>
      </c>
      <c r="B421">
        <v>125</v>
      </c>
      <c r="C421" t="s">
        <v>354</v>
      </c>
      <c r="D421" t="s">
        <v>1422</v>
      </c>
      <c r="E421" t="s">
        <v>34</v>
      </c>
      <c r="F421" t="s">
        <v>1423</v>
      </c>
      <c r="G421" t="s">
        <v>36</v>
      </c>
      <c r="H421" t="s">
        <v>1272</v>
      </c>
      <c r="I421" t="s">
        <v>1422</v>
      </c>
      <c r="J421" t="s">
        <v>1468</v>
      </c>
      <c r="K421" s="21" t="s">
        <v>1469</v>
      </c>
      <c r="L421" s="21" t="s">
        <v>1426</v>
      </c>
      <c r="M421" t="s">
        <v>375</v>
      </c>
      <c r="N421" t="s">
        <v>159</v>
      </c>
      <c r="R421" t="s">
        <v>1433</v>
      </c>
      <c r="S421" t="s">
        <v>1468</v>
      </c>
      <c r="T421" t="s">
        <v>1249</v>
      </c>
      <c r="U421" t="s">
        <v>1470</v>
      </c>
      <c r="V421" t="s">
        <v>1457</v>
      </c>
      <c r="W421" t="s">
        <v>1458</v>
      </c>
    </row>
    <row r="422" spans="1:23" ht="15" customHeight="1" x14ac:dyDescent="0.3">
      <c r="A422" t="s">
        <v>8</v>
      </c>
      <c r="B422">
        <v>125</v>
      </c>
      <c r="C422" t="s">
        <v>354</v>
      </c>
      <c r="D422" t="s">
        <v>1422</v>
      </c>
      <c r="E422" t="s">
        <v>34</v>
      </c>
      <c r="F422" t="s">
        <v>1423</v>
      </c>
      <c r="G422" t="s">
        <v>36</v>
      </c>
      <c r="H422" t="s">
        <v>1272</v>
      </c>
      <c r="I422" t="s">
        <v>1422</v>
      </c>
      <c r="J422" t="s">
        <v>1468</v>
      </c>
      <c r="K422" s="21" t="s">
        <v>1469</v>
      </c>
      <c r="L422" s="21" t="s">
        <v>1426</v>
      </c>
      <c r="M422" t="s">
        <v>375</v>
      </c>
      <c r="N422" t="s">
        <v>159</v>
      </c>
      <c r="R422" t="s">
        <v>1434</v>
      </c>
      <c r="S422" t="s">
        <v>1468</v>
      </c>
      <c r="T422" t="s">
        <v>1249</v>
      </c>
      <c r="U422" t="s">
        <v>1470</v>
      </c>
      <c r="V422" t="s">
        <v>1457</v>
      </c>
      <c r="W422" t="s">
        <v>1458</v>
      </c>
    </row>
    <row r="423" spans="1:23" ht="15" customHeight="1" x14ac:dyDescent="0.3">
      <c r="A423" t="s">
        <v>8</v>
      </c>
      <c r="B423">
        <v>125</v>
      </c>
      <c r="C423" t="s">
        <v>354</v>
      </c>
      <c r="D423" t="s">
        <v>1422</v>
      </c>
      <c r="E423" t="s">
        <v>34</v>
      </c>
      <c r="F423" t="s">
        <v>1423</v>
      </c>
      <c r="G423" t="s">
        <v>36</v>
      </c>
      <c r="H423" t="s">
        <v>1276</v>
      </c>
      <c r="I423" t="s">
        <v>1422</v>
      </c>
      <c r="J423" t="s">
        <v>1471</v>
      </c>
      <c r="K423" s="21" t="s">
        <v>1472</v>
      </c>
      <c r="L423" s="21" t="s">
        <v>1426</v>
      </c>
      <c r="M423" t="s">
        <v>375</v>
      </c>
      <c r="N423" t="s">
        <v>159</v>
      </c>
      <c r="R423" t="s">
        <v>1427</v>
      </c>
      <c r="S423" t="s">
        <v>1471</v>
      </c>
      <c r="T423" t="s">
        <v>1249</v>
      </c>
      <c r="U423" t="s">
        <v>1473</v>
      </c>
      <c r="V423" t="s">
        <v>1474</v>
      </c>
      <c r="W423" t="s">
        <v>1475</v>
      </c>
    </row>
    <row r="424" spans="1:23" ht="15" customHeight="1" x14ac:dyDescent="0.3">
      <c r="A424" t="s">
        <v>8</v>
      </c>
      <c r="B424">
        <v>125</v>
      </c>
      <c r="C424" t="s">
        <v>354</v>
      </c>
      <c r="D424" t="s">
        <v>1422</v>
      </c>
      <c r="E424" t="s">
        <v>34</v>
      </c>
      <c r="F424" t="s">
        <v>1423</v>
      </c>
      <c r="G424" t="s">
        <v>36</v>
      </c>
      <c r="H424" t="s">
        <v>1276</v>
      </c>
      <c r="I424" t="s">
        <v>1422</v>
      </c>
      <c r="J424" t="s">
        <v>1471</v>
      </c>
      <c r="K424" s="21" t="s">
        <v>1472</v>
      </c>
      <c r="L424" s="21" t="s">
        <v>1426</v>
      </c>
      <c r="M424" t="s">
        <v>375</v>
      </c>
      <c r="N424" t="s">
        <v>159</v>
      </c>
      <c r="R424" t="s">
        <v>1431</v>
      </c>
      <c r="S424" t="s">
        <v>1471</v>
      </c>
      <c r="T424" t="s">
        <v>1249</v>
      </c>
      <c r="U424" t="s">
        <v>1473</v>
      </c>
      <c r="V424" t="s">
        <v>1474</v>
      </c>
      <c r="W424" t="s">
        <v>1475</v>
      </c>
    </row>
    <row r="425" spans="1:23" ht="15" customHeight="1" x14ac:dyDescent="0.3">
      <c r="A425" t="s">
        <v>8</v>
      </c>
      <c r="B425">
        <v>125</v>
      </c>
      <c r="C425" t="s">
        <v>354</v>
      </c>
      <c r="D425" t="s">
        <v>1422</v>
      </c>
      <c r="E425" t="s">
        <v>34</v>
      </c>
      <c r="F425" t="s">
        <v>1423</v>
      </c>
      <c r="G425" t="s">
        <v>36</v>
      </c>
      <c r="H425" t="s">
        <v>1276</v>
      </c>
      <c r="I425" t="s">
        <v>1422</v>
      </c>
      <c r="J425" t="s">
        <v>1471</v>
      </c>
      <c r="K425" s="21" t="s">
        <v>1472</v>
      </c>
      <c r="L425" s="21" t="s">
        <v>1426</v>
      </c>
      <c r="M425" t="s">
        <v>375</v>
      </c>
      <c r="N425" t="s">
        <v>159</v>
      </c>
      <c r="R425" t="s">
        <v>1432</v>
      </c>
      <c r="S425" t="s">
        <v>1471</v>
      </c>
      <c r="T425" t="s">
        <v>1249</v>
      </c>
      <c r="U425" t="s">
        <v>1473</v>
      </c>
      <c r="V425" t="s">
        <v>1474</v>
      </c>
      <c r="W425" t="s">
        <v>1475</v>
      </c>
    </row>
    <row r="426" spans="1:23" ht="15" customHeight="1" x14ac:dyDescent="0.3">
      <c r="A426" t="s">
        <v>8</v>
      </c>
      <c r="B426">
        <v>125</v>
      </c>
      <c r="C426" t="s">
        <v>354</v>
      </c>
      <c r="D426" t="s">
        <v>1422</v>
      </c>
      <c r="E426" t="s">
        <v>34</v>
      </c>
      <c r="F426" t="s">
        <v>1423</v>
      </c>
      <c r="G426" t="s">
        <v>36</v>
      </c>
      <c r="H426" t="s">
        <v>1276</v>
      </c>
      <c r="I426" t="s">
        <v>1422</v>
      </c>
      <c r="J426" t="s">
        <v>1471</v>
      </c>
      <c r="K426" s="21" t="s">
        <v>1472</v>
      </c>
      <c r="L426" s="21" t="s">
        <v>1426</v>
      </c>
      <c r="M426" t="s">
        <v>375</v>
      </c>
      <c r="N426" t="s">
        <v>159</v>
      </c>
      <c r="R426" t="s">
        <v>1433</v>
      </c>
      <c r="S426" t="s">
        <v>1471</v>
      </c>
      <c r="T426" t="s">
        <v>1249</v>
      </c>
      <c r="U426" t="s">
        <v>1473</v>
      </c>
      <c r="V426" t="s">
        <v>1474</v>
      </c>
      <c r="W426" t="s">
        <v>1475</v>
      </c>
    </row>
    <row r="427" spans="1:23" ht="15" customHeight="1" x14ac:dyDescent="0.3">
      <c r="A427" t="s">
        <v>8</v>
      </c>
      <c r="B427">
        <v>125</v>
      </c>
      <c r="C427" t="s">
        <v>354</v>
      </c>
      <c r="D427" t="s">
        <v>1422</v>
      </c>
      <c r="E427" t="s">
        <v>34</v>
      </c>
      <c r="F427" t="s">
        <v>1423</v>
      </c>
      <c r="G427" t="s">
        <v>36</v>
      </c>
      <c r="H427" t="s">
        <v>1276</v>
      </c>
      <c r="I427" t="s">
        <v>1422</v>
      </c>
      <c r="J427" t="s">
        <v>1471</v>
      </c>
      <c r="K427" s="21" t="s">
        <v>1472</v>
      </c>
      <c r="L427" s="21" t="s">
        <v>1426</v>
      </c>
      <c r="M427" t="s">
        <v>375</v>
      </c>
      <c r="N427" t="s">
        <v>159</v>
      </c>
      <c r="R427" t="s">
        <v>1434</v>
      </c>
      <c r="S427" t="s">
        <v>1471</v>
      </c>
      <c r="T427" t="s">
        <v>1249</v>
      </c>
      <c r="U427" t="s">
        <v>1473</v>
      </c>
      <c r="V427" t="s">
        <v>1474</v>
      </c>
      <c r="W427" t="s">
        <v>1475</v>
      </c>
    </row>
    <row r="428" spans="1:23" ht="15" customHeight="1" x14ac:dyDescent="0.3">
      <c r="A428" t="s">
        <v>8</v>
      </c>
      <c r="B428">
        <v>246</v>
      </c>
      <c r="C428" t="s">
        <v>368</v>
      </c>
      <c r="D428" t="s">
        <v>1476</v>
      </c>
      <c r="E428" t="s">
        <v>34</v>
      </c>
      <c r="F428" t="s">
        <v>1477</v>
      </c>
      <c r="G428" t="s">
        <v>440</v>
      </c>
      <c r="H428" t="s">
        <v>37</v>
      </c>
      <c r="I428" t="s">
        <v>1476</v>
      </c>
      <c r="J428" t="s">
        <v>453</v>
      </c>
      <c r="K428" t="s">
        <v>454</v>
      </c>
      <c r="L428" s="21" t="s">
        <v>455</v>
      </c>
      <c r="M428" t="s">
        <v>456</v>
      </c>
      <c r="N428" t="s">
        <v>159</v>
      </c>
      <c r="R428" t="s">
        <v>1478</v>
      </c>
      <c r="S428" t="s">
        <v>453</v>
      </c>
      <c r="T428" t="s">
        <v>45</v>
      </c>
      <c r="U428" t="s">
        <v>46</v>
      </c>
      <c r="V428" t="s">
        <v>459</v>
      </c>
      <c r="W428" t="s">
        <v>460</v>
      </c>
    </row>
    <row r="429" spans="1:23" ht="15" customHeight="1" x14ac:dyDescent="0.3">
      <c r="A429" t="s">
        <v>8</v>
      </c>
      <c r="B429">
        <v>246</v>
      </c>
      <c r="C429" t="s">
        <v>368</v>
      </c>
      <c r="D429" t="s">
        <v>1476</v>
      </c>
      <c r="E429" t="s">
        <v>34</v>
      </c>
      <c r="F429" t="s">
        <v>1477</v>
      </c>
      <c r="G429" t="s">
        <v>440</v>
      </c>
      <c r="H429" t="s">
        <v>37</v>
      </c>
      <c r="I429" t="s">
        <v>1476</v>
      </c>
      <c r="J429" t="s">
        <v>453</v>
      </c>
      <c r="K429" t="s">
        <v>454</v>
      </c>
      <c r="L429" s="21" t="s">
        <v>455</v>
      </c>
      <c r="M429" t="s">
        <v>456</v>
      </c>
      <c r="N429" t="s">
        <v>159</v>
      </c>
      <c r="R429" t="s">
        <v>1479</v>
      </c>
      <c r="S429" t="s">
        <v>453</v>
      </c>
      <c r="T429" t="s">
        <v>45</v>
      </c>
      <c r="U429" t="s">
        <v>46</v>
      </c>
      <c r="V429" t="s">
        <v>459</v>
      </c>
      <c r="W429" t="s">
        <v>460</v>
      </c>
    </row>
    <row r="430" spans="1:23" ht="15" customHeight="1" x14ac:dyDescent="0.3">
      <c r="A430" t="s">
        <v>8</v>
      </c>
      <c r="B430">
        <v>246</v>
      </c>
      <c r="C430" t="s">
        <v>368</v>
      </c>
      <c r="D430" t="s">
        <v>1476</v>
      </c>
      <c r="E430" t="s">
        <v>34</v>
      </c>
      <c r="F430" t="s">
        <v>1477</v>
      </c>
      <c r="G430" t="s">
        <v>440</v>
      </c>
      <c r="H430" t="s">
        <v>37</v>
      </c>
      <c r="I430" t="s">
        <v>1476</v>
      </c>
      <c r="J430" t="s">
        <v>453</v>
      </c>
      <c r="K430" t="s">
        <v>454</v>
      </c>
      <c r="L430" s="21" t="s">
        <v>455</v>
      </c>
      <c r="M430" t="s">
        <v>456</v>
      </c>
      <c r="N430" t="s">
        <v>159</v>
      </c>
      <c r="R430" t="s">
        <v>1480</v>
      </c>
      <c r="S430" t="s">
        <v>453</v>
      </c>
      <c r="T430" t="s">
        <v>45</v>
      </c>
      <c r="U430" t="s">
        <v>46</v>
      </c>
      <c r="V430" t="s">
        <v>459</v>
      </c>
      <c r="W430" t="s">
        <v>460</v>
      </c>
    </row>
    <row r="431" spans="1:23" ht="15" customHeight="1" x14ac:dyDescent="0.3">
      <c r="A431" t="s">
        <v>8</v>
      </c>
      <c r="B431">
        <v>246</v>
      </c>
      <c r="C431" t="s">
        <v>368</v>
      </c>
      <c r="D431" t="s">
        <v>1476</v>
      </c>
      <c r="E431" t="s">
        <v>34</v>
      </c>
      <c r="F431" t="s">
        <v>1477</v>
      </c>
      <c r="G431" t="s">
        <v>440</v>
      </c>
      <c r="H431" t="s">
        <v>37</v>
      </c>
      <c r="I431" t="s">
        <v>1476</v>
      </c>
      <c r="J431" t="s">
        <v>453</v>
      </c>
      <c r="K431" t="s">
        <v>454</v>
      </c>
      <c r="L431" s="21" t="s">
        <v>455</v>
      </c>
      <c r="M431" t="s">
        <v>456</v>
      </c>
      <c r="N431" t="s">
        <v>159</v>
      </c>
      <c r="R431" t="s">
        <v>1481</v>
      </c>
      <c r="S431" t="s">
        <v>453</v>
      </c>
      <c r="T431" t="s">
        <v>45</v>
      </c>
      <c r="U431" t="s">
        <v>46</v>
      </c>
      <c r="V431" t="s">
        <v>459</v>
      </c>
      <c r="W431" t="s">
        <v>460</v>
      </c>
    </row>
    <row r="432" spans="1:23" ht="15" customHeight="1" x14ac:dyDescent="0.3">
      <c r="A432" t="s">
        <v>8</v>
      </c>
      <c r="B432">
        <v>246</v>
      </c>
      <c r="C432" t="s">
        <v>368</v>
      </c>
      <c r="D432" t="s">
        <v>1476</v>
      </c>
      <c r="E432" t="s">
        <v>34</v>
      </c>
      <c r="F432" t="s">
        <v>1477</v>
      </c>
      <c r="G432" t="s">
        <v>440</v>
      </c>
      <c r="H432" t="s">
        <v>37</v>
      </c>
      <c r="I432" t="s">
        <v>1476</v>
      </c>
      <c r="J432" t="s">
        <v>453</v>
      </c>
      <c r="K432" t="s">
        <v>454</v>
      </c>
      <c r="L432" s="21" t="s">
        <v>455</v>
      </c>
      <c r="M432" t="s">
        <v>456</v>
      </c>
      <c r="N432" t="s">
        <v>159</v>
      </c>
      <c r="R432" t="s">
        <v>1482</v>
      </c>
      <c r="S432" t="s">
        <v>453</v>
      </c>
      <c r="T432" t="s">
        <v>45</v>
      </c>
      <c r="U432" t="s">
        <v>46</v>
      </c>
      <c r="V432" t="s">
        <v>459</v>
      </c>
      <c r="W432" t="s">
        <v>460</v>
      </c>
    </row>
    <row r="433" spans="1:23" ht="15" customHeight="1" x14ac:dyDescent="0.3">
      <c r="A433" t="s">
        <v>8</v>
      </c>
      <c r="B433">
        <v>246</v>
      </c>
      <c r="C433" t="s">
        <v>368</v>
      </c>
      <c r="D433" t="s">
        <v>1476</v>
      </c>
      <c r="E433" t="s">
        <v>34</v>
      </c>
      <c r="F433" t="s">
        <v>1477</v>
      </c>
      <c r="G433" t="s">
        <v>440</v>
      </c>
      <c r="H433" t="s">
        <v>37</v>
      </c>
      <c r="I433" t="s">
        <v>1476</v>
      </c>
      <c r="J433" t="s">
        <v>453</v>
      </c>
      <c r="K433" t="s">
        <v>454</v>
      </c>
      <c r="L433" s="21" t="s">
        <v>455</v>
      </c>
      <c r="M433" t="s">
        <v>456</v>
      </c>
      <c r="N433" t="s">
        <v>159</v>
      </c>
      <c r="R433" t="s">
        <v>1483</v>
      </c>
      <c r="S433" t="s">
        <v>453</v>
      </c>
      <c r="T433" t="s">
        <v>45</v>
      </c>
      <c r="U433" t="s">
        <v>46</v>
      </c>
      <c r="V433" t="s">
        <v>459</v>
      </c>
      <c r="W433" t="s">
        <v>460</v>
      </c>
    </row>
    <row r="434" spans="1:23" ht="15" customHeight="1" x14ac:dyDescent="0.3">
      <c r="A434" t="s">
        <v>8</v>
      </c>
      <c r="B434">
        <v>246</v>
      </c>
      <c r="C434" t="s">
        <v>368</v>
      </c>
      <c r="D434" t="s">
        <v>1476</v>
      </c>
      <c r="E434" t="s">
        <v>34</v>
      </c>
      <c r="F434" t="s">
        <v>1477</v>
      </c>
      <c r="G434" t="s">
        <v>440</v>
      </c>
      <c r="H434" t="s">
        <v>52</v>
      </c>
      <c r="I434" t="s">
        <v>1476</v>
      </c>
      <c r="J434" t="s">
        <v>461</v>
      </c>
      <c r="K434" s="21" t="s">
        <v>462</v>
      </c>
      <c r="L434" s="21" t="s">
        <v>455</v>
      </c>
      <c r="M434" t="s">
        <v>456</v>
      </c>
      <c r="N434" t="s">
        <v>159</v>
      </c>
      <c r="R434" t="s">
        <v>1478</v>
      </c>
      <c r="S434" t="s">
        <v>461</v>
      </c>
      <c r="T434" t="s">
        <v>45</v>
      </c>
      <c r="U434" t="s">
        <v>46</v>
      </c>
      <c r="V434" t="s">
        <v>459</v>
      </c>
      <c r="W434" t="s">
        <v>463</v>
      </c>
    </row>
    <row r="435" spans="1:23" ht="15" customHeight="1" x14ac:dyDescent="0.3">
      <c r="A435" t="s">
        <v>8</v>
      </c>
      <c r="B435">
        <v>246</v>
      </c>
      <c r="C435" t="s">
        <v>368</v>
      </c>
      <c r="D435" t="s">
        <v>1476</v>
      </c>
      <c r="E435" t="s">
        <v>34</v>
      </c>
      <c r="F435" t="s">
        <v>1477</v>
      </c>
      <c r="G435" t="s">
        <v>440</v>
      </c>
      <c r="H435" t="s">
        <v>52</v>
      </c>
      <c r="I435" t="s">
        <v>1476</v>
      </c>
      <c r="J435" t="s">
        <v>461</v>
      </c>
      <c r="K435" s="21" t="s">
        <v>462</v>
      </c>
      <c r="L435" s="21" t="s">
        <v>455</v>
      </c>
      <c r="M435" t="s">
        <v>456</v>
      </c>
      <c r="N435" t="s">
        <v>159</v>
      </c>
      <c r="R435" t="s">
        <v>1479</v>
      </c>
      <c r="S435" t="s">
        <v>461</v>
      </c>
      <c r="T435" t="s">
        <v>45</v>
      </c>
      <c r="U435" t="s">
        <v>46</v>
      </c>
      <c r="V435" t="s">
        <v>459</v>
      </c>
      <c r="W435" t="s">
        <v>463</v>
      </c>
    </row>
    <row r="436" spans="1:23" ht="15" customHeight="1" x14ac:dyDescent="0.3">
      <c r="A436" t="s">
        <v>8</v>
      </c>
      <c r="B436">
        <v>246</v>
      </c>
      <c r="C436" t="s">
        <v>368</v>
      </c>
      <c r="D436" t="s">
        <v>1476</v>
      </c>
      <c r="E436" t="s">
        <v>34</v>
      </c>
      <c r="F436" t="s">
        <v>1477</v>
      </c>
      <c r="G436" t="s">
        <v>440</v>
      </c>
      <c r="H436" t="s">
        <v>52</v>
      </c>
      <c r="I436" t="s">
        <v>1476</v>
      </c>
      <c r="J436" t="s">
        <v>461</v>
      </c>
      <c r="K436" s="21" t="s">
        <v>462</v>
      </c>
      <c r="L436" s="21" t="s">
        <v>455</v>
      </c>
      <c r="M436" t="s">
        <v>456</v>
      </c>
      <c r="N436" t="s">
        <v>159</v>
      </c>
      <c r="R436" t="s">
        <v>1480</v>
      </c>
      <c r="S436" t="s">
        <v>461</v>
      </c>
      <c r="T436" t="s">
        <v>45</v>
      </c>
      <c r="U436" t="s">
        <v>46</v>
      </c>
      <c r="V436" t="s">
        <v>459</v>
      </c>
      <c r="W436" t="s">
        <v>463</v>
      </c>
    </row>
    <row r="437" spans="1:23" ht="15" customHeight="1" x14ac:dyDescent="0.3">
      <c r="A437" t="s">
        <v>8</v>
      </c>
      <c r="B437">
        <v>246</v>
      </c>
      <c r="C437" t="s">
        <v>368</v>
      </c>
      <c r="D437" t="s">
        <v>1476</v>
      </c>
      <c r="E437" t="s">
        <v>34</v>
      </c>
      <c r="F437" t="s">
        <v>1477</v>
      </c>
      <c r="G437" t="s">
        <v>440</v>
      </c>
      <c r="H437" t="s">
        <v>52</v>
      </c>
      <c r="I437" t="s">
        <v>1476</v>
      </c>
      <c r="J437" t="s">
        <v>461</v>
      </c>
      <c r="K437" s="21" t="s">
        <v>462</v>
      </c>
      <c r="L437" s="21" t="s">
        <v>455</v>
      </c>
      <c r="M437" t="s">
        <v>456</v>
      </c>
      <c r="N437" t="s">
        <v>159</v>
      </c>
      <c r="R437" t="s">
        <v>1481</v>
      </c>
      <c r="S437" t="s">
        <v>461</v>
      </c>
      <c r="T437" t="s">
        <v>45</v>
      </c>
      <c r="U437" t="s">
        <v>46</v>
      </c>
      <c r="V437" t="s">
        <v>459</v>
      </c>
      <c r="W437" t="s">
        <v>463</v>
      </c>
    </row>
    <row r="438" spans="1:23" ht="15" customHeight="1" x14ac:dyDescent="0.3">
      <c r="A438" t="s">
        <v>8</v>
      </c>
      <c r="B438">
        <v>246</v>
      </c>
      <c r="C438" t="s">
        <v>368</v>
      </c>
      <c r="D438" t="s">
        <v>1476</v>
      </c>
      <c r="E438" t="s">
        <v>34</v>
      </c>
      <c r="F438" t="s">
        <v>1477</v>
      </c>
      <c r="G438" t="s">
        <v>440</v>
      </c>
      <c r="H438" t="s">
        <v>52</v>
      </c>
      <c r="I438" t="s">
        <v>1476</v>
      </c>
      <c r="J438" t="s">
        <v>461</v>
      </c>
      <c r="K438" s="21" t="s">
        <v>462</v>
      </c>
      <c r="L438" s="21" t="s">
        <v>455</v>
      </c>
      <c r="M438" t="s">
        <v>456</v>
      </c>
      <c r="N438" t="s">
        <v>159</v>
      </c>
      <c r="R438" t="s">
        <v>1482</v>
      </c>
      <c r="S438" t="s">
        <v>461</v>
      </c>
      <c r="T438" t="s">
        <v>45</v>
      </c>
      <c r="U438" t="s">
        <v>46</v>
      </c>
      <c r="V438" t="s">
        <v>459</v>
      </c>
      <c r="W438" t="s">
        <v>463</v>
      </c>
    </row>
    <row r="439" spans="1:23" ht="15" customHeight="1" x14ac:dyDescent="0.3">
      <c r="A439" t="s">
        <v>8</v>
      </c>
      <c r="B439">
        <v>246</v>
      </c>
      <c r="C439" t="s">
        <v>368</v>
      </c>
      <c r="D439" t="s">
        <v>1476</v>
      </c>
      <c r="E439" t="s">
        <v>34</v>
      </c>
      <c r="F439" t="s">
        <v>1477</v>
      </c>
      <c r="G439" t="s">
        <v>440</v>
      </c>
      <c r="H439" t="s">
        <v>52</v>
      </c>
      <c r="I439" t="s">
        <v>1476</v>
      </c>
      <c r="J439" t="s">
        <v>461</v>
      </c>
      <c r="K439" s="21" t="s">
        <v>462</v>
      </c>
      <c r="L439" s="21" t="s">
        <v>455</v>
      </c>
      <c r="M439" t="s">
        <v>456</v>
      </c>
      <c r="N439" t="s">
        <v>159</v>
      </c>
      <c r="R439" t="s">
        <v>1483</v>
      </c>
      <c r="S439" t="s">
        <v>461</v>
      </c>
      <c r="T439" t="s">
        <v>45</v>
      </c>
      <c r="U439" t="s">
        <v>46</v>
      </c>
      <c r="V439" t="s">
        <v>459</v>
      </c>
      <c r="W439" t="s">
        <v>463</v>
      </c>
    </row>
    <row r="440" spans="1:23" ht="15" customHeight="1" x14ac:dyDescent="0.3">
      <c r="A440" t="s">
        <v>8</v>
      </c>
      <c r="B440">
        <v>246</v>
      </c>
      <c r="C440" t="s">
        <v>368</v>
      </c>
      <c r="D440" t="s">
        <v>1476</v>
      </c>
      <c r="E440" t="s">
        <v>34</v>
      </c>
      <c r="F440" t="s">
        <v>1477</v>
      </c>
      <c r="G440" t="s">
        <v>440</v>
      </c>
      <c r="H440" t="s">
        <v>57</v>
      </c>
      <c r="I440" t="s">
        <v>1476</v>
      </c>
      <c r="J440" t="s">
        <v>464</v>
      </c>
      <c r="K440" s="21" t="s">
        <v>465</v>
      </c>
      <c r="L440" s="21" t="s">
        <v>455</v>
      </c>
      <c r="M440" t="s">
        <v>456</v>
      </c>
      <c r="N440" t="s">
        <v>159</v>
      </c>
      <c r="R440" t="s">
        <v>1478</v>
      </c>
      <c r="S440" t="s">
        <v>464</v>
      </c>
      <c r="T440" t="s">
        <v>45</v>
      </c>
      <c r="U440" t="s">
        <v>46</v>
      </c>
      <c r="V440" t="s">
        <v>466</v>
      </c>
      <c r="W440" t="s">
        <v>467</v>
      </c>
    </row>
    <row r="441" spans="1:23" ht="15" customHeight="1" x14ac:dyDescent="0.3">
      <c r="A441" t="s">
        <v>8</v>
      </c>
      <c r="B441">
        <v>246</v>
      </c>
      <c r="C441" t="s">
        <v>368</v>
      </c>
      <c r="D441" t="s">
        <v>1476</v>
      </c>
      <c r="E441" t="s">
        <v>34</v>
      </c>
      <c r="F441" t="s">
        <v>1477</v>
      </c>
      <c r="G441" t="s">
        <v>440</v>
      </c>
      <c r="H441" t="s">
        <v>57</v>
      </c>
      <c r="I441" t="s">
        <v>1476</v>
      </c>
      <c r="J441" t="s">
        <v>464</v>
      </c>
      <c r="K441" s="21" t="s">
        <v>465</v>
      </c>
      <c r="L441" s="21" t="s">
        <v>455</v>
      </c>
      <c r="M441" t="s">
        <v>456</v>
      </c>
      <c r="N441" t="s">
        <v>159</v>
      </c>
      <c r="R441" t="s">
        <v>1479</v>
      </c>
      <c r="S441" t="s">
        <v>464</v>
      </c>
      <c r="T441" t="s">
        <v>45</v>
      </c>
      <c r="U441" t="s">
        <v>46</v>
      </c>
      <c r="V441" t="s">
        <v>466</v>
      </c>
      <c r="W441" t="s">
        <v>467</v>
      </c>
    </row>
    <row r="442" spans="1:23" ht="15" customHeight="1" x14ac:dyDescent="0.3">
      <c r="A442" t="s">
        <v>8</v>
      </c>
      <c r="B442">
        <v>246</v>
      </c>
      <c r="C442" t="s">
        <v>368</v>
      </c>
      <c r="D442" t="s">
        <v>1476</v>
      </c>
      <c r="E442" t="s">
        <v>34</v>
      </c>
      <c r="F442" t="s">
        <v>1477</v>
      </c>
      <c r="G442" t="s">
        <v>440</v>
      </c>
      <c r="H442" t="s">
        <v>57</v>
      </c>
      <c r="I442" t="s">
        <v>1476</v>
      </c>
      <c r="J442" t="s">
        <v>464</v>
      </c>
      <c r="K442" s="21" t="s">
        <v>465</v>
      </c>
      <c r="L442" s="21" t="s">
        <v>455</v>
      </c>
      <c r="M442" t="s">
        <v>456</v>
      </c>
      <c r="N442" t="s">
        <v>159</v>
      </c>
      <c r="R442" t="s">
        <v>1480</v>
      </c>
      <c r="S442" t="s">
        <v>464</v>
      </c>
      <c r="T442" t="s">
        <v>45</v>
      </c>
      <c r="U442" t="s">
        <v>46</v>
      </c>
      <c r="V442" t="s">
        <v>466</v>
      </c>
      <c r="W442" t="s">
        <v>467</v>
      </c>
    </row>
    <row r="443" spans="1:23" ht="15" customHeight="1" x14ac:dyDescent="0.3">
      <c r="A443" t="s">
        <v>8</v>
      </c>
      <c r="B443">
        <v>246</v>
      </c>
      <c r="C443" t="s">
        <v>368</v>
      </c>
      <c r="D443" t="s">
        <v>1476</v>
      </c>
      <c r="E443" t="s">
        <v>34</v>
      </c>
      <c r="F443" t="s">
        <v>1477</v>
      </c>
      <c r="G443" t="s">
        <v>440</v>
      </c>
      <c r="H443" t="s">
        <v>57</v>
      </c>
      <c r="I443" t="s">
        <v>1476</v>
      </c>
      <c r="J443" t="s">
        <v>464</v>
      </c>
      <c r="K443" s="21" t="s">
        <v>465</v>
      </c>
      <c r="L443" s="21" t="s">
        <v>455</v>
      </c>
      <c r="M443" t="s">
        <v>456</v>
      </c>
      <c r="N443" t="s">
        <v>159</v>
      </c>
      <c r="R443" t="s">
        <v>1481</v>
      </c>
      <c r="S443" t="s">
        <v>464</v>
      </c>
      <c r="T443" t="s">
        <v>45</v>
      </c>
      <c r="U443" t="s">
        <v>46</v>
      </c>
      <c r="V443" t="s">
        <v>466</v>
      </c>
      <c r="W443" t="s">
        <v>467</v>
      </c>
    </row>
    <row r="444" spans="1:23" ht="15" customHeight="1" x14ac:dyDescent="0.3">
      <c r="A444" t="s">
        <v>8</v>
      </c>
      <c r="B444">
        <v>246</v>
      </c>
      <c r="C444" t="s">
        <v>368</v>
      </c>
      <c r="D444" t="s">
        <v>1476</v>
      </c>
      <c r="E444" t="s">
        <v>34</v>
      </c>
      <c r="F444" t="s">
        <v>1477</v>
      </c>
      <c r="G444" t="s">
        <v>440</v>
      </c>
      <c r="H444" t="s">
        <v>57</v>
      </c>
      <c r="I444" t="s">
        <v>1476</v>
      </c>
      <c r="J444" t="s">
        <v>464</v>
      </c>
      <c r="K444" s="21" t="s">
        <v>465</v>
      </c>
      <c r="L444" s="21" t="s">
        <v>455</v>
      </c>
      <c r="M444" t="s">
        <v>456</v>
      </c>
      <c r="N444" t="s">
        <v>159</v>
      </c>
      <c r="R444" t="s">
        <v>1482</v>
      </c>
      <c r="S444" t="s">
        <v>464</v>
      </c>
      <c r="T444" t="s">
        <v>45</v>
      </c>
      <c r="U444" t="s">
        <v>46</v>
      </c>
      <c r="V444" t="s">
        <v>466</v>
      </c>
      <c r="W444" t="s">
        <v>467</v>
      </c>
    </row>
    <row r="445" spans="1:23" ht="15" customHeight="1" x14ac:dyDescent="0.3">
      <c r="A445" t="s">
        <v>8</v>
      </c>
      <c r="B445">
        <v>246</v>
      </c>
      <c r="C445" t="s">
        <v>368</v>
      </c>
      <c r="D445" t="s">
        <v>1476</v>
      </c>
      <c r="E445" t="s">
        <v>34</v>
      </c>
      <c r="F445" t="s">
        <v>1477</v>
      </c>
      <c r="G445" t="s">
        <v>440</v>
      </c>
      <c r="H445" t="s">
        <v>57</v>
      </c>
      <c r="I445" t="s">
        <v>1476</v>
      </c>
      <c r="J445" t="s">
        <v>464</v>
      </c>
      <c r="K445" s="21" t="s">
        <v>465</v>
      </c>
      <c r="L445" s="21" t="s">
        <v>455</v>
      </c>
      <c r="M445" t="s">
        <v>456</v>
      </c>
      <c r="N445" t="s">
        <v>159</v>
      </c>
      <c r="R445" t="s">
        <v>1483</v>
      </c>
      <c r="S445" t="s">
        <v>464</v>
      </c>
      <c r="T445" t="s">
        <v>45</v>
      </c>
      <c r="U445" t="s">
        <v>46</v>
      </c>
      <c r="V445" t="s">
        <v>466</v>
      </c>
      <c r="W445" t="s">
        <v>467</v>
      </c>
    </row>
    <row r="446" spans="1:23" ht="15" customHeight="1" x14ac:dyDescent="0.3">
      <c r="A446" t="s">
        <v>8</v>
      </c>
      <c r="B446">
        <v>246</v>
      </c>
      <c r="C446" t="s">
        <v>368</v>
      </c>
      <c r="D446" t="s">
        <v>1476</v>
      </c>
      <c r="E446" t="s">
        <v>34</v>
      </c>
      <c r="F446" t="s">
        <v>1477</v>
      </c>
      <c r="G446" t="s">
        <v>440</v>
      </c>
      <c r="H446" t="s">
        <v>49</v>
      </c>
      <c r="I446" t="s">
        <v>1476</v>
      </c>
      <c r="J446" t="s">
        <v>468</v>
      </c>
      <c r="K446" s="21" t="s">
        <v>469</v>
      </c>
      <c r="L446" s="21" t="s">
        <v>455</v>
      </c>
      <c r="M446" t="s">
        <v>456</v>
      </c>
      <c r="N446" t="s">
        <v>159</v>
      </c>
      <c r="R446" t="s">
        <v>1478</v>
      </c>
      <c r="S446" t="s">
        <v>468</v>
      </c>
      <c r="T446" t="s">
        <v>45</v>
      </c>
      <c r="U446" t="s">
        <v>46</v>
      </c>
      <c r="V446" t="s">
        <v>459</v>
      </c>
      <c r="W446" t="s">
        <v>470</v>
      </c>
    </row>
    <row r="447" spans="1:23" ht="15" customHeight="1" x14ac:dyDescent="0.3">
      <c r="A447" t="s">
        <v>8</v>
      </c>
      <c r="B447">
        <v>246</v>
      </c>
      <c r="C447" t="s">
        <v>368</v>
      </c>
      <c r="D447" t="s">
        <v>1476</v>
      </c>
      <c r="E447" t="s">
        <v>34</v>
      </c>
      <c r="F447" t="s">
        <v>1477</v>
      </c>
      <c r="G447" t="s">
        <v>440</v>
      </c>
      <c r="H447" t="s">
        <v>49</v>
      </c>
      <c r="I447" t="s">
        <v>1476</v>
      </c>
      <c r="J447" t="s">
        <v>468</v>
      </c>
      <c r="K447" s="21" t="s">
        <v>469</v>
      </c>
      <c r="L447" s="21" t="s">
        <v>455</v>
      </c>
      <c r="M447" t="s">
        <v>456</v>
      </c>
      <c r="N447" t="s">
        <v>159</v>
      </c>
      <c r="R447" t="s">
        <v>1479</v>
      </c>
      <c r="S447" t="s">
        <v>468</v>
      </c>
      <c r="T447" t="s">
        <v>45</v>
      </c>
      <c r="U447" t="s">
        <v>46</v>
      </c>
      <c r="V447" t="s">
        <v>459</v>
      </c>
      <c r="W447" t="s">
        <v>470</v>
      </c>
    </row>
    <row r="448" spans="1:23" ht="15" customHeight="1" x14ac:dyDescent="0.3">
      <c r="A448" t="s">
        <v>8</v>
      </c>
      <c r="B448">
        <v>246</v>
      </c>
      <c r="C448" t="s">
        <v>368</v>
      </c>
      <c r="D448" t="s">
        <v>1476</v>
      </c>
      <c r="E448" t="s">
        <v>34</v>
      </c>
      <c r="F448" t="s">
        <v>1477</v>
      </c>
      <c r="G448" t="s">
        <v>440</v>
      </c>
      <c r="H448" t="s">
        <v>49</v>
      </c>
      <c r="I448" t="s">
        <v>1476</v>
      </c>
      <c r="J448" t="s">
        <v>468</v>
      </c>
      <c r="K448" s="21" t="s">
        <v>469</v>
      </c>
      <c r="L448" s="21" t="s">
        <v>455</v>
      </c>
      <c r="M448" t="s">
        <v>456</v>
      </c>
      <c r="N448" t="s">
        <v>159</v>
      </c>
      <c r="R448" t="s">
        <v>1480</v>
      </c>
      <c r="S448" t="s">
        <v>468</v>
      </c>
      <c r="T448" t="s">
        <v>45</v>
      </c>
      <c r="U448" t="s">
        <v>46</v>
      </c>
      <c r="V448" t="s">
        <v>459</v>
      </c>
      <c r="W448" t="s">
        <v>470</v>
      </c>
    </row>
    <row r="449" spans="1:23" ht="15" customHeight="1" x14ac:dyDescent="0.3">
      <c r="A449" t="s">
        <v>8</v>
      </c>
      <c r="B449">
        <v>246</v>
      </c>
      <c r="C449" t="s">
        <v>368</v>
      </c>
      <c r="D449" t="s">
        <v>1476</v>
      </c>
      <c r="E449" t="s">
        <v>34</v>
      </c>
      <c r="F449" t="s">
        <v>1477</v>
      </c>
      <c r="G449" t="s">
        <v>440</v>
      </c>
      <c r="H449" t="s">
        <v>49</v>
      </c>
      <c r="I449" t="s">
        <v>1476</v>
      </c>
      <c r="J449" t="s">
        <v>468</v>
      </c>
      <c r="K449" s="21" t="s">
        <v>469</v>
      </c>
      <c r="L449" s="21" t="s">
        <v>455</v>
      </c>
      <c r="M449" t="s">
        <v>456</v>
      </c>
      <c r="N449" t="s">
        <v>159</v>
      </c>
      <c r="R449" t="s">
        <v>1481</v>
      </c>
      <c r="S449" t="s">
        <v>468</v>
      </c>
      <c r="T449" t="s">
        <v>45</v>
      </c>
      <c r="U449" t="s">
        <v>46</v>
      </c>
      <c r="V449" t="s">
        <v>459</v>
      </c>
      <c r="W449" t="s">
        <v>470</v>
      </c>
    </row>
    <row r="450" spans="1:23" ht="15" customHeight="1" x14ac:dyDescent="0.3">
      <c r="A450" t="s">
        <v>8</v>
      </c>
      <c r="B450">
        <v>246</v>
      </c>
      <c r="C450" t="s">
        <v>368</v>
      </c>
      <c r="D450" t="s">
        <v>1476</v>
      </c>
      <c r="E450" t="s">
        <v>34</v>
      </c>
      <c r="F450" t="s">
        <v>1477</v>
      </c>
      <c r="G450" t="s">
        <v>440</v>
      </c>
      <c r="H450" t="s">
        <v>49</v>
      </c>
      <c r="I450" t="s">
        <v>1476</v>
      </c>
      <c r="J450" t="s">
        <v>468</v>
      </c>
      <c r="K450" s="21" t="s">
        <v>469</v>
      </c>
      <c r="L450" s="21" t="s">
        <v>455</v>
      </c>
      <c r="M450" t="s">
        <v>456</v>
      </c>
      <c r="N450" t="s">
        <v>159</v>
      </c>
      <c r="R450" t="s">
        <v>1482</v>
      </c>
      <c r="S450" t="s">
        <v>468</v>
      </c>
      <c r="T450" t="s">
        <v>45</v>
      </c>
      <c r="U450" t="s">
        <v>46</v>
      </c>
      <c r="V450" t="s">
        <v>459</v>
      </c>
      <c r="W450" t="s">
        <v>470</v>
      </c>
    </row>
    <row r="451" spans="1:23" ht="15" customHeight="1" x14ac:dyDescent="0.3">
      <c r="A451" t="s">
        <v>8</v>
      </c>
      <c r="B451">
        <v>246</v>
      </c>
      <c r="C451" t="s">
        <v>368</v>
      </c>
      <c r="D451" t="s">
        <v>1476</v>
      </c>
      <c r="E451" t="s">
        <v>34</v>
      </c>
      <c r="F451" t="s">
        <v>1477</v>
      </c>
      <c r="G451" t="s">
        <v>440</v>
      </c>
      <c r="H451" t="s">
        <v>49</v>
      </c>
      <c r="I451" t="s">
        <v>1476</v>
      </c>
      <c r="J451" t="s">
        <v>468</v>
      </c>
      <c r="K451" s="21" t="s">
        <v>469</v>
      </c>
      <c r="L451" s="21" t="s">
        <v>455</v>
      </c>
      <c r="M451" t="s">
        <v>456</v>
      </c>
      <c r="N451" t="s">
        <v>159</v>
      </c>
      <c r="R451" t="s">
        <v>1483</v>
      </c>
      <c r="S451" t="s">
        <v>468</v>
      </c>
      <c r="T451" t="s">
        <v>45</v>
      </c>
      <c r="U451" t="s">
        <v>46</v>
      </c>
      <c r="V451" t="s">
        <v>459</v>
      </c>
      <c r="W451" t="s">
        <v>470</v>
      </c>
    </row>
    <row r="452" spans="1:23" ht="15" customHeight="1" x14ac:dyDescent="0.3">
      <c r="A452" t="s">
        <v>8</v>
      </c>
      <c r="B452">
        <v>246</v>
      </c>
      <c r="C452" t="s">
        <v>368</v>
      </c>
      <c r="D452" t="s">
        <v>1476</v>
      </c>
      <c r="E452" t="s">
        <v>34</v>
      </c>
      <c r="F452" t="s">
        <v>1477</v>
      </c>
      <c r="G452" t="s">
        <v>440</v>
      </c>
      <c r="H452" t="s">
        <v>87</v>
      </c>
      <c r="I452" t="s">
        <v>1476</v>
      </c>
      <c r="J452" t="s">
        <v>471</v>
      </c>
      <c r="K452" s="21" t="s">
        <v>472</v>
      </c>
      <c r="L452" s="21" t="s">
        <v>455</v>
      </c>
      <c r="M452" t="s">
        <v>456</v>
      </c>
      <c r="N452" t="s">
        <v>159</v>
      </c>
      <c r="R452" t="s">
        <v>1478</v>
      </c>
      <c r="S452" t="s">
        <v>471</v>
      </c>
      <c r="T452" t="s">
        <v>45</v>
      </c>
      <c r="U452" t="s">
        <v>46</v>
      </c>
      <c r="V452" t="s">
        <v>466</v>
      </c>
      <c r="W452" t="s">
        <v>473</v>
      </c>
    </row>
    <row r="453" spans="1:23" ht="15" customHeight="1" x14ac:dyDescent="0.3">
      <c r="A453" t="s">
        <v>8</v>
      </c>
      <c r="B453">
        <v>246</v>
      </c>
      <c r="C453" t="s">
        <v>368</v>
      </c>
      <c r="D453" t="s">
        <v>1476</v>
      </c>
      <c r="E453" t="s">
        <v>34</v>
      </c>
      <c r="F453" t="s">
        <v>1477</v>
      </c>
      <c r="G453" t="s">
        <v>440</v>
      </c>
      <c r="H453" t="s">
        <v>87</v>
      </c>
      <c r="I453" t="s">
        <v>1476</v>
      </c>
      <c r="J453" t="s">
        <v>471</v>
      </c>
      <c r="K453" s="21" t="s">
        <v>472</v>
      </c>
      <c r="L453" s="21" t="s">
        <v>455</v>
      </c>
      <c r="M453" t="s">
        <v>456</v>
      </c>
      <c r="N453" t="s">
        <v>159</v>
      </c>
      <c r="R453" t="s">
        <v>1479</v>
      </c>
      <c r="S453" t="s">
        <v>471</v>
      </c>
      <c r="T453" t="s">
        <v>45</v>
      </c>
      <c r="U453" t="s">
        <v>46</v>
      </c>
      <c r="V453" t="s">
        <v>466</v>
      </c>
      <c r="W453" t="s">
        <v>473</v>
      </c>
    </row>
    <row r="454" spans="1:23" ht="15" customHeight="1" x14ac:dyDescent="0.3">
      <c r="A454" t="s">
        <v>8</v>
      </c>
      <c r="B454">
        <v>246</v>
      </c>
      <c r="C454" t="s">
        <v>368</v>
      </c>
      <c r="D454" t="s">
        <v>1476</v>
      </c>
      <c r="E454" t="s">
        <v>34</v>
      </c>
      <c r="F454" t="s">
        <v>1477</v>
      </c>
      <c r="G454" t="s">
        <v>440</v>
      </c>
      <c r="H454" t="s">
        <v>87</v>
      </c>
      <c r="I454" t="s">
        <v>1476</v>
      </c>
      <c r="J454" t="s">
        <v>471</v>
      </c>
      <c r="K454" s="21" t="s">
        <v>472</v>
      </c>
      <c r="L454" s="21" t="s">
        <v>455</v>
      </c>
      <c r="M454" t="s">
        <v>456</v>
      </c>
      <c r="N454" t="s">
        <v>159</v>
      </c>
      <c r="R454" t="s">
        <v>1480</v>
      </c>
      <c r="S454" t="s">
        <v>471</v>
      </c>
      <c r="T454" t="s">
        <v>45</v>
      </c>
      <c r="U454" t="s">
        <v>46</v>
      </c>
      <c r="V454" t="s">
        <v>466</v>
      </c>
      <c r="W454" t="s">
        <v>473</v>
      </c>
    </row>
    <row r="455" spans="1:23" ht="15" customHeight="1" x14ac:dyDescent="0.3">
      <c r="A455" t="s">
        <v>8</v>
      </c>
      <c r="B455">
        <v>246</v>
      </c>
      <c r="C455" t="s">
        <v>368</v>
      </c>
      <c r="D455" t="s">
        <v>1476</v>
      </c>
      <c r="E455" t="s">
        <v>34</v>
      </c>
      <c r="F455" t="s">
        <v>1477</v>
      </c>
      <c r="G455" t="s">
        <v>440</v>
      </c>
      <c r="H455" t="s">
        <v>87</v>
      </c>
      <c r="I455" t="s">
        <v>1476</v>
      </c>
      <c r="J455" t="s">
        <v>471</v>
      </c>
      <c r="K455" s="21" t="s">
        <v>472</v>
      </c>
      <c r="L455" s="21" t="s">
        <v>455</v>
      </c>
      <c r="M455" t="s">
        <v>456</v>
      </c>
      <c r="N455" t="s">
        <v>159</v>
      </c>
      <c r="R455" t="s">
        <v>1481</v>
      </c>
      <c r="S455" t="s">
        <v>471</v>
      </c>
      <c r="T455" t="s">
        <v>45</v>
      </c>
      <c r="U455" t="s">
        <v>46</v>
      </c>
      <c r="V455" t="s">
        <v>466</v>
      </c>
      <c r="W455" t="s">
        <v>473</v>
      </c>
    </row>
    <row r="456" spans="1:23" ht="15" customHeight="1" x14ac:dyDescent="0.3">
      <c r="A456" t="s">
        <v>8</v>
      </c>
      <c r="B456">
        <v>246</v>
      </c>
      <c r="C456" t="s">
        <v>368</v>
      </c>
      <c r="D456" t="s">
        <v>1476</v>
      </c>
      <c r="E456" t="s">
        <v>34</v>
      </c>
      <c r="F456" t="s">
        <v>1477</v>
      </c>
      <c r="G456" t="s">
        <v>440</v>
      </c>
      <c r="H456" t="s">
        <v>87</v>
      </c>
      <c r="I456" t="s">
        <v>1476</v>
      </c>
      <c r="J456" t="s">
        <v>471</v>
      </c>
      <c r="K456" s="21" t="s">
        <v>472</v>
      </c>
      <c r="L456" s="21" t="s">
        <v>455</v>
      </c>
      <c r="M456" t="s">
        <v>456</v>
      </c>
      <c r="N456" t="s">
        <v>159</v>
      </c>
      <c r="R456" t="s">
        <v>1482</v>
      </c>
      <c r="S456" t="s">
        <v>471</v>
      </c>
      <c r="T456" t="s">
        <v>45</v>
      </c>
      <c r="U456" t="s">
        <v>46</v>
      </c>
      <c r="V456" t="s">
        <v>466</v>
      </c>
      <c r="W456" t="s">
        <v>473</v>
      </c>
    </row>
    <row r="457" spans="1:23" ht="15" customHeight="1" x14ac:dyDescent="0.3">
      <c r="A457" t="s">
        <v>8</v>
      </c>
      <c r="B457">
        <v>246</v>
      </c>
      <c r="C457" t="s">
        <v>368</v>
      </c>
      <c r="D457" t="s">
        <v>1476</v>
      </c>
      <c r="E457" t="s">
        <v>34</v>
      </c>
      <c r="F457" t="s">
        <v>1477</v>
      </c>
      <c r="G457" t="s">
        <v>440</v>
      </c>
      <c r="H457" t="s">
        <v>87</v>
      </c>
      <c r="I457" t="s">
        <v>1476</v>
      </c>
      <c r="J457" t="s">
        <v>471</v>
      </c>
      <c r="K457" s="21" t="s">
        <v>472</v>
      </c>
      <c r="L457" s="21" t="s">
        <v>455</v>
      </c>
      <c r="M457" t="s">
        <v>456</v>
      </c>
      <c r="N457" t="s">
        <v>159</v>
      </c>
      <c r="R457" t="s">
        <v>1483</v>
      </c>
      <c r="S457" t="s">
        <v>471</v>
      </c>
      <c r="T457" t="s">
        <v>45</v>
      </c>
      <c r="U457" t="s">
        <v>46</v>
      </c>
      <c r="V457" t="s">
        <v>466</v>
      </c>
      <c r="W457" t="s">
        <v>473</v>
      </c>
    </row>
    <row r="458" spans="1:23" ht="15" customHeight="1" x14ac:dyDescent="0.3">
      <c r="A458" t="s">
        <v>8</v>
      </c>
      <c r="B458">
        <v>246</v>
      </c>
      <c r="C458" t="s">
        <v>368</v>
      </c>
      <c r="D458" t="s">
        <v>1476</v>
      </c>
      <c r="E458" t="s">
        <v>34</v>
      </c>
      <c r="F458" t="s">
        <v>1477</v>
      </c>
      <c r="G458" t="s">
        <v>440</v>
      </c>
      <c r="H458" t="s">
        <v>421</v>
      </c>
      <c r="I458" t="s">
        <v>1476</v>
      </c>
      <c r="J458" t="s">
        <v>474</v>
      </c>
      <c r="K458" s="21" t="s">
        <v>475</v>
      </c>
      <c r="L458" s="21" t="s">
        <v>455</v>
      </c>
      <c r="M458" t="s">
        <v>456</v>
      </c>
      <c r="N458" t="s">
        <v>159</v>
      </c>
      <c r="R458" t="s">
        <v>1478</v>
      </c>
      <c r="S458" t="s">
        <v>474</v>
      </c>
      <c r="T458" t="s">
        <v>45</v>
      </c>
      <c r="U458" t="s">
        <v>46</v>
      </c>
      <c r="V458" t="s">
        <v>459</v>
      </c>
      <c r="W458" t="s">
        <v>476</v>
      </c>
    </row>
    <row r="459" spans="1:23" ht="15" customHeight="1" x14ac:dyDescent="0.3">
      <c r="A459" t="s">
        <v>8</v>
      </c>
      <c r="B459">
        <v>246</v>
      </c>
      <c r="C459" t="s">
        <v>368</v>
      </c>
      <c r="D459" t="s">
        <v>1476</v>
      </c>
      <c r="E459" t="s">
        <v>34</v>
      </c>
      <c r="F459" t="s">
        <v>1477</v>
      </c>
      <c r="G459" t="s">
        <v>440</v>
      </c>
      <c r="H459" t="s">
        <v>421</v>
      </c>
      <c r="I459" t="s">
        <v>1476</v>
      </c>
      <c r="J459" t="s">
        <v>474</v>
      </c>
      <c r="K459" s="21" t="s">
        <v>475</v>
      </c>
      <c r="L459" s="21" t="s">
        <v>455</v>
      </c>
      <c r="M459" t="s">
        <v>456</v>
      </c>
      <c r="N459" t="s">
        <v>159</v>
      </c>
      <c r="R459" t="s">
        <v>1479</v>
      </c>
      <c r="S459" t="s">
        <v>474</v>
      </c>
      <c r="T459" t="s">
        <v>45</v>
      </c>
      <c r="U459" t="s">
        <v>46</v>
      </c>
      <c r="V459" t="s">
        <v>459</v>
      </c>
      <c r="W459" t="s">
        <v>476</v>
      </c>
    </row>
    <row r="460" spans="1:23" ht="15" customHeight="1" x14ac:dyDescent="0.3">
      <c r="A460" t="s">
        <v>8</v>
      </c>
      <c r="B460">
        <v>246</v>
      </c>
      <c r="C460" t="s">
        <v>368</v>
      </c>
      <c r="D460" t="s">
        <v>1476</v>
      </c>
      <c r="E460" t="s">
        <v>34</v>
      </c>
      <c r="F460" t="s">
        <v>1477</v>
      </c>
      <c r="G460" t="s">
        <v>440</v>
      </c>
      <c r="H460" t="s">
        <v>421</v>
      </c>
      <c r="I460" t="s">
        <v>1476</v>
      </c>
      <c r="J460" t="s">
        <v>474</v>
      </c>
      <c r="K460" s="21" t="s">
        <v>475</v>
      </c>
      <c r="L460" s="21" t="s">
        <v>455</v>
      </c>
      <c r="M460" t="s">
        <v>456</v>
      </c>
      <c r="N460" t="s">
        <v>159</v>
      </c>
      <c r="R460" t="s">
        <v>1480</v>
      </c>
      <c r="S460" t="s">
        <v>474</v>
      </c>
      <c r="T460" t="s">
        <v>45</v>
      </c>
      <c r="U460" t="s">
        <v>46</v>
      </c>
      <c r="V460" t="s">
        <v>459</v>
      </c>
      <c r="W460" t="s">
        <v>476</v>
      </c>
    </row>
    <row r="461" spans="1:23" ht="15" customHeight="1" x14ac:dyDescent="0.3">
      <c r="A461" t="s">
        <v>8</v>
      </c>
      <c r="B461">
        <v>246</v>
      </c>
      <c r="C461" t="s">
        <v>368</v>
      </c>
      <c r="D461" t="s">
        <v>1476</v>
      </c>
      <c r="E461" t="s">
        <v>34</v>
      </c>
      <c r="F461" t="s">
        <v>1477</v>
      </c>
      <c r="G461" t="s">
        <v>440</v>
      </c>
      <c r="H461" t="s">
        <v>421</v>
      </c>
      <c r="I461" t="s">
        <v>1476</v>
      </c>
      <c r="J461" t="s">
        <v>474</v>
      </c>
      <c r="K461" s="21" t="s">
        <v>475</v>
      </c>
      <c r="L461" s="21" t="s">
        <v>455</v>
      </c>
      <c r="M461" t="s">
        <v>456</v>
      </c>
      <c r="N461" t="s">
        <v>159</v>
      </c>
      <c r="R461" t="s">
        <v>1481</v>
      </c>
      <c r="S461" t="s">
        <v>474</v>
      </c>
      <c r="T461" t="s">
        <v>45</v>
      </c>
      <c r="U461" t="s">
        <v>46</v>
      </c>
      <c r="V461" t="s">
        <v>459</v>
      </c>
      <c r="W461" t="s">
        <v>476</v>
      </c>
    </row>
    <row r="462" spans="1:23" ht="15" customHeight="1" x14ac:dyDescent="0.3">
      <c r="A462" t="s">
        <v>8</v>
      </c>
      <c r="B462">
        <v>246</v>
      </c>
      <c r="C462" t="s">
        <v>368</v>
      </c>
      <c r="D462" t="s">
        <v>1476</v>
      </c>
      <c r="E462" t="s">
        <v>34</v>
      </c>
      <c r="F462" t="s">
        <v>1477</v>
      </c>
      <c r="G462" t="s">
        <v>440</v>
      </c>
      <c r="H462" t="s">
        <v>421</v>
      </c>
      <c r="I462" t="s">
        <v>1476</v>
      </c>
      <c r="J462" t="s">
        <v>474</v>
      </c>
      <c r="K462" s="21" t="s">
        <v>475</v>
      </c>
      <c r="L462" s="21" t="s">
        <v>455</v>
      </c>
      <c r="M462" t="s">
        <v>456</v>
      </c>
      <c r="N462" t="s">
        <v>159</v>
      </c>
      <c r="R462" t="s">
        <v>1482</v>
      </c>
      <c r="S462" t="s">
        <v>474</v>
      </c>
      <c r="T462" t="s">
        <v>45</v>
      </c>
      <c r="U462" t="s">
        <v>46</v>
      </c>
      <c r="V462" t="s">
        <v>459</v>
      </c>
      <c r="W462" t="s">
        <v>476</v>
      </c>
    </row>
    <row r="463" spans="1:23" ht="15" customHeight="1" x14ac:dyDescent="0.3">
      <c r="A463" t="s">
        <v>8</v>
      </c>
      <c r="B463">
        <v>246</v>
      </c>
      <c r="C463" t="s">
        <v>368</v>
      </c>
      <c r="D463" t="s">
        <v>1476</v>
      </c>
      <c r="E463" t="s">
        <v>34</v>
      </c>
      <c r="F463" t="s">
        <v>1477</v>
      </c>
      <c r="G463" t="s">
        <v>440</v>
      </c>
      <c r="H463" t="s">
        <v>421</v>
      </c>
      <c r="I463" t="s">
        <v>1476</v>
      </c>
      <c r="J463" t="s">
        <v>474</v>
      </c>
      <c r="K463" s="21" t="s">
        <v>475</v>
      </c>
      <c r="L463" s="21" t="s">
        <v>455</v>
      </c>
      <c r="M463" t="s">
        <v>456</v>
      </c>
      <c r="N463" t="s">
        <v>159</v>
      </c>
      <c r="R463" t="s">
        <v>1483</v>
      </c>
      <c r="S463" t="s">
        <v>474</v>
      </c>
      <c r="T463" t="s">
        <v>45</v>
      </c>
      <c r="U463" t="s">
        <v>46</v>
      </c>
      <c r="V463" t="s">
        <v>459</v>
      </c>
      <c r="W463" t="s">
        <v>476</v>
      </c>
    </row>
    <row r="464" spans="1:23" ht="15" customHeight="1" x14ac:dyDescent="0.3">
      <c r="A464" t="s">
        <v>8</v>
      </c>
      <c r="B464">
        <v>246</v>
      </c>
      <c r="C464" t="s">
        <v>368</v>
      </c>
      <c r="D464" t="s">
        <v>1476</v>
      </c>
      <c r="E464" t="s">
        <v>34</v>
      </c>
      <c r="F464" t="s">
        <v>1477</v>
      </c>
      <c r="G464" t="s">
        <v>440</v>
      </c>
      <c r="H464" t="s">
        <v>182</v>
      </c>
      <c r="I464" t="s">
        <v>1476</v>
      </c>
      <c r="J464" t="s">
        <v>1484</v>
      </c>
      <c r="K464" s="21" t="s">
        <v>1485</v>
      </c>
      <c r="L464" s="21" t="s">
        <v>455</v>
      </c>
      <c r="M464" t="s">
        <v>456</v>
      </c>
      <c r="N464" t="s">
        <v>159</v>
      </c>
      <c r="R464" t="s">
        <v>1478</v>
      </c>
      <c r="S464" t="s">
        <v>1484</v>
      </c>
      <c r="T464" t="s">
        <v>45</v>
      </c>
      <c r="U464" t="s">
        <v>1486</v>
      </c>
      <c r="V464" t="s">
        <v>459</v>
      </c>
      <c r="W464" t="s">
        <v>1487</v>
      </c>
    </row>
    <row r="465" spans="1:23" ht="15" customHeight="1" x14ac:dyDescent="0.3">
      <c r="A465" t="s">
        <v>8</v>
      </c>
      <c r="B465">
        <v>246</v>
      </c>
      <c r="C465" t="s">
        <v>368</v>
      </c>
      <c r="D465" t="s">
        <v>1476</v>
      </c>
      <c r="E465" t="s">
        <v>34</v>
      </c>
      <c r="F465" t="s">
        <v>1477</v>
      </c>
      <c r="G465" t="s">
        <v>440</v>
      </c>
      <c r="H465" t="s">
        <v>182</v>
      </c>
      <c r="I465" t="s">
        <v>1476</v>
      </c>
      <c r="J465" t="s">
        <v>1484</v>
      </c>
      <c r="K465" s="21" t="s">
        <v>1485</v>
      </c>
      <c r="L465" s="21" t="s">
        <v>455</v>
      </c>
      <c r="M465" t="s">
        <v>456</v>
      </c>
      <c r="N465" t="s">
        <v>159</v>
      </c>
      <c r="R465" t="s">
        <v>1479</v>
      </c>
      <c r="S465" t="s">
        <v>1484</v>
      </c>
      <c r="T465" t="s">
        <v>45</v>
      </c>
      <c r="U465" t="s">
        <v>1486</v>
      </c>
      <c r="V465" t="s">
        <v>459</v>
      </c>
      <c r="W465" t="s">
        <v>1487</v>
      </c>
    </row>
    <row r="466" spans="1:23" ht="15" customHeight="1" x14ac:dyDescent="0.3">
      <c r="A466" t="s">
        <v>8</v>
      </c>
      <c r="B466">
        <v>246</v>
      </c>
      <c r="C466" t="s">
        <v>368</v>
      </c>
      <c r="D466" t="s">
        <v>1476</v>
      </c>
      <c r="E466" t="s">
        <v>34</v>
      </c>
      <c r="F466" t="s">
        <v>1477</v>
      </c>
      <c r="G466" t="s">
        <v>440</v>
      </c>
      <c r="H466" t="s">
        <v>182</v>
      </c>
      <c r="I466" t="s">
        <v>1476</v>
      </c>
      <c r="J466" t="s">
        <v>1484</v>
      </c>
      <c r="K466" s="21" t="s">
        <v>1485</v>
      </c>
      <c r="L466" s="21" t="s">
        <v>455</v>
      </c>
      <c r="M466" t="s">
        <v>456</v>
      </c>
      <c r="N466" t="s">
        <v>159</v>
      </c>
      <c r="R466" t="s">
        <v>1480</v>
      </c>
      <c r="S466" t="s">
        <v>1484</v>
      </c>
      <c r="T466" t="s">
        <v>45</v>
      </c>
      <c r="U466" t="s">
        <v>1486</v>
      </c>
      <c r="V466" t="s">
        <v>459</v>
      </c>
      <c r="W466" t="s">
        <v>1487</v>
      </c>
    </row>
    <row r="467" spans="1:23" ht="15" customHeight="1" x14ac:dyDescent="0.3">
      <c r="A467" t="s">
        <v>8</v>
      </c>
      <c r="B467">
        <v>246</v>
      </c>
      <c r="C467" t="s">
        <v>368</v>
      </c>
      <c r="D467" t="s">
        <v>1476</v>
      </c>
      <c r="E467" t="s">
        <v>34</v>
      </c>
      <c r="F467" t="s">
        <v>1477</v>
      </c>
      <c r="G467" t="s">
        <v>440</v>
      </c>
      <c r="H467" t="s">
        <v>182</v>
      </c>
      <c r="I467" t="s">
        <v>1476</v>
      </c>
      <c r="J467" t="s">
        <v>1484</v>
      </c>
      <c r="K467" s="21" t="s">
        <v>1485</v>
      </c>
      <c r="L467" s="21" t="s">
        <v>455</v>
      </c>
      <c r="M467" t="s">
        <v>456</v>
      </c>
      <c r="N467" t="s">
        <v>159</v>
      </c>
      <c r="R467" t="s">
        <v>1481</v>
      </c>
      <c r="S467" t="s">
        <v>1484</v>
      </c>
      <c r="T467" t="s">
        <v>45</v>
      </c>
      <c r="U467" t="s">
        <v>1486</v>
      </c>
      <c r="V467" t="s">
        <v>459</v>
      </c>
      <c r="W467" t="s">
        <v>1487</v>
      </c>
    </row>
    <row r="468" spans="1:23" ht="15" customHeight="1" x14ac:dyDescent="0.3">
      <c r="A468" t="s">
        <v>8</v>
      </c>
      <c r="B468">
        <v>246</v>
      </c>
      <c r="C468" t="s">
        <v>368</v>
      </c>
      <c r="D468" t="s">
        <v>1476</v>
      </c>
      <c r="E468" t="s">
        <v>34</v>
      </c>
      <c r="F468" t="s">
        <v>1477</v>
      </c>
      <c r="G468" t="s">
        <v>440</v>
      </c>
      <c r="H468" t="s">
        <v>182</v>
      </c>
      <c r="I468" t="s">
        <v>1476</v>
      </c>
      <c r="J468" t="s">
        <v>1484</v>
      </c>
      <c r="K468" s="21" t="s">
        <v>1485</v>
      </c>
      <c r="L468" s="21" t="s">
        <v>455</v>
      </c>
      <c r="M468" t="s">
        <v>456</v>
      </c>
      <c r="N468" t="s">
        <v>159</v>
      </c>
      <c r="R468" t="s">
        <v>1482</v>
      </c>
      <c r="S468" t="s">
        <v>1484</v>
      </c>
      <c r="T468" t="s">
        <v>45</v>
      </c>
      <c r="U468" t="s">
        <v>1486</v>
      </c>
      <c r="V468" t="s">
        <v>459</v>
      </c>
      <c r="W468" t="s">
        <v>1487</v>
      </c>
    </row>
    <row r="469" spans="1:23" ht="15" customHeight="1" x14ac:dyDescent="0.3">
      <c r="A469" t="s">
        <v>8</v>
      </c>
      <c r="B469">
        <v>246</v>
      </c>
      <c r="C469" t="s">
        <v>368</v>
      </c>
      <c r="D469" t="s">
        <v>1476</v>
      </c>
      <c r="E469" t="s">
        <v>34</v>
      </c>
      <c r="F469" t="s">
        <v>1477</v>
      </c>
      <c r="G469" t="s">
        <v>440</v>
      </c>
      <c r="H469" t="s">
        <v>182</v>
      </c>
      <c r="I469" t="s">
        <v>1476</v>
      </c>
      <c r="J469" t="s">
        <v>1484</v>
      </c>
      <c r="K469" s="21" t="s">
        <v>1485</v>
      </c>
      <c r="L469" s="21" t="s">
        <v>455</v>
      </c>
      <c r="M469" t="s">
        <v>456</v>
      </c>
      <c r="N469" t="s">
        <v>159</v>
      </c>
      <c r="R469" t="s">
        <v>1483</v>
      </c>
      <c r="S469" t="s">
        <v>1484</v>
      </c>
      <c r="T469" t="s">
        <v>45</v>
      </c>
      <c r="U469" t="s">
        <v>1486</v>
      </c>
      <c r="V469" t="s">
        <v>459</v>
      </c>
      <c r="W469" t="s">
        <v>1487</v>
      </c>
    </row>
    <row r="470" spans="1:23" ht="15" customHeight="1" x14ac:dyDescent="0.3">
      <c r="A470" t="s">
        <v>8</v>
      </c>
      <c r="B470">
        <v>246</v>
      </c>
      <c r="C470" t="s">
        <v>368</v>
      </c>
      <c r="D470" t="s">
        <v>1476</v>
      </c>
      <c r="E470" t="s">
        <v>34</v>
      </c>
      <c r="F470" t="s">
        <v>1477</v>
      </c>
      <c r="G470" t="s">
        <v>440</v>
      </c>
      <c r="H470" t="s">
        <v>1242</v>
      </c>
      <c r="I470" t="s">
        <v>1476</v>
      </c>
      <c r="J470" t="s">
        <v>1488</v>
      </c>
      <c r="K470" s="21" t="s">
        <v>1489</v>
      </c>
      <c r="L470" s="21" t="s">
        <v>455</v>
      </c>
      <c r="M470" t="s">
        <v>456</v>
      </c>
      <c r="N470" t="s">
        <v>159</v>
      </c>
      <c r="R470" t="s">
        <v>1478</v>
      </c>
      <c r="S470" t="s">
        <v>1488</v>
      </c>
      <c r="T470" t="s">
        <v>45</v>
      </c>
      <c r="U470" t="s">
        <v>1428</v>
      </c>
      <c r="V470" t="s">
        <v>459</v>
      </c>
      <c r="W470" t="s">
        <v>1490</v>
      </c>
    </row>
    <row r="471" spans="1:23" ht="15" customHeight="1" x14ac:dyDescent="0.3">
      <c r="A471" t="s">
        <v>8</v>
      </c>
      <c r="B471">
        <v>246</v>
      </c>
      <c r="C471" t="s">
        <v>368</v>
      </c>
      <c r="D471" t="s">
        <v>1476</v>
      </c>
      <c r="E471" t="s">
        <v>34</v>
      </c>
      <c r="F471" t="s">
        <v>1477</v>
      </c>
      <c r="G471" t="s">
        <v>440</v>
      </c>
      <c r="H471" t="s">
        <v>1242</v>
      </c>
      <c r="I471" t="s">
        <v>1476</v>
      </c>
      <c r="J471" t="s">
        <v>1488</v>
      </c>
      <c r="K471" s="21" t="s">
        <v>1489</v>
      </c>
      <c r="L471" s="21" t="s">
        <v>455</v>
      </c>
      <c r="M471" t="s">
        <v>456</v>
      </c>
      <c r="N471" t="s">
        <v>159</v>
      </c>
      <c r="R471" t="s">
        <v>1479</v>
      </c>
      <c r="S471" t="s">
        <v>1488</v>
      </c>
      <c r="T471" t="s">
        <v>45</v>
      </c>
      <c r="U471" t="s">
        <v>1428</v>
      </c>
      <c r="V471" t="s">
        <v>459</v>
      </c>
      <c r="W471" t="s">
        <v>1490</v>
      </c>
    </row>
    <row r="472" spans="1:23" ht="15" customHeight="1" x14ac:dyDescent="0.3">
      <c r="A472" t="s">
        <v>8</v>
      </c>
      <c r="B472">
        <v>246</v>
      </c>
      <c r="C472" t="s">
        <v>368</v>
      </c>
      <c r="D472" t="s">
        <v>1476</v>
      </c>
      <c r="E472" t="s">
        <v>34</v>
      </c>
      <c r="F472" t="s">
        <v>1477</v>
      </c>
      <c r="G472" t="s">
        <v>440</v>
      </c>
      <c r="H472" t="s">
        <v>1242</v>
      </c>
      <c r="I472" t="s">
        <v>1476</v>
      </c>
      <c r="J472" t="s">
        <v>1488</v>
      </c>
      <c r="K472" s="21" t="s">
        <v>1489</v>
      </c>
      <c r="L472" s="21" t="s">
        <v>455</v>
      </c>
      <c r="M472" t="s">
        <v>456</v>
      </c>
      <c r="N472" t="s">
        <v>159</v>
      </c>
      <c r="R472" t="s">
        <v>1480</v>
      </c>
      <c r="S472" t="s">
        <v>1488</v>
      </c>
      <c r="T472" t="s">
        <v>45</v>
      </c>
      <c r="U472" t="s">
        <v>1428</v>
      </c>
      <c r="V472" t="s">
        <v>459</v>
      </c>
      <c r="W472" t="s">
        <v>1490</v>
      </c>
    </row>
    <row r="473" spans="1:23" ht="15" customHeight="1" x14ac:dyDescent="0.3">
      <c r="A473" t="s">
        <v>8</v>
      </c>
      <c r="B473">
        <v>246</v>
      </c>
      <c r="C473" t="s">
        <v>368</v>
      </c>
      <c r="D473" t="s">
        <v>1476</v>
      </c>
      <c r="E473" t="s">
        <v>34</v>
      </c>
      <c r="F473" t="s">
        <v>1477</v>
      </c>
      <c r="G473" t="s">
        <v>440</v>
      </c>
      <c r="H473" t="s">
        <v>1242</v>
      </c>
      <c r="I473" t="s">
        <v>1476</v>
      </c>
      <c r="J473" t="s">
        <v>1488</v>
      </c>
      <c r="K473" s="21" t="s">
        <v>1489</v>
      </c>
      <c r="L473" s="21" t="s">
        <v>455</v>
      </c>
      <c r="M473" t="s">
        <v>456</v>
      </c>
      <c r="N473" t="s">
        <v>159</v>
      </c>
      <c r="R473" t="s">
        <v>1481</v>
      </c>
      <c r="S473" t="s">
        <v>1488</v>
      </c>
      <c r="T473" t="s">
        <v>45</v>
      </c>
      <c r="U473" t="s">
        <v>1428</v>
      </c>
      <c r="V473" t="s">
        <v>459</v>
      </c>
      <c r="W473" t="s">
        <v>1490</v>
      </c>
    </row>
    <row r="474" spans="1:23" ht="15" customHeight="1" x14ac:dyDescent="0.3">
      <c r="A474" t="s">
        <v>8</v>
      </c>
      <c r="B474">
        <v>246</v>
      </c>
      <c r="C474" t="s">
        <v>368</v>
      </c>
      <c r="D474" t="s">
        <v>1476</v>
      </c>
      <c r="E474" t="s">
        <v>34</v>
      </c>
      <c r="F474" t="s">
        <v>1477</v>
      </c>
      <c r="G474" t="s">
        <v>440</v>
      </c>
      <c r="H474" t="s">
        <v>1242</v>
      </c>
      <c r="I474" t="s">
        <v>1476</v>
      </c>
      <c r="J474" t="s">
        <v>1488</v>
      </c>
      <c r="K474" s="21" t="s">
        <v>1489</v>
      </c>
      <c r="L474" s="21" t="s">
        <v>455</v>
      </c>
      <c r="M474" t="s">
        <v>456</v>
      </c>
      <c r="N474" t="s">
        <v>159</v>
      </c>
      <c r="R474" t="s">
        <v>1482</v>
      </c>
      <c r="S474" t="s">
        <v>1488</v>
      </c>
      <c r="T474" t="s">
        <v>45</v>
      </c>
      <c r="U474" t="s">
        <v>1428</v>
      </c>
      <c r="V474" t="s">
        <v>459</v>
      </c>
      <c r="W474" t="s">
        <v>1490</v>
      </c>
    </row>
    <row r="475" spans="1:23" ht="15" customHeight="1" x14ac:dyDescent="0.3">
      <c r="A475" t="s">
        <v>8</v>
      </c>
      <c r="B475">
        <v>246</v>
      </c>
      <c r="C475" t="s">
        <v>368</v>
      </c>
      <c r="D475" t="s">
        <v>1476</v>
      </c>
      <c r="E475" t="s">
        <v>34</v>
      </c>
      <c r="F475" t="s">
        <v>1477</v>
      </c>
      <c r="G475" t="s">
        <v>440</v>
      </c>
      <c r="H475" t="s">
        <v>1242</v>
      </c>
      <c r="I475" t="s">
        <v>1476</v>
      </c>
      <c r="J475" t="s">
        <v>1488</v>
      </c>
      <c r="K475" s="21" t="s">
        <v>1489</v>
      </c>
      <c r="L475" s="21" t="s">
        <v>455</v>
      </c>
      <c r="M475" t="s">
        <v>456</v>
      </c>
      <c r="N475" t="s">
        <v>159</v>
      </c>
      <c r="R475" t="s">
        <v>1483</v>
      </c>
      <c r="S475" t="s">
        <v>1488</v>
      </c>
      <c r="T475" t="s">
        <v>45</v>
      </c>
      <c r="U475" t="s">
        <v>1428</v>
      </c>
      <c r="V475" t="s">
        <v>459</v>
      </c>
      <c r="W475" t="s">
        <v>1490</v>
      </c>
    </row>
    <row r="476" spans="1:23" ht="15" customHeight="1" x14ac:dyDescent="0.3">
      <c r="A476" t="s">
        <v>8</v>
      </c>
      <c r="B476">
        <v>246</v>
      </c>
      <c r="C476" t="s">
        <v>368</v>
      </c>
      <c r="D476" t="s">
        <v>1476</v>
      </c>
      <c r="E476" t="s">
        <v>34</v>
      </c>
      <c r="F476" t="s">
        <v>1477</v>
      </c>
      <c r="G476" t="s">
        <v>440</v>
      </c>
      <c r="H476" t="s">
        <v>425</v>
      </c>
      <c r="I476" t="s">
        <v>1476</v>
      </c>
      <c r="J476" t="s">
        <v>1491</v>
      </c>
      <c r="K476" s="21" t="s">
        <v>1492</v>
      </c>
      <c r="L476" s="21" t="s">
        <v>455</v>
      </c>
      <c r="M476" t="s">
        <v>456</v>
      </c>
      <c r="N476" t="s">
        <v>159</v>
      </c>
      <c r="R476" t="s">
        <v>1478</v>
      </c>
      <c r="S476" t="s">
        <v>1491</v>
      </c>
      <c r="T476" t="s">
        <v>45</v>
      </c>
      <c r="U476" t="s">
        <v>1416</v>
      </c>
      <c r="V476" t="s">
        <v>459</v>
      </c>
      <c r="W476" t="s">
        <v>1493</v>
      </c>
    </row>
    <row r="477" spans="1:23" ht="15" customHeight="1" x14ac:dyDescent="0.3">
      <c r="A477" t="s">
        <v>8</v>
      </c>
      <c r="B477">
        <v>246</v>
      </c>
      <c r="C477" t="s">
        <v>368</v>
      </c>
      <c r="D477" t="s">
        <v>1476</v>
      </c>
      <c r="E477" t="s">
        <v>34</v>
      </c>
      <c r="F477" t="s">
        <v>1477</v>
      </c>
      <c r="G477" t="s">
        <v>440</v>
      </c>
      <c r="H477" t="s">
        <v>425</v>
      </c>
      <c r="I477" t="s">
        <v>1476</v>
      </c>
      <c r="J477" t="s">
        <v>1491</v>
      </c>
      <c r="K477" s="21" t="s">
        <v>1492</v>
      </c>
      <c r="L477" s="21" t="s">
        <v>455</v>
      </c>
      <c r="M477" t="s">
        <v>456</v>
      </c>
      <c r="N477" t="s">
        <v>159</v>
      </c>
      <c r="R477" t="s">
        <v>1479</v>
      </c>
      <c r="S477" t="s">
        <v>1491</v>
      </c>
      <c r="T477" t="s">
        <v>45</v>
      </c>
      <c r="U477" t="s">
        <v>1416</v>
      </c>
      <c r="V477" t="s">
        <v>459</v>
      </c>
      <c r="W477" t="s">
        <v>1493</v>
      </c>
    </row>
    <row r="478" spans="1:23" ht="15" customHeight="1" x14ac:dyDescent="0.3">
      <c r="A478" t="s">
        <v>8</v>
      </c>
      <c r="B478">
        <v>246</v>
      </c>
      <c r="C478" t="s">
        <v>368</v>
      </c>
      <c r="D478" t="s">
        <v>1476</v>
      </c>
      <c r="E478" t="s">
        <v>34</v>
      </c>
      <c r="F478" t="s">
        <v>1477</v>
      </c>
      <c r="G478" t="s">
        <v>440</v>
      </c>
      <c r="H478" t="s">
        <v>425</v>
      </c>
      <c r="I478" t="s">
        <v>1476</v>
      </c>
      <c r="J478" t="s">
        <v>1491</v>
      </c>
      <c r="K478" s="21" t="s">
        <v>1492</v>
      </c>
      <c r="L478" s="21" t="s">
        <v>455</v>
      </c>
      <c r="M478" t="s">
        <v>456</v>
      </c>
      <c r="N478" t="s">
        <v>159</v>
      </c>
      <c r="R478" t="s">
        <v>1480</v>
      </c>
      <c r="S478" t="s">
        <v>1491</v>
      </c>
      <c r="T478" t="s">
        <v>45</v>
      </c>
      <c r="U478" t="s">
        <v>1416</v>
      </c>
      <c r="V478" t="s">
        <v>459</v>
      </c>
      <c r="W478" t="s">
        <v>1493</v>
      </c>
    </row>
    <row r="479" spans="1:23" ht="15" customHeight="1" x14ac:dyDescent="0.3">
      <c r="A479" t="s">
        <v>8</v>
      </c>
      <c r="B479">
        <v>246</v>
      </c>
      <c r="C479" t="s">
        <v>368</v>
      </c>
      <c r="D479" t="s">
        <v>1476</v>
      </c>
      <c r="E479" t="s">
        <v>34</v>
      </c>
      <c r="F479" t="s">
        <v>1477</v>
      </c>
      <c r="G479" t="s">
        <v>440</v>
      </c>
      <c r="H479" t="s">
        <v>425</v>
      </c>
      <c r="I479" t="s">
        <v>1476</v>
      </c>
      <c r="J479" t="s">
        <v>1491</v>
      </c>
      <c r="K479" s="21" t="s">
        <v>1492</v>
      </c>
      <c r="L479" s="21" t="s">
        <v>455</v>
      </c>
      <c r="M479" t="s">
        <v>456</v>
      </c>
      <c r="N479" t="s">
        <v>159</v>
      </c>
      <c r="R479" t="s">
        <v>1481</v>
      </c>
      <c r="S479" t="s">
        <v>1491</v>
      </c>
      <c r="T479" t="s">
        <v>45</v>
      </c>
      <c r="U479" t="s">
        <v>1416</v>
      </c>
      <c r="V479" t="s">
        <v>459</v>
      </c>
      <c r="W479" t="s">
        <v>1493</v>
      </c>
    </row>
    <row r="480" spans="1:23" ht="15" customHeight="1" x14ac:dyDescent="0.3">
      <c r="A480" t="s">
        <v>8</v>
      </c>
      <c r="B480">
        <v>246</v>
      </c>
      <c r="C480" t="s">
        <v>368</v>
      </c>
      <c r="D480" t="s">
        <v>1476</v>
      </c>
      <c r="E480" t="s">
        <v>34</v>
      </c>
      <c r="F480" t="s">
        <v>1477</v>
      </c>
      <c r="G480" t="s">
        <v>440</v>
      </c>
      <c r="H480" t="s">
        <v>425</v>
      </c>
      <c r="I480" t="s">
        <v>1476</v>
      </c>
      <c r="J480" t="s">
        <v>1491</v>
      </c>
      <c r="K480" s="21" t="s">
        <v>1492</v>
      </c>
      <c r="L480" s="21" t="s">
        <v>455</v>
      </c>
      <c r="M480" t="s">
        <v>456</v>
      </c>
      <c r="N480" t="s">
        <v>159</v>
      </c>
      <c r="R480" t="s">
        <v>1482</v>
      </c>
      <c r="S480" t="s">
        <v>1491</v>
      </c>
      <c r="T480" t="s">
        <v>45</v>
      </c>
      <c r="U480" t="s">
        <v>1416</v>
      </c>
      <c r="V480" t="s">
        <v>459</v>
      </c>
      <c r="W480" t="s">
        <v>1493</v>
      </c>
    </row>
    <row r="481" spans="1:23" ht="15" customHeight="1" x14ac:dyDescent="0.3">
      <c r="A481" t="s">
        <v>8</v>
      </c>
      <c r="B481">
        <v>246</v>
      </c>
      <c r="C481" t="s">
        <v>368</v>
      </c>
      <c r="D481" t="s">
        <v>1476</v>
      </c>
      <c r="E481" t="s">
        <v>34</v>
      </c>
      <c r="F481" t="s">
        <v>1477</v>
      </c>
      <c r="G481" t="s">
        <v>440</v>
      </c>
      <c r="H481" t="s">
        <v>425</v>
      </c>
      <c r="I481" t="s">
        <v>1476</v>
      </c>
      <c r="J481" t="s">
        <v>1491</v>
      </c>
      <c r="K481" s="21" t="s">
        <v>1492</v>
      </c>
      <c r="L481" s="21" t="s">
        <v>455</v>
      </c>
      <c r="M481" t="s">
        <v>456</v>
      </c>
      <c r="N481" t="s">
        <v>159</v>
      </c>
      <c r="R481" t="s">
        <v>1483</v>
      </c>
      <c r="S481" t="s">
        <v>1491</v>
      </c>
      <c r="T481" t="s">
        <v>45</v>
      </c>
      <c r="U481" t="s">
        <v>1416</v>
      </c>
      <c r="V481" t="s">
        <v>459</v>
      </c>
      <c r="W481" t="s">
        <v>1493</v>
      </c>
    </row>
    <row r="482" spans="1:23" ht="15" customHeight="1" x14ac:dyDescent="0.3">
      <c r="A482" t="s">
        <v>8</v>
      </c>
      <c r="B482">
        <v>247</v>
      </c>
      <c r="C482" t="s">
        <v>368</v>
      </c>
      <c r="D482" t="s">
        <v>1494</v>
      </c>
      <c r="E482" t="s">
        <v>370</v>
      </c>
      <c r="F482" t="s">
        <v>1495</v>
      </c>
      <c r="G482" t="s">
        <v>440</v>
      </c>
      <c r="H482" t="s">
        <v>37</v>
      </c>
      <c r="I482" t="s">
        <v>1494</v>
      </c>
      <c r="J482" t="s">
        <v>1496</v>
      </c>
      <c r="K482" t="s">
        <v>1497</v>
      </c>
      <c r="L482" s="21" t="s">
        <v>1498</v>
      </c>
      <c r="M482" t="s">
        <v>1499</v>
      </c>
      <c r="N482" t="s">
        <v>159</v>
      </c>
      <c r="R482" t="s">
        <v>1500</v>
      </c>
      <c r="S482" t="s">
        <v>1496</v>
      </c>
      <c r="T482" t="s">
        <v>45</v>
      </c>
      <c r="U482" t="s">
        <v>1501</v>
      </c>
      <c r="V482" t="s">
        <v>1502</v>
      </c>
      <c r="W482" t="s">
        <v>1503</v>
      </c>
    </row>
    <row r="483" spans="1:23" ht="15" customHeight="1" x14ac:dyDescent="0.3">
      <c r="A483" t="s">
        <v>8</v>
      </c>
      <c r="B483">
        <v>247</v>
      </c>
      <c r="C483" t="s">
        <v>368</v>
      </c>
      <c r="D483" t="s">
        <v>1494</v>
      </c>
      <c r="E483" t="s">
        <v>370</v>
      </c>
      <c r="F483" t="s">
        <v>1495</v>
      </c>
      <c r="G483" t="s">
        <v>440</v>
      </c>
      <c r="H483" t="s">
        <v>37</v>
      </c>
      <c r="I483" t="s">
        <v>1494</v>
      </c>
      <c r="J483" t="s">
        <v>1496</v>
      </c>
      <c r="K483" t="s">
        <v>1497</v>
      </c>
      <c r="L483" s="21" t="s">
        <v>1498</v>
      </c>
      <c r="M483" t="s">
        <v>1499</v>
      </c>
      <c r="N483" t="s">
        <v>159</v>
      </c>
      <c r="R483" t="s">
        <v>1504</v>
      </c>
      <c r="S483" t="s">
        <v>1496</v>
      </c>
      <c r="T483" t="s">
        <v>45</v>
      </c>
      <c r="U483" t="s">
        <v>1501</v>
      </c>
      <c r="V483" t="s">
        <v>1502</v>
      </c>
      <c r="W483" t="s">
        <v>1503</v>
      </c>
    </row>
    <row r="484" spans="1:23" ht="15" customHeight="1" x14ac:dyDescent="0.3">
      <c r="A484" t="s">
        <v>8</v>
      </c>
      <c r="B484">
        <v>247</v>
      </c>
      <c r="C484" t="s">
        <v>368</v>
      </c>
      <c r="D484" t="s">
        <v>1494</v>
      </c>
      <c r="E484" t="s">
        <v>370</v>
      </c>
      <c r="F484" t="s">
        <v>1495</v>
      </c>
      <c r="G484" t="s">
        <v>440</v>
      </c>
      <c r="H484" t="s">
        <v>37</v>
      </c>
      <c r="I484" t="s">
        <v>1494</v>
      </c>
      <c r="J484" t="s">
        <v>1496</v>
      </c>
      <c r="K484" t="s">
        <v>1497</v>
      </c>
      <c r="L484" s="21" t="s">
        <v>1498</v>
      </c>
      <c r="M484" t="s">
        <v>1499</v>
      </c>
      <c r="N484" t="s">
        <v>159</v>
      </c>
      <c r="R484" t="s">
        <v>1505</v>
      </c>
      <c r="S484" t="s">
        <v>1496</v>
      </c>
      <c r="T484" t="s">
        <v>45</v>
      </c>
      <c r="U484" t="s">
        <v>1501</v>
      </c>
      <c r="V484" t="s">
        <v>1502</v>
      </c>
      <c r="W484" t="s">
        <v>1503</v>
      </c>
    </row>
    <row r="485" spans="1:23" ht="15" customHeight="1" x14ac:dyDescent="0.3">
      <c r="A485" t="s">
        <v>8</v>
      </c>
      <c r="B485">
        <v>247</v>
      </c>
      <c r="C485" t="s">
        <v>368</v>
      </c>
      <c r="D485" t="s">
        <v>1494</v>
      </c>
      <c r="E485" t="s">
        <v>370</v>
      </c>
      <c r="F485" t="s">
        <v>1495</v>
      </c>
      <c r="G485" t="s">
        <v>440</v>
      </c>
      <c r="H485" t="s">
        <v>37</v>
      </c>
      <c r="I485" t="s">
        <v>1494</v>
      </c>
      <c r="J485" t="s">
        <v>1496</v>
      </c>
      <c r="K485" t="s">
        <v>1497</v>
      </c>
      <c r="L485" s="21" t="s">
        <v>1498</v>
      </c>
      <c r="M485" t="s">
        <v>1499</v>
      </c>
      <c r="N485" t="s">
        <v>159</v>
      </c>
      <c r="R485" t="s">
        <v>1506</v>
      </c>
      <c r="S485" t="s">
        <v>1496</v>
      </c>
      <c r="T485" t="s">
        <v>45</v>
      </c>
      <c r="U485" t="s">
        <v>1501</v>
      </c>
      <c r="V485" t="s">
        <v>1502</v>
      </c>
      <c r="W485" t="s">
        <v>1503</v>
      </c>
    </row>
    <row r="486" spans="1:23" ht="15" customHeight="1" x14ac:dyDescent="0.3">
      <c r="A486" t="s">
        <v>8</v>
      </c>
      <c r="B486">
        <v>247</v>
      </c>
      <c r="C486" t="s">
        <v>368</v>
      </c>
      <c r="D486" t="s">
        <v>1494</v>
      </c>
      <c r="E486" t="s">
        <v>370</v>
      </c>
      <c r="F486" t="s">
        <v>1495</v>
      </c>
      <c r="G486" t="s">
        <v>440</v>
      </c>
      <c r="H486" t="s">
        <v>37</v>
      </c>
      <c r="I486" t="s">
        <v>1494</v>
      </c>
      <c r="J486" t="s">
        <v>1496</v>
      </c>
      <c r="K486" t="s">
        <v>1497</v>
      </c>
      <c r="L486" s="21" t="s">
        <v>1498</v>
      </c>
      <c r="M486" t="s">
        <v>1499</v>
      </c>
      <c r="N486" t="s">
        <v>159</v>
      </c>
      <c r="R486" t="s">
        <v>1507</v>
      </c>
      <c r="S486" t="s">
        <v>1496</v>
      </c>
      <c r="T486" t="s">
        <v>45</v>
      </c>
      <c r="U486" t="s">
        <v>1501</v>
      </c>
      <c r="V486" t="s">
        <v>1502</v>
      </c>
      <c r="W486" t="s">
        <v>1503</v>
      </c>
    </row>
    <row r="487" spans="1:23" ht="15" customHeight="1" x14ac:dyDescent="0.3">
      <c r="A487" t="s">
        <v>8</v>
      </c>
      <c r="B487">
        <v>247</v>
      </c>
      <c r="C487" t="s">
        <v>368</v>
      </c>
      <c r="D487" t="s">
        <v>1494</v>
      </c>
      <c r="E487" t="s">
        <v>370</v>
      </c>
      <c r="F487" t="s">
        <v>1495</v>
      </c>
      <c r="G487" t="s">
        <v>440</v>
      </c>
      <c r="H487" t="s">
        <v>37</v>
      </c>
      <c r="I487" t="s">
        <v>1494</v>
      </c>
      <c r="J487" t="s">
        <v>1496</v>
      </c>
      <c r="K487" t="s">
        <v>1497</v>
      </c>
      <c r="L487" s="21" t="s">
        <v>1498</v>
      </c>
      <c r="M487" t="s">
        <v>1499</v>
      </c>
      <c r="N487" t="s">
        <v>159</v>
      </c>
      <c r="R487" t="s">
        <v>1508</v>
      </c>
      <c r="S487" t="s">
        <v>1496</v>
      </c>
      <c r="T487" t="s">
        <v>45</v>
      </c>
      <c r="U487" t="s">
        <v>1501</v>
      </c>
      <c r="V487" t="s">
        <v>1502</v>
      </c>
      <c r="W487" t="s">
        <v>1503</v>
      </c>
    </row>
    <row r="488" spans="1:23" ht="15" customHeight="1" x14ac:dyDescent="0.3">
      <c r="A488" t="s">
        <v>8</v>
      </c>
      <c r="B488">
        <v>247</v>
      </c>
      <c r="C488" t="s">
        <v>368</v>
      </c>
      <c r="D488" t="s">
        <v>1494</v>
      </c>
      <c r="E488" t="s">
        <v>370</v>
      </c>
      <c r="F488" t="s">
        <v>1495</v>
      </c>
      <c r="G488" t="s">
        <v>440</v>
      </c>
      <c r="H488" t="s">
        <v>52</v>
      </c>
      <c r="I488" t="s">
        <v>1494</v>
      </c>
      <c r="J488" t="s">
        <v>1509</v>
      </c>
      <c r="K488" s="21" t="s">
        <v>1510</v>
      </c>
      <c r="L488" s="21" t="s">
        <v>1498</v>
      </c>
      <c r="M488" t="s">
        <v>1499</v>
      </c>
      <c r="N488" t="s">
        <v>159</v>
      </c>
      <c r="R488" t="s">
        <v>1500</v>
      </c>
      <c r="S488" t="s">
        <v>1509</v>
      </c>
      <c r="T488" t="s">
        <v>45</v>
      </c>
      <c r="U488" t="s">
        <v>1511</v>
      </c>
      <c r="V488" t="s">
        <v>1502</v>
      </c>
      <c r="W488" t="s">
        <v>1512</v>
      </c>
    </row>
    <row r="489" spans="1:23" ht="15" customHeight="1" x14ac:dyDescent="0.3">
      <c r="A489" t="s">
        <v>8</v>
      </c>
      <c r="B489">
        <v>247</v>
      </c>
      <c r="C489" t="s">
        <v>368</v>
      </c>
      <c r="D489" t="s">
        <v>1494</v>
      </c>
      <c r="E489" t="s">
        <v>370</v>
      </c>
      <c r="F489" t="s">
        <v>1495</v>
      </c>
      <c r="G489" t="s">
        <v>440</v>
      </c>
      <c r="H489" t="s">
        <v>52</v>
      </c>
      <c r="I489" t="s">
        <v>1494</v>
      </c>
      <c r="J489" t="s">
        <v>1509</v>
      </c>
      <c r="K489" s="21" t="s">
        <v>1510</v>
      </c>
      <c r="L489" s="21" t="s">
        <v>1498</v>
      </c>
      <c r="M489" t="s">
        <v>1499</v>
      </c>
      <c r="N489" t="s">
        <v>159</v>
      </c>
      <c r="R489" t="s">
        <v>1504</v>
      </c>
      <c r="S489" t="s">
        <v>1509</v>
      </c>
      <c r="T489" t="s">
        <v>45</v>
      </c>
      <c r="U489" t="s">
        <v>1511</v>
      </c>
      <c r="V489" t="s">
        <v>1502</v>
      </c>
      <c r="W489" t="s">
        <v>1512</v>
      </c>
    </row>
    <row r="490" spans="1:23" ht="15" customHeight="1" x14ac:dyDescent="0.3">
      <c r="A490" t="s">
        <v>8</v>
      </c>
      <c r="B490">
        <v>247</v>
      </c>
      <c r="C490" t="s">
        <v>368</v>
      </c>
      <c r="D490" t="s">
        <v>1494</v>
      </c>
      <c r="E490" t="s">
        <v>370</v>
      </c>
      <c r="F490" t="s">
        <v>1495</v>
      </c>
      <c r="G490" t="s">
        <v>440</v>
      </c>
      <c r="H490" t="s">
        <v>52</v>
      </c>
      <c r="I490" t="s">
        <v>1494</v>
      </c>
      <c r="J490" t="s">
        <v>1509</v>
      </c>
      <c r="K490" s="21" t="s">
        <v>1510</v>
      </c>
      <c r="L490" s="21" t="s">
        <v>1498</v>
      </c>
      <c r="M490" t="s">
        <v>1499</v>
      </c>
      <c r="N490" t="s">
        <v>159</v>
      </c>
      <c r="R490" t="s">
        <v>1505</v>
      </c>
      <c r="S490" t="s">
        <v>1509</v>
      </c>
      <c r="T490" t="s">
        <v>45</v>
      </c>
      <c r="U490" t="s">
        <v>1511</v>
      </c>
      <c r="V490" t="s">
        <v>1502</v>
      </c>
      <c r="W490" t="s">
        <v>1512</v>
      </c>
    </row>
    <row r="491" spans="1:23" ht="15" customHeight="1" x14ac:dyDescent="0.3">
      <c r="A491" t="s">
        <v>8</v>
      </c>
      <c r="B491">
        <v>247</v>
      </c>
      <c r="C491" t="s">
        <v>368</v>
      </c>
      <c r="D491" t="s">
        <v>1494</v>
      </c>
      <c r="E491" t="s">
        <v>370</v>
      </c>
      <c r="F491" t="s">
        <v>1495</v>
      </c>
      <c r="G491" t="s">
        <v>440</v>
      </c>
      <c r="H491" t="s">
        <v>52</v>
      </c>
      <c r="I491" t="s">
        <v>1494</v>
      </c>
      <c r="J491" t="s">
        <v>1509</v>
      </c>
      <c r="K491" s="21" t="s">
        <v>1510</v>
      </c>
      <c r="L491" s="21" t="s">
        <v>1498</v>
      </c>
      <c r="M491" t="s">
        <v>1499</v>
      </c>
      <c r="N491" t="s">
        <v>159</v>
      </c>
      <c r="R491" t="s">
        <v>1506</v>
      </c>
      <c r="S491" t="s">
        <v>1509</v>
      </c>
      <c r="T491" t="s">
        <v>45</v>
      </c>
      <c r="U491" t="s">
        <v>1511</v>
      </c>
      <c r="V491" t="s">
        <v>1502</v>
      </c>
      <c r="W491" t="s">
        <v>1512</v>
      </c>
    </row>
    <row r="492" spans="1:23" ht="15" customHeight="1" x14ac:dyDescent="0.3">
      <c r="A492" t="s">
        <v>8</v>
      </c>
      <c r="B492">
        <v>247</v>
      </c>
      <c r="C492" t="s">
        <v>368</v>
      </c>
      <c r="D492" t="s">
        <v>1494</v>
      </c>
      <c r="E492" t="s">
        <v>370</v>
      </c>
      <c r="F492" t="s">
        <v>1495</v>
      </c>
      <c r="G492" t="s">
        <v>440</v>
      </c>
      <c r="H492" t="s">
        <v>52</v>
      </c>
      <c r="I492" t="s">
        <v>1494</v>
      </c>
      <c r="J492" t="s">
        <v>1509</v>
      </c>
      <c r="K492" s="21" t="s">
        <v>1510</v>
      </c>
      <c r="L492" s="21" t="s">
        <v>1498</v>
      </c>
      <c r="M492" t="s">
        <v>1499</v>
      </c>
      <c r="N492" t="s">
        <v>159</v>
      </c>
      <c r="R492" t="s">
        <v>1507</v>
      </c>
      <c r="S492" t="s">
        <v>1509</v>
      </c>
      <c r="T492" t="s">
        <v>45</v>
      </c>
      <c r="U492" t="s">
        <v>1511</v>
      </c>
      <c r="V492" t="s">
        <v>1502</v>
      </c>
      <c r="W492" t="s">
        <v>1512</v>
      </c>
    </row>
    <row r="493" spans="1:23" ht="15" customHeight="1" x14ac:dyDescent="0.3">
      <c r="A493" t="s">
        <v>8</v>
      </c>
      <c r="B493">
        <v>247</v>
      </c>
      <c r="C493" t="s">
        <v>368</v>
      </c>
      <c r="D493" t="s">
        <v>1494</v>
      </c>
      <c r="E493" t="s">
        <v>370</v>
      </c>
      <c r="F493" t="s">
        <v>1495</v>
      </c>
      <c r="G493" t="s">
        <v>440</v>
      </c>
      <c r="H493" t="s">
        <v>52</v>
      </c>
      <c r="I493" t="s">
        <v>1494</v>
      </c>
      <c r="J493" t="s">
        <v>1509</v>
      </c>
      <c r="K493" s="21" t="s">
        <v>1510</v>
      </c>
      <c r="L493" s="21" t="s">
        <v>1498</v>
      </c>
      <c r="M493" t="s">
        <v>1499</v>
      </c>
      <c r="N493" t="s">
        <v>159</v>
      </c>
      <c r="R493" t="s">
        <v>1508</v>
      </c>
      <c r="S493" t="s">
        <v>1509</v>
      </c>
      <c r="T493" t="s">
        <v>45</v>
      </c>
      <c r="U493" t="s">
        <v>1511</v>
      </c>
      <c r="V493" t="s">
        <v>1502</v>
      </c>
      <c r="W493" t="s">
        <v>1512</v>
      </c>
    </row>
    <row r="494" spans="1:23" ht="15" customHeight="1" x14ac:dyDescent="0.3">
      <c r="A494" t="s">
        <v>8</v>
      </c>
      <c r="B494">
        <v>247</v>
      </c>
      <c r="C494" t="s">
        <v>368</v>
      </c>
      <c r="D494" t="s">
        <v>1494</v>
      </c>
      <c r="E494" t="s">
        <v>370</v>
      </c>
      <c r="F494" t="s">
        <v>1495</v>
      </c>
      <c r="G494" t="s">
        <v>440</v>
      </c>
      <c r="H494" t="s">
        <v>57</v>
      </c>
      <c r="I494" t="s">
        <v>1494</v>
      </c>
      <c r="J494" t="s">
        <v>1513</v>
      </c>
      <c r="K494" s="21" t="s">
        <v>1514</v>
      </c>
      <c r="L494" s="21" t="s">
        <v>1498</v>
      </c>
      <c r="M494" t="s">
        <v>1499</v>
      </c>
      <c r="N494" t="s">
        <v>159</v>
      </c>
      <c r="R494" t="s">
        <v>1500</v>
      </c>
      <c r="S494" t="s">
        <v>1513</v>
      </c>
      <c r="T494" t="s">
        <v>45</v>
      </c>
      <c r="U494" t="s">
        <v>46</v>
      </c>
      <c r="V494" t="s">
        <v>1502</v>
      </c>
      <c r="W494" t="s">
        <v>1515</v>
      </c>
    </row>
    <row r="495" spans="1:23" ht="15" customHeight="1" x14ac:dyDescent="0.3">
      <c r="A495" t="s">
        <v>8</v>
      </c>
      <c r="B495">
        <v>247</v>
      </c>
      <c r="C495" t="s">
        <v>368</v>
      </c>
      <c r="D495" t="s">
        <v>1494</v>
      </c>
      <c r="E495" t="s">
        <v>370</v>
      </c>
      <c r="F495" t="s">
        <v>1495</v>
      </c>
      <c r="G495" t="s">
        <v>440</v>
      </c>
      <c r="H495" t="s">
        <v>57</v>
      </c>
      <c r="I495" t="s">
        <v>1494</v>
      </c>
      <c r="J495" t="s">
        <v>1513</v>
      </c>
      <c r="K495" s="21" t="s">
        <v>1514</v>
      </c>
      <c r="L495" s="21" t="s">
        <v>1498</v>
      </c>
      <c r="M495" t="s">
        <v>1499</v>
      </c>
      <c r="N495" t="s">
        <v>159</v>
      </c>
      <c r="R495" t="s">
        <v>1504</v>
      </c>
      <c r="S495" t="s">
        <v>1513</v>
      </c>
      <c r="T495" t="s">
        <v>45</v>
      </c>
      <c r="U495" t="s">
        <v>46</v>
      </c>
      <c r="V495" t="s">
        <v>1502</v>
      </c>
      <c r="W495" t="s">
        <v>1515</v>
      </c>
    </row>
    <row r="496" spans="1:23" ht="15" customHeight="1" x14ac:dyDescent="0.3">
      <c r="A496" t="s">
        <v>8</v>
      </c>
      <c r="B496">
        <v>247</v>
      </c>
      <c r="C496" t="s">
        <v>368</v>
      </c>
      <c r="D496" t="s">
        <v>1494</v>
      </c>
      <c r="E496" t="s">
        <v>370</v>
      </c>
      <c r="F496" t="s">
        <v>1495</v>
      </c>
      <c r="G496" t="s">
        <v>440</v>
      </c>
      <c r="H496" t="s">
        <v>57</v>
      </c>
      <c r="I496" t="s">
        <v>1494</v>
      </c>
      <c r="J496" t="s">
        <v>1513</v>
      </c>
      <c r="K496" s="21" t="s">
        <v>1514</v>
      </c>
      <c r="L496" s="21" t="s">
        <v>1498</v>
      </c>
      <c r="M496" t="s">
        <v>1499</v>
      </c>
      <c r="N496" t="s">
        <v>159</v>
      </c>
      <c r="R496" t="s">
        <v>1505</v>
      </c>
      <c r="S496" t="s">
        <v>1513</v>
      </c>
      <c r="T496" t="s">
        <v>45</v>
      </c>
      <c r="U496" t="s">
        <v>46</v>
      </c>
      <c r="V496" t="s">
        <v>1502</v>
      </c>
      <c r="W496" t="s">
        <v>1515</v>
      </c>
    </row>
    <row r="497" spans="1:23" ht="15" customHeight="1" x14ac:dyDescent="0.3">
      <c r="A497" t="s">
        <v>8</v>
      </c>
      <c r="B497">
        <v>247</v>
      </c>
      <c r="C497" t="s">
        <v>368</v>
      </c>
      <c r="D497" t="s">
        <v>1494</v>
      </c>
      <c r="E497" t="s">
        <v>370</v>
      </c>
      <c r="F497" t="s">
        <v>1495</v>
      </c>
      <c r="G497" t="s">
        <v>440</v>
      </c>
      <c r="H497" t="s">
        <v>57</v>
      </c>
      <c r="I497" t="s">
        <v>1494</v>
      </c>
      <c r="J497" t="s">
        <v>1513</v>
      </c>
      <c r="K497" s="21" t="s">
        <v>1514</v>
      </c>
      <c r="L497" s="21" t="s">
        <v>1498</v>
      </c>
      <c r="M497" t="s">
        <v>1499</v>
      </c>
      <c r="N497" t="s">
        <v>159</v>
      </c>
      <c r="R497" t="s">
        <v>1506</v>
      </c>
      <c r="S497" t="s">
        <v>1513</v>
      </c>
      <c r="T497" t="s">
        <v>45</v>
      </c>
      <c r="U497" t="s">
        <v>46</v>
      </c>
      <c r="V497" t="s">
        <v>1502</v>
      </c>
      <c r="W497" t="s">
        <v>1515</v>
      </c>
    </row>
    <row r="498" spans="1:23" ht="15" customHeight="1" x14ac:dyDescent="0.3">
      <c r="A498" t="s">
        <v>8</v>
      </c>
      <c r="B498">
        <v>247</v>
      </c>
      <c r="C498" t="s">
        <v>368</v>
      </c>
      <c r="D498" t="s">
        <v>1494</v>
      </c>
      <c r="E498" t="s">
        <v>370</v>
      </c>
      <c r="F498" t="s">
        <v>1495</v>
      </c>
      <c r="G498" t="s">
        <v>440</v>
      </c>
      <c r="H498" t="s">
        <v>57</v>
      </c>
      <c r="I498" t="s">
        <v>1494</v>
      </c>
      <c r="J498" t="s">
        <v>1513</v>
      </c>
      <c r="K498" s="21" t="s">
        <v>1514</v>
      </c>
      <c r="L498" s="21" t="s">
        <v>1498</v>
      </c>
      <c r="M498" t="s">
        <v>1499</v>
      </c>
      <c r="N498" t="s">
        <v>159</v>
      </c>
      <c r="R498" t="s">
        <v>1507</v>
      </c>
      <c r="S498" t="s">
        <v>1513</v>
      </c>
      <c r="T498" t="s">
        <v>45</v>
      </c>
      <c r="U498" t="s">
        <v>46</v>
      </c>
      <c r="V498" t="s">
        <v>1502</v>
      </c>
      <c r="W498" t="s">
        <v>1515</v>
      </c>
    </row>
    <row r="499" spans="1:23" ht="15" customHeight="1" x14ac:dyDescent="0.3">
      <c r="A499" t="s">
        <v>8</v>
      </c>
      <c r="B499">
        <v>247</v>
      </c>
      <c r="C499" t="s">
        <v>368</v>
      </c>
      <c r="D499" t="s">
        <v>1494</v>
      </c>
      <c r="E499" t="s">
        <v>370</v>
      </c>
      <c r="F499" t="s">
        <v>1495</v>
      </c>
      <c r="G499" t="s">
        <v>440</v>
      </c>
      <c r="H499" t="s">
        <v>57</v>
      </c>
      <c r="I499" t="s">
        <v>1494</v>
      </c>
      <c r="J499" t="s">
        <v>1513</v>
      </c>
      <c r="K499" s="21" t="s">
        <v>1514</v>
      </c>
      <c r="L499" s="21" t="s">
        <v>1498</v>
      </c>
      <c r="M499" t="s">
        <v>1499</v>
      </c>
      <c r="N499" t="s">
        <v>159</v>
      </c>
      <c r="R499" t="s">
        <v>1508</v>
      </c>
      <c r="S499" t="s">
        <v>1513</v>
      </c>
      <c r="T499" t="s">
        <v>45</v>
      </c>
      <c r="U499" t="s">
        <v>46</v>
      </c>
      <c r="V499" t="s">
        <v>1502</v>
      </c>
      <c r="W499" t="s">
        <v>1515</v>
      </c>
    </row>
    <row r="500" spans="1:23" ht="15" customHeight="1" x14ac:dyDescent="0.3">
      <c r="A500" t="s">
        <v>8</v>
      </c>
      <c r="B500">
        <v>247</v>
      </c>
      <c r="C500" t="s">
        <v>368</v>
      </c>
      <c r="D500" t="s">
        <v>1494</v>
      </c>
      <c r="E500" t="s">
        <v>370</v>
      </c>
      <c r="F500" t="s">
        <v>1495</v>
      </c>
      <c r="G500" t="s">
        <v>440</v>
      </c>
      <c r="H500" t="s">
        <v>49</v>
      </c>
      <c r="I500" t="s">
        <v>1494</v>
      </c>
      <c r="J500" t="s">
        <v>1516</v>
      </c>
      <c r="K500" s="21" t="s">
        <v>1517</v>
      </c>
      <c r="L500" s="21" t="s">
        <v>1498</v>
      </c>
      <c r="M500" t="s">
        <v>1499</v>
      </c>
      <c r="N500" t="s">
        <v>159</v>
      </c>
      <c r="R500" t="s">
        <v>1500</v>
      </c>
      <c r="S500" t="s">
        <v>1516</v>
      </c>
      <c r="T500" t="s">
        <v>45</v>
      </c>
      <c r="U500" t="s">
        <v>46</v>
      </c>
      <c r="V500" t="s">
        <v>1502</v>
      </c>
      <c r="W500" t="s">
        <v>1518</v>
      </c>
    </row>
    <row r="501" spans="1:23" ht="15" customHeight="1" x14ac:dyDescent="0.3">
      <c r="A501" t="s">
        <v>8</v>
      </c>
      <c r="B501">
        <v>247</v>
      </c>
      <c r="C501" t="s">
        <v>368</v>
      </c>
      <c r="D501" t="s">
        <v>1494</v>
      </c>
      <c r="E501" t="s">
        <v>370</v>
      </c>
      <c r="F501" t="s">
        <v>1495</v>
      </c>
      <c r="G501" t="s">
        <v>440</v>
      </c>
      <c r="H501" t="s">
        <v>49</v>
      </c>
      <c r="I501" t="s">
        <v>1494</v>
      </c>
      <c r="J501" t="s">
        <v>1516</v>
      </c>
      <c r="K501" s="21" t="s">
        <v>1517</v>
      </c>
      <c r="L501" s="21" t="s">
        <v>1498</v>
      </c>
      <c r="M501" t="s">
        <v>1499</v>
      </c>
      <c r="N501" t="s">
        <v>159</v>
      </c>
      <c r="R501" t="s">
        <v>1504</v>
      </c>
      <c r="S501" t="s">
        <v>1516</v>
      </c>
      <c r="T501" t="s">
        <v>45</v>
      </c>
      <c r="U501" t="s">
        <v>46</v>
      </c>
      <c r="V501" t="s">
        <v>1502</v>
      </c>
      <c r="W501" t="s">
        <v>1518</v>
      </c>
    </row>
    <row r="502" spans="1:23" ht="15" customHeight="1" x14ac:dyDescent="0.3">
      <c r="A502" t="s">
        <v>8</v>
      </c>
      <c r="B502">
        <v>247</v>
      </c>
      <c r="C502" t="s">
        <v>368</v>
      </c>
      <c r="D502" t="s">
        <v>1494</v>
      </c>
      <c r="E502" t="s">
        <v>370</v>
      </c>
      <c r="F502" t="s">
        <v>1495</v>
      </c>
      <c r="G502" t="s">
        <v>440</v>
      </c>
      <c r="H502" t="s">
        <v>49</v>
      </c>
      <c r="I502" t="s">
        <v>1494</v>
      </c>
      <c r="J502" t="s">
        <v>1516</v>
      </c>
      <c r="K502" s="21" t="s">
        <v>1517</v>
      </c>
      <c r="L502" s="21" t="s">
        <v>1498</v>
      </c>
      <c r="M502" t="s">
        <v>1499</v>
      </c>
      <c r="N502" t="s">
        <v>159</v>
      </c>
      <c r="R502" t="s">
        <v>1505</v>
      </c>
      <c r="S502" t="s">
        <v>1516</v>
      </c>
      <c r="T502" t="s">
        <v>45</v>
      </c>
      <c r="U502" t="s">
        <v>46</v>
      </c>
      <c r="V502" t="s">
        <v>1502</v>
      </c>
      <c r="W502" t="s">
        <v>1518</v>
      </c>
    </row>
    <row r="503" spans="1:23" ht="15" customHeight="1" x14ac:dyDescent="0.3">
      <c r="A503" t="s">
        <v>8</v>
      </c>
      <c r="B503">
        <v>247</v>
      </c>
      <c r="C503" t="s">
        <v>368</v>
      </c>
      <c r="D503" t="s">
        <v>1494</v>
      </c>
      <c r="E503" t="s">
        <v>370</v>
      </c>
      <c r="F503" t="s">
        <v>1495</v>
      </c>
      <c r="G503" t="s">
        <v>440</v>
      </c>
      <c r="H503" t="s">
        <v>49</v>
      </c>
      <c r="I503" t="s">
        <v>1494</v>
      </c>
      <c r="J503" t="s">
        <v>1516</v>
      </c>
      <c r="K503" s="21" t="s">
        <v>1517</v>
      </c>
      <c r="L503" s="21" t="s">
        <v>1498</v>
      </c>
      <c r="M503" t="s">
        <v>1499</v>
      </c>
      <c r="N503" t="s">
        <v>159</v>
      </c>
      <c r="R503" t="s">
        <v>1506</v>
      </c>
      <c r="S503" t="s">
        <v>1516</v>
      </c>
      <c r="T503" t="s">
        <v>45</v>
      </c>
      <c r="U503" t="s">
        <v>46</v>
      </c>
      <c r="V503" t="s">
        <v>1502</v>
      </c>
      <c r="W503" t="s">
        <v>1518</v>
      </c>
    </row>
    <row r="504" spans="1:23" ht="15" customHeight="1" x14ac:dyDescent="0.3">
      <c r="A504" t="s">
        <v>8</v>
      </c>
      <c r="B504">
        <v>247</v>
      </c>
      <c r="C504" t="s">
        <v>368</v>
      </c>
      <c r="D504" t="s">
        <v>1494</v>
      </c>
      <c r="E504" t="s">
        <v>370</v>
      </c>
      <c r="F504" t="s">
        <v>1495</v>
      </c>
      <c r="G504" t="s">
        <v>440</v>
      </c>
      <c r="H504" t="s">
        <v>49</v>
      </c>
      <c r="I504" t="s">
        <v>1494</v>
      </c>
      <c r="J504" t="s">
        <v>1516</v>
      </c>
      <c r="K504" s="21" t="s">
        <v>1517</v>
      </c>
      <c r="L504" s="21" t="s">
        <v>1498</v>
      </c>
      <c r="M504" t="s">
        <v>1499</v>
      </c>
      <c r="N504" t="s">
        <v>159</v>
      </c>
      <c r="R504" t="s">
        <v>1507</v>
      </c>
      <c r="S504" t="s">
        <v>1516</v>
      </c>
      <c r="T504" t="s">
        <v>45</v>
      </c>
      <c r="U504" t="s">
        <v>46</v>
      </c>
      <c r="V504" t="s">
        <v>1502</v>
      </c>
      <c r="W504" t="s">
        <v>1518</v>
      </c>
    </row>
    <row r="505" spans="1:23" ht="15" customHeight="1" x14ac:dyDescent="0.3">
      <c r="A505" t="s">
        <v>8</v>
      </c>
      <c r="B505">
        <v>247</v>
      </c>
      <c r="C505" t="s">
        <v>368</v>
      </c>
      <c r="D505" t="s">
        <v>1494</v>
      </c>
      <c r="E505" t="s">
        <v>370</v>
      </c>
      <c r="F505" t="s">
        <v>1495</v>
      </c>
      <c r="G505" t="s">
        <v>440</v>
      </c>
      <c r="H505" t="s">
        <v>49</v>
      </c>
      <c r="I505" t="s">
        <v>1494</v>
      </c>
      <c r="J505" t="s">
        <v>1516</v>
      </c>
      <c r="K505" s="21" t="s">
        <v>1517</v>
      </c>
      <c r="L505" s="21" t="s">
        <v>1498</v>
      </c>
      <c r="M505" t="s">
        <v>1499</v>
      </c>
      <c r="N505" t="s">
        <v>159</v>
      </c>
      <c r="R505" t="s">
        <v>1508</v>
      </c>
      <c r="S505" t="s">
        <v>1516</v>
      </c>
      <c r="T505" t="s">
        <v>45</v>
      </c>
      <c r="U505" t="s">
        <v>46</v>
      </c>
      <c r="V505" t="s">
        <v>1502</v>
      </c>
      <c r="W505" t="s">
        <v>1518</v>
      </c>
    </row>
    <row r="506" spans="1:23" ht="15" customHeight="1" x14ac:dyDescent="0.3">
      <c r="A506" t="s">
        <v>8</v>
      </c>
      <c r="B506">
        <v>247</v>
      </c>
      <c r="C506" t="s">
        <v>368</v>
      </c>
      <c r="D506" t="s">
        <v>1494</v>
      </c>
      <c r="E506" t="s">
        <v>370</v>
      </c>
      <c r="F506" t="s">
        <v>1495</v>
      </c>
      <c r="G506" t="s">
        <v>440</v>
      </c>
      <c r="H506" t="s">
        <v>87</v>
      </c>
      <c r="I506" t="s">
        <v>1494</v>
      </c>
      <c r="J506" t="s">
        <v>1519</v>
      </c>
      <c r="K506" s="21" t="s">
        <v>1520</v>
      </c>
      <c r="L506" s="21" t="s">
        <v>1498</v>
      </c>
      <c r="M506" t="s">
        <v>1499</v>
      </c>
      <c r="N506" t="s">
        <v>159</v>
      </c>
      <c r="R506" t="s">
        <v>1500</v>
      </c>
      <c r="S506" t="s">
        <v>1519</v>
      </c>
      <c r="T506" t="s">
        <v>45</v>
      </c>
      <c r="U506" t="s">
        <v>46</v>
      </c>
      <c r="V506" t="s">
        <v>1521</v>
      </c>
      <c r="W506" t="s">
        <v>1522</v>
      </c>
    </row>
    <row r="507" spans="1:23" ht="15" customHeight="1" x14ac:dyDescent="0.3">
      <c r="A507" t="s">
        <v>8</v>
      </c>
      <c r="B507">
        <v>247</v>
      </c>
      <c r="C507" t="s">
        <v>368</v>
      </c>
      <c r="D507" t="s">
        <v>1494</v>
      </c>
      <c r="E507" t="s">
        <v>370</v>
      </c>
      <c r="F507" t="s">
        <v>1495</v>
      </c>
      <c r="G507" t="s">
        <v>440</v>
      </c>
      <c r="H507" t="s">
        <v>87</v>
      </c>
      <c r="I507" t="s">
        <v>1494</v>
      </c>
      <c r="J507" t="s">
        <v>1519</v>
      </c>
      <c r="K507" s="21" t="s">
        <v>1520</v>
      </c>
      <c r="L507" s="21" t="s">
        <v>1498</v>
      </c>
      <c r="M507" t="s">
        <v>1499</v>
      </c>
      <c r="N507" t="s">
        <v>159</v>
      </c>
      <c r="R507" t="s">
        <v>1504</v>
      </c>
      <c r="S507" t="s">
        <v>1519</v>
      </c>
      <c r="T507" t="s">
        <v>45</v>
      </c>
      <c r="U507" t="s">
        <v>46</v>
      </c>
      <c r="V507" t="s">
        <v>1521</v>
      </c>
      <c r="W507" t="s">
        <v>1522</v>
      </c>
    </row>
    <row r="508" spans="1:23" ht="15" customHeight="1" x14ac:dyDescent="0.3">
      <c r="A508" t="s">
        <v>8</v>
      </c>
      <c r="B508">
        <v>247</v>
      </c>
      <c r="C508" t="s">
        <v>368</v>
      </c>
      <c r="D508" t="s">
        <v>1494</v>
      </c>
      <c r="E508" t="s">
        <v>370</v>
      </c>
      <c r="F508" t="s">
        <v>1495</v>
      </c>
      <c r="G508" t="s">
        <v>440</v>
      </c>
      <c r="H508" t="s">
        <v>87</v>
      </c>
      <c r="I508" t="s">
        <v>1494</v>
      </c>
      <c r="J508" t="s">
        <v>1519</v>
      </c>
      <c r="K508" s="21" t="s">
        <v>1520</v>
      </c>
      <c r="L508" s="21" t="s">
        <v>1498</v>
      </c>
      <c r="M508" t="s">
        <v>1499</v>
      </c>
      <c r="N508" t="s">
        <v>159</v>
      </c>
      <c r="R508" t="s">
        <v>1505</v>
      </c>
      <c r="S508" t="s">
        <v>1519</v>
      </c>
      <c r="T508" t="s">
        <v>45</v>
      </c>
      <c r="U508" t="s">
        <v>46</v>
      </c>
      <c r="V508" t="s">
        <v>1521</v>
      </c>
      <c r="W508" t="s">
        <v>1522</v>
      </c>
    </row>
    <row r="509" spans="1:23" ht="15" customHeight="1" x14ac:dyDescent="0.3">
      <c r="A509" t="s">
        <v>8</v>
      </c>
      <c r="B509">
        <v>247</v>
      </c>
      <c r="C509" t="s">
        <v>368</v>
      </c>
      <c r="D509" t="s">
        <v>1494</v>
      </c>
      <c r="E509" t="s">
        <v>370</v>
      </c>
      <c r="F509" t="s">
        <v>1495</v>
      </c>
      <c r="G509" t="s">
        <v>440</v>
      </c>
      <c r="H509" t="s">
        <v>87</v>
      </c>
      <c r="I509" t="s">
        <v>1494</v>
      </c>
      <c r="J509" t="s">
        <v>1519</v>
      </c>
      <c r="K509" s="21" t="s">
        <v>1520</v>
      </c>
      <c r="L509" s="21" t="s">
        <v>1498</v>
      </c>
      <c r="M509" t="s">
        <v>1499</v>
      </c>
      <c r="N509" t="s">
        <v>159</v>
      </c>
      <c r="R509" t="s">
        <v>1506</v>
      </c>
      <c r="S509" t="s">
        <v>1519</v>
      </c>
      <c r="T509" t="s">
        <v>45</v>
      </c>
      <c r="U509" t="s">
        <v>46</v>
      </c>
      <c r="V509" t="s">
        <v>1521</v>
      </c>
      <c r="W509" t="s">
        <v>1522</v>
      </c>
    </row>
    <row r="510" spans="1:23" ht="15" customHeight="1" x14ac:dyDescent="0.3">
      <c r="A510" t="s">
        <v>8</v>
      </c>
      <c r="B510">
        <v>247</v>
      </c>
      <c r="C510" t="s">
        <v>368</v>
      </c>
      <c r="D510" t="s">
        <v>1494</v>
      </c>
      <c r="E510" t="s">
        <v>370</v>
      </c>
      <c r="F510" t="s">
        <v>1495</v>
      </c>
      <c r="G510" t="s">
        <v>440</v>
      </c>
      <c r="H510" t="s">
        <v>87</v>
      </c>
      <c r="I510" t="s">
        <v>1494</v>
      </c>
      <c r="J510" t="s">
        <v>1519</v>
      </c>
      <c r="K510" s="21" t="s">
        <v>1520</v>
      </c>
      <c r="L510" s="21" t="s">
        <v>1498</v>
      </c>
      <c r="M510" t="s">
        <v>1499</v>
      </c>
      <c r="N510" t="s">
        <v>159</v>
      </c>
      <c r="R510" t="s">
        <v>1507</v>
      </c>
      <c r="S510" t="s">
        <v>1519</v>
      </c>
      <c r="T510" t="s">
        <v>45</v>
      </c>
      <c r="U510" t="s">
        <v>46</v>
      </c>
      <c r="V510" t="s">
        <v>1521</v>
      </c>
      <c r="W510" t="s">
        <v>1522</v>
      </c>
    </row>
    <row r="511" spans="1:23" ht="15" customHeight="1" x14ac:dyDescent="0.3">
      <c r="A511" t="s">
        <v>8</v>
      </c>
      <c r="B511">
        <v>247</v>
      </c>
      <c r="C511" t="s">
        <v>368</v>
      </c>
      <c r="D511" t="s">
        <v>1494</v>
      </c>
      <c r="E511" t="s">
        <v>370</v>
      </c>
      <c r="F511" t="s">
        <v>1495</v>
      </c>
      <c r="G511" t="s">
        <v>440</v>
      </c>
      <c r="H511" t="s">
        <v>87</v>
      </c>
      <c r="I511" t="s">
        <v>1494</v>
      </c>
      <c r="J511" t="s">
        <v>1519</v>
      </c>
      <c r="K511" s="21" t="s">
        <v>1520</v>
      </c>
      <c r="L511" s="21" t="s">
        <v>1498</v>
      </c>
      <c r="M511" t="s">
        <v>1499</v>
      </c>
      <c r="N511" t="s">
        <v>159</v>
      </c>
      <c r="R511" t="s">
        <v>1508</v>
      </c>
      <c r="S511" t="s">
        <v>1519</v>
      </c>
      <c r="T511" t="s">
        <v>45</v>
      </c>
      <c r="U511" t="s">
        <v>46</v>
      </c>
      <c r="V511" t="s">
        <v>1521</v>
      </c>
      <c r="W511" t="s">
        <v>1522</v>
      </c>
    </row>
    <row r="512" spans="1:23" ht="15" customHeight="1" x14ac:dyDescent="0.3">
      <c r="A512" t="s">
        <v>8</v>
      </c>
      <c r="B512">
        <v>247</v>
      </c>
      <c r="C512" t="s">
        <v>368</v>
      </c>
      <c r="D512" t="s">
        <v>1494</v>
      </c>
      <c r="E512" t="s">
        <v>370</v>
      </c>
      <c r="F512" t="s">
        <v>1495</v>
      </c>
      <c r="G512" t="s">
        <v>440</v>
      </c>
      <c r="H512" t="s">
        <v>421</v>
      </c>
      <c r="I512" t="s">
        <v>1494</v>
      </c>
      <c r="J512" t="s">
        <v>1523</v>
      </c>
      <c r="K512" s="21" t="s">
        <v>1524</v>
      </c>
      <c r="L512" s="21" t="s">
        <v>1498</v>
      </c>
      <c r="M512" t="s">
        <v>1499</v>
      </c>
      <c r="N512" t="s">
        <v>159</v>
      </c>
      <c r="R512" t="s">
        <v>1500</v>
      </c>
      <c r="S512" t="s">
        <v>1523</v>
      </c>
      <c r="T512" t="s">
        <v>45</v>
      </c>
      <c r="U512" t="s">
        <v>46</v>
      </c>
      <c r="V512" t="s">
        <v>1502</v>
      </c>
      <c r="W512" t="s">
        <v>1525</v>
      </c>
    </row>
    <row r="513" spans="1:23" ht="15" customHeight="1" x14ac:dyDescent="0.3">
      <c r="A513" t="s">
        <v>8</v>
      </c>
      <c r="B513">
        <v>247</v>
      </c>
      <c r="C513" t="s">
        <v>368</v>
      </c>
      <c r="D513" t="s">
        <v>1494</v>
      </c>
      <c r="E513" t="s">
        <v>370</v>
      </c>
      <c r="F513" t="s">
        <v>1495</v>
      </c>
      <c r="G513" t="s">
        <v>440</v>
      </c>
      <c r="H513" t="s">
        <v>421</v>
      </c>
      <c r="I513" t="s">
        <v>1494</v>
      </c>
      <c r="J513" t="s">
        <v>1523</v>
      </c>
      <c r="K513" s="21" t="s">
        <v>1524</v>
      </c>
      <c r="L513" s="21" t="s">
        <v>1498</v>
      </c>
      <c r="M513" t="s">
        <v>1499</v>
      </c>
      <c r="N513" t="s">
        <v>159</v>
      </c>
      <c r="R513" t="s">
        <v>1504</v>
      </c>
      <c r="S513" t="s">
        <v>1523</v>
      </c>
      <c r="T513" t="s">
        <v>45</v>
      </c>
      <c r="U513" t="s">
        <v>46</v>
      </c>
      <c r="V513" t="s">
        <v>1502</v>
      </c>
      <c r="W513" t="s">
        <v>1525</v>
      </c>
    </row>
    <row r="514" spans="1:23" ht="15" customHeight="1" x14ac:dyDescent="0.3">
      <c r="A514" t="s">
        <v>8</v>
      </c>
      <c r="B514">
        <v>247</v>
      </c>
      <c r="C514" t="s">
        <v>368</v>
      </c>
      <c r="D514" t="s">
        <v>1494</v>
      </c>
      <c r="E514" t="s">
        <v>370</v>
      </c>
      <c r="F514" t="s">
        <v>1495</v>
      </c>
      <c r="G514" t="s">
        <v>440</v>
      </c>
      <c r="H514" t="s">
        <v>421</v>
      </c>
      <c r="I514" t="s">
        <v>1494</v>
      </c>
      <c r="J514" t="s">
        <v>1523</v>
      </c>
      <c r="K514" s="21" t="s">
        <v>1524</v>
      </c>
      <c r="L514" s="21" t="s">
        <v>1498</v>
      </c>
      <c r="M514" t="s">
        <v>1499</v>
      </c>
      <c r="N514" t="s">
        <v>159</v>
      </c>
      <c r="R514" t="s">
        <v>1505</v>
      </c>
      <c r="S514" t="s">
        <v>1523</v>
      </c>
      <c r="T514" t="s">
        <v>45</v>
      </c>
      <c r="U514" t="s">
        <v>46</v>
      </c>
      <c r="V514" t="s">
        <v>1502</v>
      </c>
      <c r="W514" t="s">
        <v>1525</v>
      </c>
    </row>
    <row r="515" spans="1:23" ht="15" customHeight="1" x14ac:dyDescent="0.3">
      <c r="A515" t="s">
        <v>8</v>
      </c>
      <c r="B515">
        <v>247</v>
      </c>
      <c r="C515" t="s">
        <v>368</v>
      </c>
      <c r="D515" t="s">
        <v>1494</v>
      </c>
      <c r="E515" t="s">
        <v>370</v>
      </c>
      <c r="F515" t="s">
        <v>1495</v>
      </c>
      <c r="G515" t="s">
        <v>440</v>
      </c>
      <c r="H515" t="s">
        <v>421</v>
      </c>
      <c r="I515" t="s">
        <v>1494</v>
      </c>
      <c r="J515" t="s">
        <v>1523</v>
      </c>
      <c r="K515" s="21" t="s">
        <v>1524</v>
      </c>
      <c r="L515" s="21" t="s">
        <v>1498</v>
      </c>
      <c r="M515" t="s">
        <v>1499</v>
      </c>
      <c r="N515" t="s">
        <v>159</v>
      </c>
      <c r="R515" t="s">
        <v>1506</v>
      </c>
      <c r="S515" t="s">
        <v>1523</v>
      </c>
      <c r="T515" t="s">
        <v>45</v>
      </c>
      <c r="U515" t="s">
        <v>46</v>
      </c>
      <c r="V515" t="s">
        <v>1502</v>
      </c>
      <c r="W515" t="s">
        <v>1525</v>
      </c>
    </row>
    <row r="516" spans="1:23" ht="15" customHeight="1" x14ac:dyDescent="0.3">
      <c r="A516" t="s">
        <v>8</v>
      </c>
      <c r="B516">
        <v>247</v>
      </c>
      <c r="C516" t="s">
        <v>368</v>
      </c>
      <c r="D516" t="s">
        <v>1494</v>
      </c>
      <c r="E516" t="s">
        <v>370</v>
      </c>
      <c r="F516" t="s">
        <v>1495</v>
      </c>
      <c r="G516" t="s">
        <v>440</v>
      </c>
      <c r="H516" t="s">
        <v>421</v>
      </c>
      <c r="I516" t="s">
        <v>1494</v>
      </c>
      <c r="J516" t="s">
        <v>1523</v>
      </c>
      <c r="K516" s="21" t="s">
        <v>1524</v>
      </c>
      <c r="L516" s="21" t="s">
        <v>1498</v>
      </c>
      <c r="M516" t="s">
        <v>1499</v>
      </c>
      <c r="N516" t="s">
        <v>159</v>
      </c>
      <c r="R516" t="s">
        <v>1507</v>
      </c>
      <c r="S516" t="s">
        <v>1523</v>
      </c>
      <c r="T516" t="s">
        <v>45</v>
      </c>
      <c r="U516" t="s">
        <v>46</v>
      </c>
      <c r="V516" t="s">
        <v>1502</v>
      </c>
      <c r="W516" t="s">
        <v>1525</v>
      </c>
    </row>
    <row r="517" spans="1:23" ht="15" customHeight="1" x14ac:dyDescent="0.3">
      <c r="A517" t="s">
        <v>8</v>
      </c>
      <c r="B517">
        <v>247</v>
      </c>
      <c r="C517" t="s">
        <v>368</v>
      </c>
      <c r="D517" t="s">
        <v>1494</v>
      </c>
      <c r="E517" t="s">
        <v>370</v>
      </c>
      <c r="F517" t="s">
        <v>1495</v>
      </c>
      <c r="G517" t="s">
        <v>440</v>
      </c>
      <c r="H517" t="s">
        <v>421</v>
      </c>
      <c r="I517" t="s">
        <v>1494</v>
      </c>
      <c r="J517" t="s">
        <v>1523</v>
      </c>
      <c r="K517" s="21" t="s">
        <v>1524</v>
      </c>
      <c r="L517" s="21" t="s">
        <v>1498</v>
      </c>
      <c r="M517" t="s">
        <v>1499</v>
      </c>
      <c r="N517" t="s">
        <v>159</v>
      </c>
      <c r="R517" t="s">
        <v>1508</v>
      </c>
      <c r="S517" t="s">
        <v>1523</v>
      </c>
      <c r="T517" t="s">
        <v>45</v>
      </c>
      <c r="U517" t="s">
        <v>46</v>
      </c>
      <c r="V517" t="s">
        <v>1502</v>
      </c>
      <c r="W517" t="s">
        <v>1525</v>
      </c>
    </row>
    <row r="518" spans="1:23" ht="15" customHeight="1" x14ac:dyDescent="0.3">
      <c r="A518" t="s">
        <v>8</v>
      </c>
      <c r="B518">
        <v>247</v>
      </c>
      <c r="C518" t="s">
        <v>368</v>
      </c>
      <c r="D518" t="s">
        <v>1494</v>
      </c>
      <c r="E518" t="s">
        <v>370</v>
      </c>
      <c r="F518" t="s">
        <v>1495</v>
      </c>
      <c r="G518" t="s">
        <v>440</v>
      </c>
      <c r="H518" t="s">
        <v>182</v>
      </c>
      <c r="I518" t="s">
        <v>1494</v>
      </c>
      <c r="J518" t="s">
        <v>1526</v>
      </c>
      <c r="K518" s="21" t="s">
        <v>1527</v>
      </c>
      <c r="L518" s="21" t="s">
        <v>1498</v>
      </c>
      <c r="M518" t="s">
        <v>1499</v>
      </c>
      <c r="N518" t="s">
        <v>159</v>
      </c>
      <c r="R518" t="s">
        <v>1500</v>
      </c>
      <c r="S518" t="s">
        <v>1526</v>
      </c>
      <c r="T518" t="s">
        <v>45</v>
      </c>
      <c r="U518" t="s">
        <v>46</v>
      </c>
      <c r="V518" t="s">
        <v>1521</v>
      </c>
      <c r="W518" t="s">
        <v>1528</v>
      </c>
    </row>
    <row r="519" spans="1:23" ht="15" customHeight="1" x14ac:dyDescent="0.3">
      <c r="A519" t="s">
        <v>8</v>
      </c>
      <c r="B519">
        <v>247</v>
      </c>
      <c r="C519" t="s">
        <v>368</v>
      </c>
      <c r="D519" t="s">
        <v>1494</v>
      </c>
      <c r="E519" t="s">
        <v>370</v>
      </c>
      <c r="F519" t="s">
        <v>1495</v>
      </c>
      <c r="G519" t="s">
        <v>440</v>
      </c>
      <c r="H519" t="s">
        <v>182</v>
      </c>
      <c r="I519" t="s">
        <v>1494</v>
      </c>
      <c r="J519" t="s">
        <v>1526</v>
      </c>
      <c r="K519" s="21" t="s">
        <v>1527</v>
      </c>
      <c r="L519" s="21" t="s">
        <v>1498</v>
      </c>
      <c r="M519" t="s">
        <v>1499</v>
      </c>
      <c r="N519" t="s">
        <v>159</v>
      </c>
      <c r="R519" t="s">
        <v>1504</v>
      </c>
      <c r="S519" t="s">
        <v>1526</v>
      </c>
      <c r="T519" t="s">
        <v>45</v>
      </c>
      <c r="U519" t="s">
        <v>46</v>
      </c>
      <c r="V519" t="s">
        <v>1521</v>
      </c>
      <c r="W519" t="s">
        <v>1528</v>
      </c>
    </row>
    <row r="520" spans="1:23" ht="15" customHeight="1" x14ac:dyDescent="0.3">
      <c r="A520" t="s">
        <v>8</v>
      </c>
      <c r="B520">
        <v>247</v>
      </c>
      <c r="C520" t="s">
        <v>368</v>
      </c>
      <c r="D520" t="s">
        <v>1494</v>
      </c>
      <c r="E520" t="s">
        <v>370</v>
      </c>
      <c r="F520" t="s">
        <v>1495</v>
      </c>
      <c r="G520" t="s">
        <v>440</v>
      </c>
      <c r="H520" t="s">
        <v>182</v>
      </c>
      <c r="I520" t="s">
        <v>1494</v>
      </c>
      <c r="J520" t="s">
        <v>1526</v>
      </c>
      <c r="K520" s="21" t="s">
        <v>1527</v>
      </c>
      <c r="L520" s="21" t="s">
        <v>1498</v>
      </c>
      <c r="M520" t="s">
        <v>1499</v>
      </c>
      <c r="N520" t="s">
        <v>159</v>
      </c>
      <c r="R520" t="s">
        <v>1505</v>
      </c>
      <c r="S520" t="s">
        <v>1526</v>
      </c>
      <c r="T520" t="s">
        <v>45</v>
      </c>
      <c r="U520" t="s">
        <v>46</v>
      </c>
      <c r="V520" t="s">
        <v>1521</v>
      </c>
      <c r="W520" t="s">
        <v>1528</v>
      </c>
    </row>
    <row r="521" spans="1:23" ht="15" customHeight="1" x14ac:dyDescent="0.3">
      <c r="A521" t="s">
        <v>8</v>
      </c>
      <c r="B521">
        <v>247</v>
      </c>
      <c r="C521" t="s">
        <v>368</v>
      </c>
      <c r="D521" t="s">
        <v>1494</v>
      </c>
      <c r="E521" t="s">
        <v>370</v>
      </c>
      <c r="F521" t="s">
        <v>1495</v>
      </c>
      <c r="G521" t="s">
        <v>440</v>
      </c>
      <c r="H521" t="s">
        <v>182</v>
      </c>
      <c r="I521" t="s">
        <v>1494</v>
      </c>
      <c r="J521" t="s">
        <v>1526</v>
      </c>
      <c r="K521" s="21" t="s">
        <v>1527</v>
      </c>
      <c r="L521" s="21" t="s">
        <v>1498</v>
      </c>
      <c r="M521" t="s">
        <v>1499</v>
      </c>
      <c r="N521" t="s">
        <v>159</v>
      </c>
      <c r="R521" t="s">
        <v>1506</v>
      </c>
      <c r="S521" t="s">
        <v>1526</v>
      </c>
      <c r="T521" t="s">
        <v>45</v>
      </c>
      <c r="U521" t="s">
        <v>46</v>
      </c>
      <c r="V521" t="s">
        <v>1521</v>
      </c>
      <c r="W521" t="s">
        <v>1528</v>
      </c>
    </row>
    <row r="522" spans="1:23" ht="15" customHeight="1" x14ac:dyDescent="0.3">
      <c r="A522" t="s">
        <v>8</v>
      </c>
      <c r="B522">
        <v>247</v>
      </c>
      <c r="C522" t="s">
        <v>368</v>
      </c>
      <c r="D522" t="s">
        <v>1494</v>
      </c>
      <c r="E522" t="s">
        <v>370</v>
      </c>
      <c r="F522" t="s">
        <v>1495</v>
      </c>
      <c r="G522" t="s">
        <v>440</v>
      </c>
      <c r="H522" t="s">
        <v>182</v>
      </c>
      <c r="I522" t="s">
        <v>1494</v>
      </c>
      <c r="J522" t="s">
        <v>1526</v>
      </c>
      <c r="K522" s="21" t="s">
        <v>1527</v>
      </c>
      <c r="L522" s="21" t="s">
        <v>1498</v>
      </c>
      <c r="M522" t="s">
        <v>1499</v>
      </c>
      <c r="N522" t="s">
        <v>159</v>
      </c>
      <c r="R522" t="s">
        <v>1507</v>
      </c>
      <c r="S522" t="s">
        <v>1526</v>
      </c>
      <c r="T522" t="s">
        <v>45</v>
      </c>
      <c r="U522" t="s">
        <v>46</v>
      </c>
      <c r="V522" t="s">
        <v>1521</v>
      </c>
      <c r="W522" t="s">
        <v>1528</v>
      </c>
    </row>
    <row r="523" spans="1:23" ht="15" customHeight="1" x14ac:dyDescent="0.3">
      <c r="A523" t="s">
        <v>8</v>
      </c>
      <c r="B523">
        <v>247</v>
      </c>
      <c r="C523" t="s">
        <v>368</v>
      </c>
      <c r="D523" t="s">
        <v>1494</v>
      </c>
      <c r="E523" t="s">
        <v>370</v>
      </c>
      <c r="F523" t="s">
        <v>1495</v>
      </c>
      <c r="G523" t="s">
        <v>440</v>
      </c>
      <c r="H523" t="s">
        <v>182</v>
      </c>
      <c r="I523" t="s">
        <v>1494</v>
      </c>
      <c r="J523" t="s">
        <v>1526</v>
      </c>
      <c r="K523" s="21" t="s">
        <v>1527</v>
      </c>
      <c r="L523" s="21" t="s">
        <v>1498</v>
      </c>
      <c r="M523" t="s">
        <v>1499</v>
      </c>
      <c r="N523" t="s">
        <v>159</v>
      </c>
      <c r="R523" t="s">
        <v>1508</v>
      </c>
      <c r="S523" t="s">
        <v>1526</v>
      </c>
      <c r="T523" t="s">
        <v>45</v>
      </c>
      <c r="U523" t="s">
        <v>46</v>
      </c>
      <c r="V523" t="s">
        <v>1521</v>
      </c>
      <c r="W523" t="s">
        <v>1528</v>
      </c>
    </row>
    <row r="524" spans="1:23" ht="15" customHeight="1" x14ac:dyDescent="0.3">
      <c r="A524" t="s">
        <v>8</v>
      </c>
      <c r="B524">
        <v>247</v>
      </c>
      <c r="C524" t="s">
        <v>368</v>
      </c>
      <c r="D524" t="s">
        <v>1494</v>
      </c>
      <c r="E524" t="s">
        <v>370</v>
      </c>
      <c r="F524" t="s">
        <v>1495</v>
      </c>
      <c r="G524" t="s">
        <v>440</v>
      </c>
      <c r="H524" t="s">
        <v>1242</v>
      </c>
      <c r="I524" t="s">
        <v>1494</v>
      </c>
      <c r="J524" t="s">
        <v>1529</v>
      </c>
      <c r="K524" s="21" t="s">
        <v>1530</v>
      </c>
      <c r="L524" s="21" t="s">
        <v>1498</v>
      </c>
      <c r="M524" t="s">
        <v>1499</v>
      </c>
      <c r="N524" t="s">
        <v>159</v>
      </c>
      <c r="R524" t="s">
        <v>1500</v>
      </c>
      <c r="S524" t="s">
        <v>1529</v>
      </c>
      <c r="T524" t="s">
        <v>45</v>
      </c>
      <c r="U524" t="s">
        <v>46</v>
      </c>
      <c r="V524" t="s">
        <v>1502</v>
      </c>
      <c r="W524" t="s">
        <v>1531</v>
      </c>
    </row>
    <row r="525" spans="1:23" ht="15" customHeight="1" x14ac:dyDescent="0.3">
      <c r="A525" t="s">
        <v>8</v>
      </c>
      <c r="B525">
        <v>247</v>
      </c>
      <c r="C525" t="s">
        <v>368</v>
      </c>
      <c r="D525" t="s">
        <v>1494</v>
      </c>
      <c r="E525" t="s">
        <v>370</v>
      </c>
      <c r="F525" t="s">
        <v>1495</v>
      </c>
      <c r="G525" t="s">
        <v>440</v>
      </c>
      <c r="H525" t="s">
        <v>1242</v>
      </c>
      <c r="I525" t="s">
        <v>1494</v>
      </c>
      <c r="J525" t="s">
        <v>1529</v>
      </c>
      <c r="K525" s="21" t="s">
        <v>1530</v>
      </c>
      <c r="L525" s="21" t="s">
        <v>1498</v>
      </c>
      <c r="M525" t="s">
        <v>1499</v>
      </c>
      <c r="N525" t="s">
        <v>159</v>
      </c>
      <c r="R525" t="s">
        <v>1504</v>
      </c>
      <c r="S525" t="s">
        <v>1529</v>
      </c>
      <c r="T525" t="s">
        <v>45</v>
      </c>
      <c r="U525" t="s">
        <v>46</v>
      </c>
      <c r="V525" t="s">
        <v>1502</v>
      </c>
      <c r="W525" t="s">
        <v>1531</v>
      </c>
    </row>
    <row r="526" spans="1:23" ht="15" customHeight="1" x14ac:dyDescent="0.3">
      <c r="A526" t="s">
        <v>8</v>
      </c>
      <c r="B526">
        <v>247</v>
      </c>
      <c r="C526" t="s">
        <v>368</v>
      </c>
      <c r="D526" t="s">
        <v>1494</v>
      </c>
      <c r="E526" t="s">
        <v>370</v>
      </c>
      <c r="F526" t="s">
        <v>1495</v>
      </c>
      <c r="G526" t="s">
        <v>440</v>
      </c>
      <c r="H526" t="s">
        <v>1242</v>
      </c>
      <c r="I526" t="s">
        <v>1494</v>
      </c>
      <c r="J526" t="s">
        <v>1529</v>
      </c>
      <c r="K526" s="21" t="s">
        <v>1530</v>
      </c>
      <c r="L526" s="21" t="s">
        <v>1498</v>
      </c>
      <c r="M526" t="s">
        <v>1499</v>
      </c>
      <c r="N526" t="s">
        <v>159</v>
      </c>
      <c r="R526" t="s">
        <v>1505</v>
      </c>
      <c r="S526" t="s">
        <v>1529</v>
      </c>
      <c r="T526" t="s">
        <v>45</v>
      </c>
      <c r="U526" t="s">
        <v>46</v>
      </c>
      <c r="V526" t="s">
        <v>1502</v>
      </c>
      <c r="W526" t="s">
        <v>1531</v>
      </c>
    </row>
    <row r="527" spans="1:23" ht="15" customHeight="1" x14ac:dyDescent="0.3">
      <c r="A527" t="s">
        <v>8</v>
      </c>
      <c r="B527">
        <v>247</v>
      </c>
      <c r="C527" t="s">
        <v>368</v>
      </c>
      <c r="D527" t="s">
        <v>1494</v>
      </c>
      <c r="E527" t="s">
        <v>370</v>
      </c>
      <c r="F527" t="s">
        <v>1495</v>
      </c>
      <c r="G527" t="s">
        <v>440</v>
      </c>
      <c r="H527" t="s">
        <v>1242</v>
      </c>
      <c r="I527" t="s">
        <v>1494</v>
      </c>
      <c r="J527" t="s">
        <v>1529</v>
      </c>
      <c r="K527" s="21" t="s">
        <v>1530</v>
      </c>
      <c r="L527" s="21" t="s">
        <v>1498</v>
      </c>
      <c r="M527" t="s">
        <v>1499</v>
      </c>
      <c r="N527" t="s">
        <v>159</v>
      </c>
      <c r="R527" t="s">
        <v>1506</v>
      </c>
      <c r="S527" t="s">
        <v>1529</v>
      </c>
      <c r="T527" t="s">
        <v>45</v>
      </c>
      <c r="U527" t="s">
        <v>46</v>
      </c>
      <c r="V527" t="s">
        <v>1502</v>
      </c>
      <c r="W527" t="s">
        <v>1531</v>
      </c>
    </row>
    <row r="528" spans="1:23" ht="15" customHeight="1" x14ac:dyDescent="0.3">
      <c r="A528" t="s">
        <v>8</v>
      </c>
      <c r="B528">
        <v>247</v>
      </c>
      <c r="C528" t="s">
        <v>368</v>
      </c>
      <c r="D528" t="s">
        <v>1494</v>
      </c>
      <c r="E528" t="s">
        <v>370</v>
      </c>
      <c r="F528" t="s">
        <v>1495</v>
      </c>
      <c r="G528" t="s">
        <v>440</v>
      </c>
      <c r="H528" t="s">
        <v>1242</v>
      </c>
      <c r="I528" t="s">
        <v>1494</v>
      </c>
      <c r="J528" t="s">
        <v>1529</v>
      </c>
      <c r="K528" s="21" t="s">
        <v>1530</v>
      </c>
      <c r="L528" s="21" t="s">
        <v>1498</v>
      </c>
      <c r="M528" t="s">
        <v>1499</v>
      </c>
      <c r="N528" t="s">
        <v>159</v>
      </c>
      <c r="R528" t="s">
        <v>1507</v>
      </c>
      <c r="S528" t="s">
        <v>1529</v>
      </c>
      <c r="T528" t="s">
        <v>45</v>
      </c>
      <c r="U528" t="s">
        <v>46</v>
      </c>
      <c r="V528" t="s">
        <v>1502</v>
      </c>
      <c r="W528" t="s">
        <v>1531</v>
      </c>
    </row>
    <row r="529" spans="1:23" ht="15" customHeight="1" x14ac:dyDescent="0.3">
      <c r="A529" t="s">
        <v>8</v>
      </c>
      <c r="B529">
        <v>247</v>
      </c>
      <c r="C529" t="s">
        <v>368</v>
      </c>
      <c r="D529" t="s">
        <v>1494</v>
      </c>
      <c r="E529" t="s">
        <v>370</v>
      </c>
      <c r="F529" t="s">
        <v>1495</v>
      </c>
      <c r="G529" t="s">
        <v>440</v>
      </c>
      <c r="H529" t="s">
        <v>1242</v>
      </c>
      <c r="I529" t="s">
        <v>1494</v>
      </c>
      <c r="J529" t="s">
        <v>1529</v>
      </c>
      <c r="K529" s="21" t="s">
        <v>1530</v>
      </c>
      <c r="L529" s="21" t="s">
        <v>1498</v>
      </c>
      <c r="M529" t="s">
        <v>1499</v>
      </c>
      <c r="N529" t="s">
        <v>159</v>
      </c>
      <c r="R529" t="s">
        <v>1508</v>
      </c>
      <c r="S529" t="s">
        <v>1529</v>
      </c>
      <c r="T529" t="s">
        <v>45</v>
      </c>
      <c r="U529" t="s">
        <v>46</v>
      </c>
      <c r="V529" t="s">
        <v>1502</v>
      </c>
      <c r="W529" t="s">
        <v>1531</v>
      </c>
    </row>
    <row r="530" spans="1:23" ht="15" customHeight="1" x14ac:dyDescent="0.3">
      <c r="A530" t="s">
        <v>8</v>
      </c>
      <c r="B530">
        <v>247</v>
      </c>
      <c r="C530" t="s">
        <v>368</v>
      </c>
      <c r="D530" t="s">
        <v>1494</v>
      </c>
      <c r="E530" t="s">
        <v>370</v>
      </c>
      <c r="F530" t="s">
        <v>1495</v>
      </c>
      <c r="G530" t="s">
        <v>440</v>
      </c>
      <c r="H530" t="s">
        <v>425</v>
      </c>
      <c r="I530" t="s">
        <v>1494</v>
      </c>
      <c r="J530" t="s">
        <v>1532</v>
      </c>
      <c r="K530" s="21" t="s">
        <v>1533</v>
      </c>
      <c r="L530" s="21" t="s">
        <v>1498</v>
      </c>
      <c r="M530" t="s">
        <v>1499</v>
      </c>
      <c r="N530" t="s">
        <v>159</v>
      </c>
      <c r="R530" t="s">
        <v>1500</v>
      </c>
      <c r="S530" t="s">
        <v>1532</v>
      </c>
      <c r="T530" t="s">
        <v>45</v>
      </c>
      <c r="U530" t="s">
        <v>1486</v>
      </c>
      <c r="V530" t="s">
        <v>1534</v>
      </c>
      <c r="W530" t="s">
        <v>1535</v>
      </c>
    </row>
    <row r="531" spans="1:23" ht="15" customHeight="1" x14ac:dyDescent="0.3">
      <c r="A531" t="s">
        <v>8</v>
      </c>
      <c r="B531">
        <v>247</v>
      </c>
      <c r="C531" t="s">
        <v>368</v>
      </c>
      <c r="D531" t="s">
        <v>1494</v>
      </c>
      <c r="E531" t="s">
        <v>370</v>
      </c>
      <c r="F531" t="s">
        <v>1495</v>
      </c>
      <c r="G531" t="s">
        <v>440</v>
      </c>
      <c r="H531" t="s">
        <v>425</v>
      </c>
      <c r="I531" t="s">
        <v>1494</v>
      </c>
      <c r="J531" t="s">
        <v>1532</v>
      </c>
      <c r="K531" s="21" t="s">
        <v>1533</v>
      </c>
      <c r="L531" s="21" t="s">
        <v>1498</v>
      </c>
      <c r="M531" t="s">
        <v>1499</v>
      </c>
      <c r="N531" t="s">
        <v>159</v>
      </c>
      <c r="R531" t="s">
        <v>1504</v>
      </c>
      <c r="S531" t="s">
        <v>1532</v>
      </c>
      <c r="T531" t="s">
        <v>45</v>
      </c>
      <c r="U531" t="s">
        <v>1486</v>
      </c>
      <c r="V531" t="s">
        <v>1534</v>
      </c>
      <c r="W531" t="s">
        <v>1535</v>
      </c>
    </row>
    <row r="532" spans="1:23" ht="15" customHeight="1" x14ac:dyDescent="0.3">
      <c r="A532" t="s">
        <v>8</v>
      </c>
      <c r="B532">
        <v>247</v>
      </c>
      <c r="C532" t="s">
        <v>368</v>
      </c>
      <c r="D532" t="s">
        <v>1494</v>
      </c>
      <c r="E532" t="s">
        <v>370</v>
      </c>
      <c r="F532" t="s">
        <v>1495</v>
      </c>
      <c r="G532" t="s">
        <v>440</v>
      </c>
      <c r="H532" t="s">
        <v>425</v>
      </c>
      <c r="I532" t="s">
        <v>1494</v>
      </c>
      <c r="J532" t="s">
        <v>1532</v>
      </c>
      <c r="K532" s="21" t="s">
        <v>1533</v>
      </c>
      <c r="L532" s="21" t="s">
        <v>1498</v>
      </c>
      <c r="M532" t="s">
        <v>1499</v>
      </c>
      <c r="N532" t="s">
        <v>159</v>
      </c>
      <c r="R532" t="s">
        <v>1505</v>
      </c>
      <c r="S532" t="s">
        <v>1532</v>
      </c>
      <c r="T532" t="s">
        <v>45</v>
      </c>
      <c r="U532" t="s">
        <v>1486</v>
      </c>
      <c r="V532" t="s">
        <v>1534</v>
      </c>
      <c r="W532" t="s">
        <v>1535</v>
      </c>
    </row>
    <row r="533" spans="1:23" ht="15" customHeight="1" x14ac:dyDescent="0.3">
      <c r="A533" t="s">
        <v>8</v>
      </c>
      <c r="B533">
        <v>247</v>
      </c>
      <c r="C533" t="s">
        <v>368</v>
      </c>
      <c r="D533" t="s">
        <v>1494</v>
      </c>
      <c r="E533" t="s">
        <v>370</v>
      </c>
      <c r="F533" t="s">
        <v>1495</v>
      </c>
      <c r="G533" t="s">
        <v>440</v>
      </c>
      <c r="H533" t="s">
        <v>425</v>
      </c>
      <c r="I533" t="s">
        <v>1494</v>
      </c>
      <c r="J533" t="s">
        <v>1532</v>
      </c>
      <c r="K533" s="21" t="s">
        <v>1533</v>
      </c>
      <c r="L533" s="21" t="s">
        <v>1498</v>
      </c>
      <c r="M533" t="s">
        <v>1499</v>
      </c>
      <c r="N533" t="s">
        <v>159</v>
      </c>
      <c r="R533" t="s">
        <v>1506</v>
      </c>
      <c r="S533" t="s">
        <v>1532</v>
      </c>
      <c r="T533" t="s">
        <v>45</v>
      </c>
      <c r="U533" t="s">
        <v>1486</v>
      </c>
      <c r="V533" t="s">
        <v>1534</v>
      </c>
      <c r="W533" t="s">
        <v>1535</v>
      </c>
    </row>
    <row r="534" spans="1:23" ht="15" customHeight="1" x14ac:dyDescent="0.3">
      <c r="A534" t="s">
        <v>8</v>
      </c>
      <c r="B534">
        <v>247</v>
      </c>
      <c r="C534" t="s">
        <v>368</v>
      </c>
      <c r="D534" t="s">
        <v>1494</v>
      </c>
      <c r="E534" t="s">
        <v>370</v>
      </c>
      <c r="F534" t="s">
        <v>1495</v>
      </c>
      <c r="G534" t="s">
        <v>440</v>
      </c>
      <c r="H534" t="s">
        <v>425</v>
      </c>
      <c r="I534" t="s">
        <v>1494</v>
      </c>
      <c r="J534" t="s">
        <v>1532</v>
      </c>
      <c r="K534" s="21" t="s">
        <v>1533</v>
      </c>
      <c r="L534" s="21" t="s">
        <v>1498</v>
      </c>
      <c r="M534" t="s">
        <v>1499</v>
      </c>
      <c r="N534" t="s">
        <v>159</v>
      </c>
      <c r="R534" t="s">
        <v>1507</v>
      </c>
      <c r="S534" t="s">
        <v>1532</v>
      </c>
      <c r="T534" t="s">
        <v>45</v>
      </c>
      <c r="U534" t="s">
        <v>1486</v>
      </c>
      <c r="V534" t="s">
        <v>1534</v>
      </c>
      <c r="W534" t="s">
        <v>1535</v>
      </c>
    </row>
    <row r="535" spans="1:23" ht="15" customHeight="1" x14ac:dyDescent="0.3">
      <c r="A535" t="s">
        <v>8</v>
      </c>
      <c r="B535">
        <v>247</v>
      </c>
      <c r="C535" t="s">
        <v>368</v>
      </c>
      <c r="D535" t="s">
        <v>1494</v>
      </c>
      <c r="E535" t="s">
        <v>370</v>
      </c>
      <c r="F535" t="s">
        <v>1495</v>
      </c>
      <c r="G535" t="s">
        <v>440</v>
      </c>
      <c r="H535" t="s">
        <v>425</v>
      </c>
      <c r="I535" t="s">
        <v>1494</v>
      </c>
      <c r="J535" t="s">
        <v>1532</v>
      </c>
      <c r="K535" s="21" t="s">
        <v>1533</v>
      </c>
      <c r="L535" s="21" t="s">
        <v>1498</v>
      </c>
      <c r="M535" t="s">
        <v>1499</v>
      </c>
      <c r="N535" t="s">
        <v>159</v>
      </c>
      <c r="R535" t="s">
        <v>1508</v>
      </c>
      <c r="S535" t="s">
        <v>1532</v>
      </c>
      <c r="T535" t="s">
        <v>45</v>
      </c>
      <c r="U535" t="s">
        <v>1486</v>
      </c>
      <c r="V535" t="s">
        <v>1534</v>
      </c>
      <c r="W535" t="s">
        <v>1535</v>
      </c>
    </row>
    <row r="536" spans="1:23" ht="15" customHeight="1" x14ac:dyDescent="0.3">
      <c r="A536" t="s">
        <v>8</v>
      </c>
      <c r="B536">
        <v>247</v>
      </c>
      <c r="C536" t="s">
        <v>368</v>
      </c>
      <c r="D536" t="s">
        <v>1494</v>
      </c>
      <c r="E536" t="s">
        <v>370</v>
      </c>
      <c r="F536" t="s">
        <v>1495</v>
      </c>
      <c r="G536" t="s">
        <v>440</v>
      </c>
      <c r="H536" t="s">
        <v>996</v>
      </c>
      <c r="I536" t="s">
        <v>1494</v>
      </c>
      <c r="J536" t="s">
        <v>1536</v>
      </c>
      <c r="K536" s="21" t="s">
        <v>1537</v>
      </c>
      <c r="L536" s="21" t="s">
        <v>1498</v>
      </c>
      <c r="M536" t="s">
        <v>1499</v>
      </c>
      <c r="N536" t="s">
        <v>159</v>
      </c>
      <c r="R536" t="s">
        <v>1500</v>
      </c>
      <c r="S536" t="s">
        <v>1536</v>
      </c>
      <c r="T536" t="s">
        <v>45</v>
      </c>
      <c r="U536" t="s">
        <v>1428</v>
      </c>
      <c r="V536" t="s">
        <v>1534</v>
      </c>
      <c r="W536" t="s">
        <v>1538</v>
      </c>
    </row>
    <row r="537" spans="1:23" ht="15" customHeight="1" x14ac:dyDescent="0.3">
      <c r="A537" t="s">
        <v>8</v>
      </c>
      <c r="B537">
        <v>247</v>
      </c>
      <c r="C537" t="s">
        <v>368</v>
      </c>
      <c r="D537" t="s">
        <v>1494</v>
      </c>
      <c r="E537" t="s">
        <v>370</v>
      </c>
      <c r="F537" t="s">
        <v>1495</v>
      </c>
      <c r="G537" t="s">
        <v>440</v>
      </c>
      <c r="H537" t="s">
        <v>996</v>
      </c>
      <c r="I537" t="s">
        <v>1494</v>
      </c>
      <c r="J537" t="s">
        <v>1536</v>
      </c>
      <c r="K537" s="21" t="s">
        <v>1537</v>
      </c>
      <c r="L537" s="21" t="s">
        <v>1498</v>
      </c>
      <c r="M537" t="s">
        <v>1499</v>
      </c>
      <c r="N537" t="s">
        <v>159</v>
      </c>
      <c r="R537" t="s">
        <v>1504</v>
      </c>
      <c r="S537" t="s">
        <v>1536</v>
      </c>
      <c r="T537" t="s">
        <v>45</v>
      </c>
      <c r="U537" t="s">
        <v>1428</v>
      </c>
      <c r="V537" t="s">
        <v>1534</v>
      </c>
      <c r="W537" t="s">
        <v>1538</v>
      </c>
    </row>
    <row r="538" spans="1:23" ht="15" customHeight="1" x14ac:dyDescent="0.3">
      <c r="A538" t="s">
        <v>8</v>
      </c>
      <c r="B538">
        <v>247</v>
      </c>
      <c r="C538" t="s">
        <v>368</v>
      </c>
      <c r="D538" t="s">
        <v>1494</v>
      </c>
      <c r="E538" t="s">
        <v>370</v>
      </c>
      <c r="F538" t="s">
        <v>1495</v>
      </c>
      <c r="G538" t="s">
        <v>440</v>
      </c>
      <c r="H538" t="s">
        <v>996</v>
      </c>
      <c r="I538" t="s">
        <v>1494</v>
      </c>
      <c r="J538" t="s">
        <v>1536</v>
      </c>
      <c r="K538" s="21" t="s">
        <v>1537</v>
      </c>
      <c r="L538" s="21" t="s">
        <v>1498</v>
      </c>
      <c r="M538" t="s">
        <v>1499</v>
      </c>
      <c r="N538" t="s">
        <v>159</v>
      </c>
      <c r="R538" t="s">
        <v>1505</v>
      </c>
      <c r="S538" t="s">
        <v>1536</v>
      </c>
      <c r="T538" t="s">
        <v>45</v>
      </c>
      <c r="U538" t="s">
        <v>1428</v>
      </c>
      <c r="V538" t="s">
        <v>1534</v>
      </c>
      <c r="W538" t="s">
        <v>1538</v>
      </c>
    </row>
    <row r="539" spans="1:23" ht="15" customHeight="1" x14ac:dyDescent="0.3">
      <c r="A539" t="s">
        <v>8</v>
      </c>
      <c r="B539">
        <v>247</v>
      </c>
      <c r="C539" t="s">
        <v>368</v>
      </c>
      <c r="D539" t="s">
        <v>1494</v>
      </c>
      <c r="E539" t="s">
        <v>370</v>
      </c>
      <c r="F539" t="s">
        <v>1495</v>
      </c>
      <c r="G539" t="s">
        <v>440</v>
      </c>
      <c r="H539" t="s">
        <v>996</v>
      </c>
      <c r="I539" t="s">
        <v>1494</v>
      </c>
      <c r="J539" t="s">
        <v>1536</v>
      </c>
      <c r="K539" s="21" t="s">
        <v>1537</v>
      </c>
      <c r="L539" s="21" t="s">
        <v>1498</v>
      </c>
      <c r="M539" t="s">
        <v>1499</v>
      </c>
      <c r="N539" t="s">
        <v>159</v>
      </c>
      <c r="R539" t="s">
        <v>1506</v>
      </c>
      <c r="S539" t="s">
        <v>1536</v>
      </c>
      <c r="T539" t="s">
        <v>45</v>
      </c>
      <c r="U539" t="s">
        <v>1428</v>
      </c>
      <c r="V539" t="s">
        <v>1534</v>
      </c>
      <c r="W539" t="s">
        <v>1538</v>
      </c>
    </row>
    <row r="540" spans="1:23" ht="15" customHeight="1" x14ac:dyDescent="0.3">
      <c r="A540" t="s">
        <v>8</v>
      </c>
      <c r="B540">
        <v>247</v>
      </c>
      <c r="C540" t="s">
        <v>368</v>
      </c>
      <c r="D540" t="s">
        <v>1494</v>
      </c>
      <c r="E540" t="s">
        <v>370</v>
      </c>
      <c r="F540" t="s">
        <v>1495</v>
      </c>
      <c r="G540" t="s">
        <v>440</v>
      </c>
      <c r="H540" t="s">
        <v>996</v>
      </c>
      <c r="I540" t="s">
        <v>1494</v>
      </c>
      <c r="J540" t="s">
        <v>1536</v>
      </c>
      <c r="K540" s="21" t="s">
        <v>1537</v>
      </c>
      <c r="L540" s="21" t="s">
        <v>1498</v>
      </c>
      <c r="M540" t="s">
        <v>1499</v>
      </c>
      <c r="N540" t="s">
        <v>159</v>
      </c>
      <c r="R540" t="s">
        <v>1507</v>
      </c>
      <c r="S540" t="s">
        <v>1536</v>
      </c>
      <c r="T540" t="s">
        <v>45</v>
      </c>
      <c r="U540" t="s">
        <v>1428</v>
      </c>
      <c r="V540" t="s">
        <v>1534</v>
      </c>
      <c r="W540" t="s">
        <v>1538</v>
      </c>
    </row>
    <row r="541" spans="1:23" ht="15" customHeight="1" x14ac:dyDescent="0.3">
      <c r="A541" t="s">
        <v>8</v>
      </c>
      <c r="B541">
        <v>247</v>
      </c>
      <c r="C541" t="s">
        <v>368</v>
      </c>
      <c r="D541" t="s">
        <v>1494</v>
      </c>
      <c r="E541" t="s">
        <v>370</v>
      </c>
      <c r="F541" t="s">
        <v>1495</v>
      </c>
      <c r="G541" t="s">
        <v>440</v>
      </c>
      <c r="H541" t="s">
        <v>996</v>
      </c>
      <c r="I541" t="s">
        <v>1494</v>
      </c>
      <c r="J541" t="s">
        <v>1536</v>
      </c>
      <c r="K541" s="21" t="s">
        <v>1537</v>
      </c>
      <c r="L541" s="21" t="s">
        <v>1498</v>
      </c>
      <c r="M541" t="s">
        <v>1499</v>
      </c>
      <c r="N541" t="s">
        <v>159</v>
      </c>
      <c r="R541" t="s">
        <v>1508</v>
      </c>
      <c r="S541" t="s">
        <v>1536</v>
      </c>
      <c r="T541" t="s">
        <v>45</v>
      </c>
      <c r="U541" t="s">
        <v>1428</v>
      </c>
      <c r="V541" t="s">
        <v>1534</v>
      </c>
      <c r="W541" t="s">
        <v>1538</v>
      </c>
    </row>
    <row r="542" spans="1:23" ht="15" customHeight="1" x14ac:dyDescent="0.3">
      <c r="A542" t="s">
        <v>8</v>
      </c>
      <c r="B542">
        <v>247</v>
      </c>
      <c r="C542" t="s">
        <v>368</v>
      </c>
      <c r="D542" t="s">
        <v>1494</v>
      </c>
      <c r="E542" t="s">
        <v>370</v>
      </c>
      <c r="F542" t="s">
        <v>1495</v>
      </c>
      <c r="G542" t="s">
        <v>440</v>
      </c>
      <c r="H542" t="s">
        <v>1000</v>
      </c>
      <c r="I542" t="s">
        <v>1494</v>
      </c>
      <c r="J542" t="s">
        <v>1539</v>
      </c>
      <c r="K542" s="21" t="s">
        <v>1540</v>
      </c>
      <c r="L542" s="21" t="s">
        <v>1498</v>
      </c>
      <c r="M542" t="s">
        <v>1499</v>
      </c>
      <c r="N542" t="s">
        <v>159</v>
      </c>
      <c r="R542" t="s">
        <v>1500</v>
      </c>
      <c r="S542" t="s">
        <v>1539</v>
      </c>
      <c r="T542" t="s">
        <v>45</v>
      </c>
      <c r="U542" t="s">
        <v>1416</v>
      </c>
      <c r="V542" t="s">
        <v>1502</v>
      </c>
      <c r="W542" t="s">
        <v>1541</v>
      </c>
    </row>
    <row r="543" spans="1:23" ht="15" customHeight="1" x14ac:dyDescent="0.3">
      <c r="A543" t="s">
        <v>8</v>
      </c>
      <c r="B543">
        <v>247</v>
      </c>
      <c r="C543" t="s">
        <v>368</v>
      </c>
      <c r="D543" t="s">
        <v>1494</v>
      </c>
      <c r="E543" t="s">
        <v>370</v>
      </c>
      <c r="F543" t="s">
        <v>1495</v>
      </c>
      <c r="G543" t="s">
        <v>440</v>
      </c>
      <c r="H543" t="s">
        <v>1000</v>
      </c>
      <c r="I543" t="s">
        <v>1494</v>
      </c>
      <c r="J543" t="s">
        <v>1539</v>
      </c>
      <c r="K543" s="21" t="s">
        <v>1540</v>
      </c>
      <c r="L543" s="21" t="s">
        <v>1498</v>
      </c>
      <c r="M543" t="s">
        <v>1499</v>
      </c>
      <c r="N543" t="s">
        <v>159</v>
      </c>
      <c r="R543" t="s">
        <v>1504</v>
      </c>
      <c r="S543" t="s">
        <v>1539</v>
      </c>
      <c r="T543" t="s">
        <v>45</v>
      </c>
      <c r="U543" t="s">
        <v>1416</v>
      </c>
      <c r="V543" t="s">
        <v>1502</v>
      </c>
      <c r="W543" t="s">
        <v>1541</v>
      </c>
    </row>
    <row r="544" spans="1:23" ht="15" customHeight="1" x14ac:dyDescent="0.3">
      <c r="A544" t="s">
        <v>8</v>
      </c>
      <c r="B544">
        <v>247</v>
      </c>
      <c r="C544" t="s">
        <v>368</v>
      </c>
      <c r="D544" t="s">
        <v>1494</v>
      </c>
      <c r="E544" t="s">
        <v>370</v>
      </c>
      <c r="F544" t="s">
        <v>1495</v>
      </c>
      <c r="G544" t="s">
        <v>440</v>
      </c>
      <c r="H544" t="s">
        <v>1000</v>
      </c>
      <c r="I544" t="s">
        <v>1494</v>
      </c>
      <c r="J544" t="s">
        <v>1539</v>
      </c>
      <c r="K544" s="21" t="s">
        <v>1540</v>
      </c>
      <c r="L544" s="21" t="s">
        <v>1498</v>
      </c>
      <c r="M544" t="s">
        <v>1499</v>
      </c>
      <c r="N544" t="s">
        <v>159</v>
      </c>
      <c r="R544" t="s">
        <v>1505</v>
      </c>
      <c r="S544" t="s">
        <v>1539</v>
      </c>
      <c r="T544" t="s">
        <v>45</v>
      </c>
      <c r="U544" t="s">
        <v>1416</v>
      </c>
      <c r="V544" t="s">
        <v>1502</v>
      </c>
      <c r="W544" t="s">
        <v>1541</v>
      </c>
    </row>
    <row r="545" spans="1:23" ht="15" customHeight="1" x14ac:dyDescent="0.3">
      <c r="A545" t="s">
        <v>8</v>
      </c>
      <c r="B545">
        <v>247</v>
      </c>
      <c r="C545" t="s">
        <v>368</v>
      </c>
      <c r="D545" t="s">
        <v>1494</v>
      </c>
      <c r="E545" t="s">
        <v>370</v>
      </c>
      <c r="F545" t="s">
        <v>1495</v>
      </c>
      <c r="G545" t="s">
        <v>440</v>
      </c>
      <c r="H545" t="s">
        <v>1000</v>
      </c>
      <c r="I545" t="s">
        <v>1494</v>
      </c>
      <c r="J545" t="s">
        <v>1539</v>
      </c>
      <c r="K545" s="21" t="s">
        <v>1540</v>
      </c>
      <c r="L545" s="21" t="s">
        <v>1498</v>
      </c>
      <c r="M545" t="s">
        <v>1499</v>
      </c>
      <c r="N545" t="s">
        <v>159</v>
      </c>
      <c r="R545" t="s">
        <v>1506</v>
      </c>
      <c r="S545" t="s">
        <v>1539</v>
      </c>
      <c r="T545" t="s">
        <v>45</v>
      </c>
      <c r="U545" t="s">
        <v>1416</v>
      </c>
      <c r="V545" t="s">
        <v>1502</v>
      </c>
      <c r="W545" t="s">
        <v>1541</v>
      </c>
    </row>
    <row r="546" spans="1:23" ht="15" customHeight="1" x14ac:dyDescent="0.3">
      <c r="A546" t="s">
        <v>8</v>
      </c>
      <c r="B546">
        <v>247</v>
      </c>
      <c r="C546" t="s">
        <v>368</v>
      </c>
      <c r="D546" t="s">
        <v>1494</v>
      </c>
      <c r="E546" t="s">
        <v>370</v>
      </c>
      <c r="F546" t="s">
        <v>1495</v>
      </c>
      <c r="G546" t="s">
        <v>440</v>
      </c>
      <c r="H546" t="s">
        <v>1000</v>
      </c>
      <c r="I546" t="s">
        <v>1494</v>
      </c>
      <c r="J546" t="s">
        <v>1539</v>
      </c>
      <c r="K546" s="21" t="s">
        <v>1540</v>
      </c>
      <c r="L546" s="21" t="s">
        <v>1498</v>
      </c>
      <c r="M546" t="s">
        <v>1499</v>
      </c>
      <c r="N546" t="s">
        <v>159</v>
      </c>
      <c r="R546" t="s">
        <v>1507</v>
      </c>
      <c r="S546" t="s">
        <v>1539</v>
      </c>
      <c r="T546" t="s">
        <v>45</v>
      </c>
      <c r="U546" t="s">
        <v>1416</v>
      </c>
      <c r="V546" t="s">
        <v>1502</v>
      </c>
      <c r="W546" t="s">
        <v>1541</v>
      </c>
    </row>
    <row r="547" spans="1:23" ht="15" customHeight="1" x14ac:dyDescent="0.3">
      <c r="A547" t="s">
        <v>8</v>
      </c>
      <c r="B547">
        <v>247</v>
      </c>
      <c r="C547" t="s">
        <v>368</v>
      </c>
      <c r="D547" t="s">
        <v>1494</v>
      </c>
      <c r="E547" t="s">
        <v>370</v>
      </c>
      <c r="F547" t="s">
        <v>1495</v>
      </c>
      <c r="G547" t="s">
        <v>440</v>
      </c>
      <c r="H547" t="s">
        <v>1000</v>
      </c>
      <c r="I547" t="s">
        <v>1494</v>
      </c>
      <c r="J547" t="s">
        <v>1539</v>
      </c>
      <c r="K547" s="21" t="s">
        <v>1540</v>
      </c>
      <c r="L547" s="21" t="s">
        <v>1498</v>
      </c>
      <c r="M547" t="s">
        <v>1499</v>
      </c>
      <c r="N547" t="s">
        <v>159</v>
      </c>
      <c r="R547" t="s">
        <v>1508</v>
      </c>
      <c r="S547" t="s">
        <v>1539</v>
      </c>
      <c r="T547" t="s">
        <v>45</v>
      </c>
      <c r="U547" t="s">
        <v>1416</v>
      </c>
      <c r="V547" t="s">
        <v>1502</v>
      </c>
      <c r="W547" t="s">
        <v>1541</v>
      </c>
    </row>
    <row r="548" spans="1:23" ht="15" customHeight="1" x14ac:dyDescent="0.3">
      <c r="A548" t="s">
        <v>8</v>
      </c>
      <c r="B548">
        <v>247</v>
      </c>
      <c r="C548" t="s">
        <v>368</v>
      </c>
      <c r="D548" t="s">
        <v>1494</v>
      </c>
      <c r="E548" t="s">
        <v>370</v>
      </c>
      <c r="F548" t="s">
        <v>1495</v>
      </c>
      <c r="G548" t="s">
        <v>440</v>
      </c>
      <c r="H548" t="s">
        <v>1272</v>
      </c>
      <c r="I548" t="s">
        <v>1494</v>
      </c>
      <c r="J548" t="s">
        <v>1542</v>
      </c>
      <c r="K548" s="21" t="s">
        <v>1543</v>
      </c>
      <c r="L548" s="21" t="s">
        <v>1498</v>
      </c>
      <c r="M548" t="s">
        <v>1499</v>
      </c>
      <c r="N548" t="s">
        <v>159</v>
      </c>
      <c r="R548" t="s">
        <v>1500</v>
      </c>
      <c r="S548" t="s">
        <v>1542</v>
      </c>
      <c r="T548" t="s">
        <v>1544</v>
      </c>
      <c r="U548" t="s">
        <v>1501</v>
      </c>
      <c r="V548" t="s">
        <v>1502</v>
      </c>
      <c r="W548" t="s">
        <v>1503</v>
      </c>
    </row>
    <row r="549" spans="1:23" ht="15" customHeight="1" x14ac:dyDescent="0.3">
      <c r="A549" t="s">
        <v>8</v>
      </c>
      <c r="B549">
        <v>247</v>
      </c>
      <c r="C549" t="s">
        <v>368</v>
      </c>
      <c r="D549" t="s">
        <v>1494</v>
      </c>
      <c r="E549" t="s">
        <v>370</v>
      </c>
      <c r="F549" t="s">
        <v>1495</v>
      </c>
      <c r="G549" t="s">
        <v>440</v>
      </c>
      <c r="H549" t="s">
        <v>1272</v>
      </c>
      <c r="I549" t="s">
        <v>1494</v>
      </c>
      <c r="J549" t="s">
        <v>1542</v>
      </c>
      <c r="K549" s="21" t="s">
        <v>1543</v>
      </c>
      <c r="L549" s="21" t="s">
        <v>1498</v>
      </c>
      <c r="M549" t="s">
        <v>1499</v>
      </c>
      <c r="N549" t="s">
        <v>159</v>
      </c>
      <c r="R549" t="s">
        <v>1504</v>
      </c>
      <c r="S549" t="s">
        <v>1542</v>
      </c>
      <c r="T549" t="s">
        <v>1544</v>
      </c>
      <c r="U549" t="s">
        <v>1501</v>
      </c>
      <c r="V549" t="s">
        <v>1502</v>
      </c>
      <c r="W549" t="s">
        <v>1503</v>
      </c>
    </row>
    <row r="550" spans="1:23" ht="15" customHeight="1" x14ac:dyDescent="0.3">
      <c r="A550" t="s">
        <v>8</v>
      </c>
      <c r="B550">
        <v>247</v>
      </c>
      <c r="C550" t="s">
        <v>368</v>
      </c>
      <c r="D550" t="s">
        <v>1494</v>
      </c>
      <c r="E550" t="s">
        <v>370</v>
      </c>
      <c r="F550" t="s">
        <v>1495</v>
      </c>
      <c r="G550" t="s">
        <v>440</v>
      </c>
      <c r="H550" t="s">
        <v>1272</v>
      </c>
      <c r="I550" t="s">
        <v>1494</v>
      </c>
      <c r="J550" t="s">
        <v>1542</v>
      </c>
      <c r="K550" s="21" t="s">
        <v>1543</v>
      </c>
      <c r="L550" s="21" t="s">
        <v>1498</v>
      </c>
      <c r="M550" t="s">
        <v>1499</v>
      </c>
      <c r="N550" t="s">
        <v>159</v>
      </c>
      <c r="R550" t="s">
        <v>1505</v>
      </c>
      <c r="S550" t="s">
        <v>1542</v>
      </c>
      <c r="T550" t="s">
        <v>1544</v>
      </c>
      <c r="U550" t="s">
        <v>1501</v>
      </c>
      <c r="V550" t="s">
        <v>1502</v>
      </c>
      <c r="W550" t="s">
        <v>1503</v>
      </c>
    </row>
    <row r="551" spans="1:23" ht="15" customHeight="1" x14ac:dyDescent="0.3">
      <c r="A551" t="s">
        <v>8</v>
      </c>
      <c r="B551">
        <v>247</v>
      </c>
      <c r="C551" t="s">
        <v>368</v>
      </c>
      <c r="D551" t="s">
        <v>1494</v>
      </c>
      <c r="E551" t="s">
        <v>370</v>
      </c>
      <c r="F551" t="s">
        <v>1495</v>
      </c>
      <c r="G551" t="s">
        <v>440</v>
      </c>
      <c r="H551" t="s">
        <v>1272</v>
      </c>
      <c r="I551" t="s">
        <v>1494</v>
      </c>
      <c r="J551" t="s">
        <v>1542</v>
      </c>
      <c r="K551" s="21" t="s">
        <v>1543</v>
      </c>
      <c r="L551" s="21" t="s">
        <v>1498</v>
      </c>
      <c r="M551" t="s">
        <v>1499</v>
      </c>
      <c r="N551" t="s">
        <v>159</v>
      </c>
      <c r="R551" t="s">
        <v>1506</v>
      </c>
      <c r="S551" t="s">
        <v>1542</v>
      </c>
      <c r="T551" t="s">
        <v>1544</v>
      </c>
      <c r="U551" t="s">
        <v>1501</v>
      </c>
      <c r="V551" t="s">
        <v>1502</v>
      </c>
      <c r="W551" t="s">
        <v>1503</v>
      </c>
    </row>
    <row r="552" spans="1:23" ht="15" customHeight="1" x14ac:dyDescent="0.3">
      <c r="A552" t="s">
        <v>8</v>
      </c>
      <c r="B552">
        <v>247</v>
      </c>
      <c r="C552" t="s">
        <v>368</v>
      </c>
      <c r="D552" t="s">
        <v>1494</v>
      </c>
      <c r="E552" t="s">
        <v>370</v>
      </c>
      <c r="F552" t="s">
        <v>1495</v>
      </c>
      <c r="G552" t="s">
        <v>440</v>
      </c>
      <c r="H552" t="s">
        <v>1272</v>
      </c>
      <c r="I552" t="s">
        <v>1494</v>
      </c>
      <c r="J552" t="s">
        <v>1542</v>
      </c>
      <c r="K552" s="21" t="s">
        <v>1543</v>
      </c>
      <c r="L552" s="21" t="s">
        <v>1498</v>
      </c>
      <c r="M552" t="s">
        <v>1499</v>
      </c>
      <c r="N552" t="s">
        <v>159</v>
      </c>
      <c r="R552" t="s">
        <v>1507</v>
      </c>
      <c r="S552" t="s">
        <v>1542</v>
      </c>
      <c r="T552" t="s">
        <v>1544</v>
      </c>
      <c r="U552" t="s">
        <v>1501</v>
      </c>
      <c r="V552" t="s">
        <v>1502</v>
      </c>
      <c r="W552" t="s">
        <v>1503</v>
      </c>
    </row>
    <row r="553" spans="1:23" ht="15" customHeight="1" x14ac:dyDescent="0.3">
      <c r="A553" t="s">
        <v>8</v>
      </c>
      <c r="B553">
        <v>247</v>
      </c>
      <c r="C553" t="s">
        <v>368</v>
      </c>
      <c r="D553" t="s">
        <v>1494</v>
      </c>
      <c r="E553" t="s">
        <v>370</v>
      </c>
      <c r="F553" t="s">
        <v>1495</v>
      </c>
      <c r="G553" t="s">
        <v>440</v>
      </c>
      <c r="H553" t="s">
        <v>1272</v>
      </c>
      <c r="I553" t="s">
        <v>1494</v>
      </c>
      <c r="J553" t="s">
        <v>1542</v>
      </c>
      <c r="K553" s="21" t="s">
        <v>1543</v>
      </c>
      <c r="L553" s="21" t="s">
        <v>1498</v>
      </c>
      <c r="M553" t="s">
        <v>1499</v>
      </c>
      <c r="N553" t="s">
        <v>159</v>
      </c>
      <c r="R553" t="s">
        <v>1508</v>
      </c>
      <c r="S553" t="s">
        <v>1542</v>
      </c>
      <c r="T553" t="s">
        <v>1544</v>
      </c>
      <c r="U553" t="s">
        <v>1501</v>
      </c>
      <c r="V553" t="s">
        <v>1502</v>
      </c>
      <c r="W553" t="s">
        <v>1503</v>
      </c>
    </row>
    <row r="554" spans="1:23" ht="15" customHeight="1" x14ac:dyDescent="0.3">
      <c r="A554" t="s">
        <v>8</v>
      </c>
      <c r="B554">
        <v>247</v>
      </c>
      <c r="C554" t="s">
        <v>368</v>
      </c>
      <c r="D554" t="s">
        <v>1494</v>
      </c>
      <c r="E554" t="s">
        <v>370</v>
      </c>
      <c r="F554" t="s">
        <v>1495</v>
      </c>
      <c r="G554" t="s">
        <v>440</v>
      </c>
      <c r="H554" t="s">
        <v>1276</v>
      </c>
      <c r="I554" t="s">
        <v>1494</v>
      </c>
      <c r="J554" t="s">
        <v>1545</v>
      </c>
      <c r="K554" s="21" t="s">
        <v>1546</v>
      </c>
      <c r="L554" s="21" t="s">
        <v>1498</v>
      </c>
      <c r="M554" t="s">
        <v>1499</v>
      </c>
      <c r="N554" t="s">
        <v>159</v>
      </c>
      <c r="R554" t="s">
        <v>1500</v>
      </c>
      <c r="S554" t="s">
        <v>1545</v>
      </c>
      <c r="T554" t="s">
        <v>1544</v>
      </c>
      <c r="U554" t="s">
        <v>1511</v>
      </c>
      <c r="V554" t="s">
        <v>1502</v>
      </c>
      <c r="W554" t="s">
        <v>1512</v>
      </c>
    </row>
    <row r="555" spans="1:23" ht="15" customHeight="1" x14ac:dyDescent="0.3">
      <c r="A555" t="s">
        <v>8</v>
      </c>
      <c r="B555">
        <v>247</v>
      </c>
      <c r="C555" t="s">
        <v>368</v>
      </c>
      <c r="D555" t="s">
        <v>1494</v>
      </c>
      <c r="E555" t="s">
        <v>370</v>
      </c>
      <c r="F555" t="s">
        <v>1495</v>
      </c>
      <c r="G555" t="s">
        <v>440</v>
      </c>
      <c r="H555" t="s">
        <v>1276</v>
      </c>
      <c r="I555" t="s">
        <v>1494</v>
      </c>
      <c r="J555" t="s">
        <v>1545</v>
      </c>
      <c r="K555" s="21" t="s">
        <v>1546</v>
      </c>
      <c r="L555" s="21" t="s">
        <v>1498</v>
      </c>
      <c r="M555" t="s">
        <v>1499</v>
      </c>
      <c r="N555" t="s">
        <v>159</v>
      </c>
      <c r="R555" t="s">
        <v>1504</v>
      </c>
      <c r="S555" t="s">
        <v>1545</v>
      </c>
      <c r="T555" t="s">
        <v>1544</v>
      </c>
      <c r="U555" t="s">
        <v>1511</v>
      </c>
      <c r="V555" t="s">
        <v>1502</v>
      </c>
      <c r="W555" t="s">
        <v>1512</v>
      </c>
    </row>
    <row r="556" spans="1:23" ht="15" customHeight="1" x14ac:dyDescent="0.3">
      <c r="A556" t="s">
        <v>8</v>
      </c>
      <c r="B556">
        <v>247</v>
      </c>
      <c r="C556" t="s">
        <v>368</v>
      </c>
      <c r="D556" t="s">
        <v>1494</v>
      </c>
      <c r="E556" t="s">
        <v>370</v>
      </c>
      <c r="F556" t="s">
        <v>1495</v>
      </c>
      <c r="G556" t="s">
        <v>440</v>
      </c>
      <c r="H556" t="s">
        <v>1276</v>
      </c>
      <c r="I556" t="s">
        <v>1494</v>
      </c>
      <c r="J556" t="s">
        <v>1545</v>
      </c>
      <c r="K556" s="21" t="s">
        <v>1546</v>
      </c>
      <c r="L556" s="21" t="s">
        <v>1498</v>
      </c>
      <c r="M556" t="s">
        <v>1499</v>
      </c>
      <c r="N556" t="s">
        <v>159</v>
      </c>
      <c r="R556" t="s">
        <v>1505</v>
      </c>
      <c r="S556" t="s">
        <v>1545</v>
      </c>
      <c r="T556" t="s">
        <v>1544</v>
      </c>
      <c r="U556" t="s">
        <v>1511</v>
      </c>
      <c r="V556" t="s">
        <v>1502</v>
      </c>
      <c r="W556" t="s">
        <v>1512</v>
      </c>
    </row>
    <row r="557" spans="1:23" ht="15" customHeight="1" x14ac:dyDescent="0.3">
      <c r="A557" t="s">
        <v>8</v>
      </c>
      <c r="B557">
        <v>247</v>
      </c>
      <c r="C557" t="s">
        <v>368</v>
      </c>
      <c r="D557" t="s">
        <v>1494</v>
      </c>
      <c r="E557" t="s">
        <v>370</v>
      </c>
      <c r="F557" t="s">
        <v>1495</v>
      </c>
      <c r="G557" t="s">
        <v>440</v>
      </c>
      <c r="H557" t="s">
        <v>1276</v>
      </c>
      <c r="I557" t="s">
        <v>1494</v>
      </c>
      <c r="J557" t="s">
        <v>1545</v>
      </c>
      <c r="K557" s="21" t="s">
        <v>1546</v>
      </c>
      <c r="L557" s="21" t="s">
        <v>1498</v>
      </c>
      <c r="M557" t="s">
        <v>1499</v>
      </c>
      <c r="N557" t="s">
        <v>159</v>
      </c>
      <c r="R557" t="s">
        <v>1506</v>
      </c>
      <c r="S557" t="s">
        <v>1545</v>
      </c>
      <c r="T557" t="s">
        <v>1544</v>
      </c>
      <c r="U557" t="s">
        <v>1511</v>
      </c>
      <c r="V557" t="s">
        <v>1502</v>
      </c>
      <c r="W557" t="s">
        <v>1512</v>
      </c>
    </row>
    <row r="558" spans="1:23" ht="15" customHeight="1" x14ac:dyDescent="0.3">
      <c r="A558" t="s">
        <v>8</v>
      </c>
      <c r="B558">
        <v>247</v>
      </c>
      <c r="C558" t="s">
        <v>368</v>
      </c>
      <c r="D558" t="s">
        <v>1494</v>
      </c>
      <c r="E558" t="s">
        <v>370</v>
      </c>
      <c r="F558" t="s">
        <v>1495</v>
      </c>
      <c r="G558" t="s">
        <v>440</v>
      </c>
      <c r="H558" t="s">
        <v>1276</v>
      </c>
      <c r="I558" t="s">
        <v>1494</v>
      </c>
      <c r="J558" t="s">
        <v>1545</v>
      </c>
      <c r="K558" s="21" t="s">
        <v>1546</v>
      </c>
      <c r="L558" s="21" t="s">
        <v>1498</v>
      </c>
      <c r="M558" t="s">
        <v>1499</v>
      </c>
      <c r="N558" t="s">
        <v>159</v>
      </c>
      <c r="R558" t="s">
        <v>1507</v>
      </c>
      <c r="S558" t="s">
        <v>1545</v>
      </c>
      <c r="T558" t="s">
        <v>1544</v>
      </c>
      <c r="U558" t="s">
        <v>1511</v>
      </c>
      <c r="V558" t="s">
        <v>1502</v>
      </c>
      <c r="W558" t="s">
        <v>1512</v>
      </c>
    </row>
    <row r="559" spans="1:23" ht="15" customHeight="1" x14ac:dyDescent="0.3">
      <c r="A559" t="s">
        <v>8</v>
      </c>
      <c r="B559">
        <v>247</v>
      </c>
      <c r="C559" t="s">
        <v>368</v>
      </c>
      <c r="D559" t="s">
        <v>1494</v>
      </c>
      <c r="E559" t="s">
        <v>370</v>
      </c>
      <c r="F559" t="s">
        <v>1495</v>
      </c>
      <c r="G559" t="s">
        <v>440</v>
      </c>
      <c r="H559" t="s">
        <v>1276</v>
      </c>
      <c r="I559" t="s">
        <v>1494</v>
      </c>
      <c r="J559" t="s">
        <v>1545</v>
      </c>
      <c r="K559" s="21" t="s">
        <v>1546</v>
      </c>
      <c r="L559" s="21" t="s">
        <v>1498</v>
      </c>
      <c r="M559" t="s">
        <v>1499</v>
      </c>
      <c r="N559" t="s">
        <v>159</v>
      </c>
      <c r="R559" t="s">
        <v>1508</v>
      </c>
      <c r="S559" t="s">
        <v>1545</v>
      </c>
      <c r="T559" t="s">
        <v>1544</v>
      </c>
      <c r="U559" t="s">
        <v>1511</v>
      </c>
      <c r="V559" t="s">
        <v>1502</v>
      </c>
      <c r="W559" t="s">
        <v>1512</v>
      </c>
    </row>
    <row r="560" spans="1:23" ht="15" customHeight="1" x14ac:dyDescent="0.3">
      <c r="A560" t="s">
        <v>8</v>
      </c>
      <c r="B560">
        <v>247</v>
      </c>
      <c r="C560" t="s">
        <v>368</v>
      </c>
      <c r="D560" t="s">
        <v>1494</v>
      </c>
      <c r="E560" t="s">
        <v>370</v>
      </c>
      <c r="F560" t="s">
        <v>1495</v>
      </c>
      <c r="G560" t="s">
        <v>440</v>
      </c>
      <c r="H560" t="s">
        <v>1279</v>
      </c>
      <c r="I560" t="s">
        <v>1494</v>
      </c>
      <c r="J560" t="s">
        <v>1547</v>
      </c>
      <c r="K560" s="21" t="s">
        <v>1548</v>
      </c>
      <c r="L560" s="21" t="s">
        <v>1498</v>
      </c>
      <c r="M560" t="s">
        <v>1499</v>
      </c>
      <c r="N560" t="s">
        <v>159</v>
      </c>
      <c r="R560" t="s">
        <v>1500</v>
      </c>
      <c r="S560" t="s">
        <v>1547</v>
      </c>
      <c r="T560" t="s">
        <v>1249</v>
      </c>
      <c r="U560" t="s">
        <v>1470</v>
      </c>
      <c r="V560" t="s">
        <v>1549</v>
      </c>
      <c r="W560" t="s">
        <v>1550</v>
      </c>
    </row>
    <row r="561" spans="1:23" ht="15" customHeight="1" x14ac:dyDescent="0.3">
      <c r="A561" t="s">
        <v>8</v>
      </c>
      <c r="B561">
        <v>247</v>
      </c>
      <c r="C561" t="s">
        <v>368</v>
      </c>
      <c r="D561" t="s">
        <v>1494</v>
      </c>
      <c r="E561" t="s">
        <v>370</v>
      </c>
      <c r="F561" t="s">
        <v>1495</v>
      </c>
      <c r="G561" t="s">
        <v>440</v>
      </c>
      <c r="H561" t="s">
        <v>1279</v>
      </c>
      <c r="I561" t="s">
        <v>1494</v>
      </c>
      <c r="J561" t="s">
        <v>1547</v>
      </c>
      <c r="K561" s="21" t="s">
        <v>1548</v>
      </c>
      <c r="L561" s="21" t="s">
        <v>1498</v>
      </c>
      <c r="M561" t="s">
        <v>1499</v>
      </c>
      <c r="N561" t="s">
        <v>159</v>
      </c>
      <c r="R561" t="s">
        <v>1504</v>
      </c>
      <c r="S561" t="s">
        <v>1547</v>
      </c>
      <c r="T561" t="s">
        <v>1249</v>
      </c>
      <c r="U561" t="s">
        <v>1470</v>
      </c>
      <c r="V561" t="s">
        <v>1549</v>
      </c>
      <c r="W561" t="s">
        <v>1550</v>
      </c>
    </row>
    <row r="562" spans="1:23" ht="15" customHeight="1" x14ac:dyDescent="0.3">
      <c r="A562" t="s">
        <v>8</v>
      </c>
      <c r="B562">
        <v>247</v>
      </c>
      <c r="C562" t="s">
        <v>368</v>
      </c>
      <c r="D562" t="s">
        <v>1494</v>
      </c>
      <c r="E562" t="s">
        <v>370</v>
      </c>
      <c r="F562" t="s">
        <v>1495</v>
      </c>
      <c r="G562" t="s">
        <v>440</v>
      </c>
      <c r="H562" t="s">
        <v>1279</v>
      </c>
      <c r="I562" t="s">
        <v>1494</v>
      </c>
      <c r="J562" t="s">
        <v>1547</v>
      </c>
      <c r="K562" s="21" t="s">
        <v>1548</v>
      </c>
      <c r="L562" s="21" t="s">
        <v>1498</v>
      </c>
      <c r="M562" t="s">
        <v>1499</v>
      </c>
      <c r="N562" t="s">
        <v>159</v>
      </c>
      <c r="R562" t="s">
        <v>1505</v>
      </c>
      <c r="S562" t="s">
        <v>1547</v>
      </c>
      <c r="T562" t="s">
        <v>1249</v>
      </c>
      <c r="U562" t="s">
        <v>1470</v>
      </c>
      <c r="V562" t="s">
        <v>1549</v>
      </c>
      <c r="W562" t="s">
        <v>1550</v>
      </c>
    </row>
    <row r="563" spans="1:23" ht="15" customHeight="1" x14ac:dyDescent="0.3">
      <c r="A563" t="s">
        <v>8</v>
      </c>
      <c r="B563">
        <v>247</v>
      </c>
      <c r="C563" t="s">
        <v>368</v>
      </c>
      <c r="D563" t="s">
        <v>1494</v>
      </c>
      <c r="E563" t="s">
        <v>370</v>
      </c>
      <c r="F563" t="s">
        <v>1495</v>
      </c>
      <c r="G563" t="s">
        <v>440</v>
      </c>
      <c r="H563" t="s">
        <v>1279</v>
      </c>
      <c r="I563" t="s">
        <v>1494</v>
      </c>
      <c r="J563" t="s">
        <v>1547</v>
      </c>
      <c r="K563" s="21" t="s">
        <v>1548</v>
      </c>
      <c r="L563" s="21" t="s">
        <v>1498</v>
      </c>
      <c r="M563" t="s">
        <v>1499</v>
      </c>
      <c r="N563" t="s">
        <v>159</v>
      </c>
      <c r="R563" t="s">
        <v>1506</v>
      </c>
      <c r="S563" t="s">
        <v>1547</v>
      </c>
      <c r="T563" t="s">
        <v>1249</v>
      </c>
      <c r="U563" t="s">
        <v>1470</v>
      </c>
      <c r="V563" t="s">
        <v>1549</v>
      </c>
      <c r="W563" t="s">
        <v>1550</v>
      </c>
    </row>
    <row r="564" spans="1:23" ht="15" customHeight="1" x14ac:dyDescent="0.3">
      <c r="A564" t="s">
        <v>8</v>
      </c>
      <c r="B564">
        <v>247</v>
      </c>
      <c r="C564" t="s">
        <v>368</v>
      </c>
      <c r="D564" t="s">
        <v>1494</v>
      </c>
      <c r="E564" t="s">
        <v>370</v>
      </c>
      <c r="F564" t="s">
        <v>1495</v>
      </c>
      <c r="G564" t="s">
        <v>440</v>
      </c>
      <c r="H564" t="s">
        <v>1279</v>
      </c>
      <c r="I564" t="s">
        <v>1494</v>
      </c>
      <c r="J564" t="s">
        <v>1547</v>
      </c>
      <c r="K564" s="21" t="s">
        <v>1548</v>
      </c>
      <c r="L564" s="21" t="s">
        <v>1498</v>
      </c>
      <c r="M564" t="s">
        <v>1499</v>
      </c>
      <c r="N564" t="s">
        <v>159</v>
      </c>
      <c r="R564" t="s">
        <v>1507</v>
      </c>
      <c r="S564" t="s">
        <v>1547</v>
      </c>
      <c r="T564" t="s">
        <v>1249</v>
      </c>
      <c r="U564" t="s">
        <v>1470</v>
      </c>
      <c r="V564" t="s">
        <v>1549</v>
      </c>
      <c r="W564" t="s">
        <v>1550</v>
      </c>
    </row>
    <row r="565" spans="1:23" ht="15" customHeight="1" x14ac:dyDescent="0.3">
      <c r="A565" t="s">
        <v>8</v>
      </c>
      <c r="B565">
        <v>247</v>
      </c>
      <c r="C565" t="s">
        <v>368</v>
      </c>
      <c r="D565" t="s">
        <v>1494</v>
      </c>
      <c r="E565" t="s">
        <v>370</v>
      </c>
      <c r="F565" t="s">
        <v>1495</v>
      </c>
      <c r="G565" t="s">
        <v>440</v>
      </c>
      <c r="H565" t="s">
        <v>1279</v>
      </c>
      <c r="I565" t="s">
        <v>1494</v>
      </c>
      <c r="J565" t="s">
        <v>1547</v>
      </c>
      <c r="K565" s="21" t="s">
        <v>1548</v>
      </c>
      <c r="L565" s="21" t="s">
        <v>1498</v>
      </c>
      <c r="M565" t="s">
        <v>1499</v>
      </c>
      <c r="N565" t="s">
        <v>159</v>
      </c>
      <c r="R565" t="s">
        <v>1508</v>
      </c>
      <c r="S565" t="s">
        <v>1547</v>
      </c>
      <c r="T565" t="s">
        <v>1249</v>
      </c>
      <c r="U565" t="s">
        <v>1470</v>
      </c>
      <c r="V565" t="s">
        <v>1549</v>
      </c>
      <c r="W565" t="s">
        <v>1550</v>
      </c>
    </row>
    <row r="566" spans="1:23" ht="15" customHeight="1" x14ac:dyDescent="0.3">
      <c r="A566" t="s">
        <v>8</v>
      </c>
      <c r="B566">
        <v>245</v>
      </c>
      <c r="C566" t="s">
        <v>368</v>
      </c>
      <c r="D566" t="s">
        <v>369</v>
      </c>
      <c r="E566" t="s">
        <v>34</v>
      </c>
      <c r="F566" t="s">
        <v>371</v>
      </c>
      <c r="G566" t="s">
        <v>36</v>
      </c>
      <c r="H566" t="s">
        <v>37</v>
      </c>
      <c r="I566" t="s">
        <v>369</v>
      </c>
      <c r="J566" t="s">
        <v>372</v>
      </c>
      <c r="K566" t="s">
        <v>373</v>
      </c>
      <c r="L566" s="21" t="s">
        <v>374</v>
      </c>
      <c r="M566" t="s">
        <v>1551</v>
      </c>
      <c r="N566" t="s">
        <v>1552</v>
      </c>
      <c r="R566" t="s">
        <v>377</v>
      </c>
      <c r="S566" t="s">
        <v>372</v>
      </c>
      <c r="T566" t="s">
        <v>45</v>
      </c>
      <c r="U566" t="s">
        <v>46</v>
      </c>
      <c r="V566" t="s">
        <v>378</v>
      </c>
      <c r="W566" t="s">
        <v>379</v>
      </c>
    </row>
    <row r="567" spans="1:23" ht="15" customHeight="1" x14ac:dyDescent="0.3">
      <c r="A567" t="s">
        <v>8</v>
      </c>
      <c r="B567">
        <v>245</v>
      </c>
      <c r="C567" t="s">
        <v>368</v>
      </c>
      <c r="D567" t="s">
        <v>369</v>
      </c>
      <c r="E567" t="s">
        <v>34</v>
      </c>
      <c r="F567" t="s">
        <v>371</v>
      </c>
      <c r="G567" t="s">
        <v>36</v>
      </c>
      <c r="H567" t="s">
        <v>52</v>
      </c>
      <c r="I567" t="s">
        <v>369</v>
      </c>
      <c r="J567" t="s">
        <v>1553</v>
      </c>
      <c r="K567" s="21" t="s">
        <v>1554</v>
      </c>
      <c r="L567" s="21" t="s">
        <v>374</v>
      </c>
      <c r="M567" t="s">
        <v>1551</v>
      </c>
      <c r="N567" t="s">
        <v>1552</v>
      </c>
      <c r="R567" t="s">
        <v>377</v>
      </c>
      <c r="S567" t="s">
        <v>1553</v>
      </c>
      <c r="T567" t="s">
        <v>382</v>
      </c>
      <c r="U567" t="s">
        <v>1555</v>
      </c>
      <c r="V567" t="s">
        <v>378</v>
      </c>
      <c r="W567" t="s">
        <v>1556</v>
      </c>
    </row>
    <row r="568" spans="1:23" ht="15" customHeight="1" x14ac:dyDescent="0.3">
      <c r="A568" t="s">
        <v>8</v>
      </c>
      <c r="B568">
        <v>245</v>
      </c>
      <c r="C568" t="s">
        <v>368</v>
      </c>
      <c r="D568" t="s">
        <v>369</v>
      </c>
      <c r="E568" t="s">
        <v>34</v>
      </c>
      <c r="F568" t="s">
        <v>371</v>
      </c>
      <c r="G568" t="s">
        <v>36</v>
      </c>
      <c r="H568" t="s">
        <v>57</v>
      </c>
      <c r="I568" t="s">
        <v>369</v>
      </c>
      <c r="J568" t="s">
        <v>380</v>
      </c>
      <c r="K568" s="21" t="s">
        <v>381</v>
      </c>
      <c r="L568" s="21" t="s">
        <v>374</v>
      </c>
      <c r="M568" t="s">
        <v>1551</v>
      </c>
      <c r="N568" t="s">
        <v>1552</v>
      </c>
      <c r="R568" t="s">
        <v>377</v>
      </c>
      <c r="S568" t="s">
        <v>380</v>
      </c>
      <c r="T568" t="s">
        <v>382</v>
      </c>
      <c r="U568" t="s">
        <v>90</v>
      </c>
      <c r="V568" t="s">
        <v>378</v>
      </c>
      <c r="W568" t="s">
        <v>383</v>
      </c>
    </row>
    <row r="569" spans="1:23" ht="15" customHeight="1" x14ac:dyDescent="0.3">
      <c r="A569" t="s">
        <v>8</v>
      </c>
      <c r="B569">
        <v>245</v>
      </c>
      <c r="C569" t="s">
        <v>368</v>
      </c>
      <c r="D569" t="s">
        <v>369</v>
      </c>
      <c r="E569" t="s">
        <v>34</v>
      </c>
      <c r="F569" t="s">
        <v>371</v>
      </c>
      <c r="G569" t="s">
        <v>36</v>
      </c>
      <c r="H569" t="s">
        <v>49</v>
      </c>
      <c r="I569" t="s">
        <v>369</v>
      </c>
      <c r="J569" t="s">
        <v>1557</v>
      </c>
      <c r="K569" s="21" t="s">
        <v>1558</v>
      </c>
      <c r="L569" s="21" t="s">
        <v>374</v>
      </c>
      <c r="M569" t="s">
        <v>1551</v>
      </c>
      <c r="N569" t="s">
        <v>1552</v>
      </c>
      <c r="R569" t="s">
        <v>377</v>
      </c>
      <c r="S569" t="s">
        <v>1557</v>
      </c>
      <c r="T569" t="s">
        <v>382</v>
      </c>
      <c r="U569" t="s">
        <v>1559</v>
      </c>
      <c r="V569" t="s">
        <v>378</v>
      </c>
      <c r="W569" t="s">
        <v>1560</v>
      </c>
    </row>
    <row r="570" spans="1:23" ht="15" customHeight="1" x14ac:dyDescent="0.3">
      <c r="A570" t="s">
        <v>8</v>
      </c>
      <c r="B570">
        <v>245</v>
      </c>
      <c r="C570" t="s">
        <v>368</v>
      </c>
      <c r="D570" t="s">
        <v>369</v>
      </c>
      <c r="E570" t="s">
        <v>34</v>
      </c>
      <c r="F570" t="s">
        <v>371</v>
      </c>
      <c r="G570" t="s">
        <v>36</v>
      </c>
      <c r="H570" t="s">
        <v>87</v>
      </c>
      <c r="I570" t="s">
        <v>369</v>
      </c>
      <c r="J570" t="s">
        <v>1561</v>
      </c>
      <c r="K570" s="21" t="s">
        <v>1562</v>
      </c>
      <c r="L570" s="21" t="s">
        <v>374</v>
      </c>
      <c r="M570" t="s">
        <v>1551</v>
      </c>
      <c r="N570" t="s">
        <v>1552</v>
      </c>
      <c r="R570" t="s">
        <v>377</v>
      </c>
      <c r="S570" t="s">
        <v>1561</v>
      </c>
      <c r="T570" t="s">
        <v>382</v>
      </c>
      <c r="U570" t="s">
        <v>1428</v>
      </c>
      <c r="V570" t="s">
        <v>378</v>
      </c>
      <c r="W570" t="s">
        <v>1563</v>
      </c>
    </row>
    <row r="571" spans="1:23" ht="15" customHeight="1" x14ac:dyDescent="0.3">
      <c r="A571" t="s">
        <v>8</v>
      </c>
      <c r="B571">
        <v>245</v>
      </c>
      <c r="C571" t="s">
        <v>368</v>
      </c>
      <c r="D571" t="s">
        <v>369</v>
      </c>
      <c r="E571" t="s">
        <v>34</v>
      </c>
      <c r="F571" t="s">
        <v>371</v>
      </c>
      <c r="G571" t="s">
        <v>36</v>
      </c>
      <c r="H571" t="s">
        <v>421</v>
      </c>
      <c r="I571" t="s">
        <v>369</v>
      </c>
      <c r="J571" t="s">
        <v>1564</v>
      </c>
      <c r="K571" s="21" t="s">
        <v>1565</v>
      </c>
      <c r="L571" s="21" t="s">
        <v>374</v>
      </c>
      <c r="M571" t="s">
        <v>1551</v>
      </c>
      <c r="N571" t="s">
        <v>1552</v>
      </c>
      <c r="R571" t="s">
        <v>377</v>
      </c>
      <c r="S571" t="s">
        <v>1564</v>
      </c>
      <c r="T571" t="s">
        <v>382</v>
      </c>
      <c r="U571" t="s">
        <v>1416</v>
      </c>
      <c r="V571" t="s">
        <v>378</v>
      </c>
      <c r="W571" t="s">
        <v>1566</v>
      </c>
    </row>
    <row r="572" spans="1:23" ht="15" customHeight="1" x14ac:dyDescent="0.3">
      <c r="A572" t="s">
        <v>8</v>
      </c>
      <c r="B572">
        <v>245</v>
      </c>
      <c r="C572" t="s">
        <v>368</v>
      </c>
      <c r="D572" t="s">
        <v>369</v>
      </c>
      <c r="E572" t="s">
        <v>34</v>
      </c>
      <c r="F572" t="s">
        <v>371</v>
      </c>
      <c r="G572" t="s">
        <v>36</v>
      </c>
      <c r="H572" t="s">
        <v>182</v>
      </c>
      <c r="I572" t="s">
        <v>369</v>
      </c>
      <c r="J572" t="s">
        <v>1567</v>
      </c>
      <c r="K572" s="21" t="s">
        <v>1568</v>
      </c>
      <c r="L572" s="21" t="s">
        <v>374</v>
      </c>
      <c r="M572" t="s">
        <v>1551</v>
      </c>
      <c r="N572" t="s">
        <v>1552</v>
      </c>
      <c r="R572" t="s">
        <v>377</v>
      </c>
      <c r="S572" t="s">
        <v>1567</v>
      </c>
      <c r="T572" t="s">
        <v>382</v>
      </c>
      <c r="U572" t="s">
        <v>1569</v>
      </c>
      <c r="V572" t="s">
        <v>378</v>
      </c>
      <c r="W572" t="s">
        <v>1570</v>
      </c>
    </row>
    <row r="573" spans="1:23" ht="15" customHeight="1" x14ac:dyDescent="0.3">
      <c r="A573" t="s">
        <v>8</v>
      </c>
      <c r="B573">
        <v>245</v>
      </c>
      <c r="C573" t="s">
        <v>368</v>
      </c>
      <c r="D573" t="s">
        <v>369</v>
      </c>
      <c r="E573" t="s">
        <v>34</v>
      </c>
      <c r="F573" t="s">
        <v>371</v>
      </c>
      <c r="G573" t="s">
        <v>36</v>
      </c>
      <c r="H573" t="s">
        <v>1242</v>
      </c>
      <c r="I573" t="s">
        <v>369</v>
      </c>
      <c r="J573" t="s">
        <v>1571</v>
      </c>
      <c r="K573" s="21" t="s">
        <v>1572</v>
      </c>
      <c r="L573" s="21" t="s">
        <v>374</v>
      </c>
      <c r="M573" t="s">
        <v>1551</v>
      </c>
      <c r="N573" t="s">
        <v>1552</v>
      </c>
      <c r="R573" t="s">
        <v>377</v>
      </c>
      <c r="S573" t="s">
        <v>1571</v>
      </c>
      <c r="T573" t="s">
        <v>382</v>
      </c>
      <c r="U573" t="s">
        <v>1573</v>
      </c>
      <c r="V573" t="s">
        <v>378</v>
      </c>
      <c r="W573" t="s">
        <v>1574</v>
      </c>
    </row>
    <row r="574" spans="1:23" ht="15" customHeight="1" x14ac:dyDescent="0.3">
      <c r="A574" t="s">
        <v>8</v>
      </c>
      <c r="B574">
        <v>245</v>
      </c>
      <c r="C574" t="s">
        <v>368</v>
      </c>
      <c r="D574" t="s">
        <v>369</v>
      </c>
      <c r="E574" t="s">
        <v>34</v>
      </c>
      <c r="F574" t="s">
        <v>371</v>
      </c>
      <c r="G574" t="s">
        <v>36</v>
      </c>
      <c r="H574" t="s">
        <v>425</v>
      </c>
      <c r="I574" t="s">
        <v>369</v>
      </c>
      <c r="J574" t="s">
        <v>1575</v>
      </c>
      <c r="K574" s="21" t="s">
        <v>1576</v>
      </c>
      <c r="L574" s="21" t="s">
        <v>374</v>
      </c>
      <c r="M574" t="s">
        <v>1551</v>
      </c>
      <c r="N574" t="s">
        <v>1552</v>
      </c>
      <c r="R574" t="s">
        <v>377</v>
      </c>
      <c r="S574" t="s">
        <v>1575</v>
      </c>
      <c r="T574" t="s">
        <v>382</v>
      </c>
      <c r="U574" t="s">
        <v>1577</v>
      </c>
      <c r="V574" t="s">
        <v>378</v>
      </c>
      <c r="W574" t="s">
        <v>1578</v>
      </c>
    </row>
    <row r="575" spans="1:23" ht="15" customHeight="1" x14ac:dyDescent="0.3">
      <c r="A575" t="s">
        <v>8</v>
      </c>
      <c r="B575">
        <v>245</v>
      </c>
      <c r="C575" t="s">
        <v>368</v>
      </c>
      <c r="D575" t="s">
        <v>369</v>
      </c>
      <c r="E575" t="s">
        <v>34</v>
      </c>
      <c r="F575" t="s">
        <v>371</v>
      </c>
      <c r="G575" t="s">
        <v>36</v>
      </c>
      <c r="H575" t="s">
        <v>996</v>
      </c>
      <c r="I575" t="s">
        <v>369</v>
      </c>
      <c r="J575" t="s">
        <v>1579</v>
      </c>
      <c r="K575" s="21" t="s">
        <v>1580</v>
      </c>
      <c r="L575" s="21" t="s">
        <v>374</v>
      </c>
      <c r="M575" t="s">
        <v>1551</v>
      </c>
      <c r="N575" t="s">
        <v>1552</v>
      </c>
      <c r="R575" t="s">
        <v>377</v>
      </c>
      <c r="S575" t="s">
        <v>1579</v>
      </c>
      <c r="T575" t="s">
        <v>382</v>
      </c>
      <c r="U575" t="s">
        <v>1420</v>
      </c>
      <c r="V575" t="s">
        <v>378</v>
      </c>
      <c r="W575" t="s">
        <v>1581</v>
      </c>
    </row>
    <row r="576" spans="1:23" ht="15" customHeight="1" x14ac:dyDescent="0.3">
      <c r="A576" t="s">
        <v>8</v>
      </c>
      <c r="B576">
        <v>245</v>
      </c>
      <c r="C576" t="s">
        <v>368</v>
      </c>
      <c r="D576" t="s">
        <v>369</v>
      </c>
      <c r="E576" t="s">
        <v>34</v>
      </c>
      <c r="F576" t="s">
        <v>371</v>
      </c>
      <c r="G576" t="s">
        <v>36</v>
      </c>
      <c r="H576" t="s">
        <v>1000</v>
      </c>
      <c r="I576" t="s">
        <v>369</v>
      </c>
      <c r="J576" t="s">
        <v>1582</v>
      </c>
      <c r="K576" s="21" t="s">
        <v>1583</v>
      </c>
      <c r="L576" s="21" t="s">
        <v>374</v>
      </c>
      <c r="M576" t="s">
        <v>1551</v>
      </c>
      <c r="N576" t="s">
        <v>1552</v>
      </c>
      <c r="R576" t="s">
        <v>377</v>
      </c>
      <c r="S576" t="s">
        <v>1582</v>
      </c>
      <c r="T576" t="s">
        <v>1544</v>
      </c>
      <c r="U576" t="s">
        <v>1511</v>
      </c>
      <c r="V576" t="s">
        <v>378</v>
      </c>
      <c r="W576" t="s">
        <v>1584</v>
      </c>
    </row>
    <row r="577" spans="1:23" ht="15" customHeight="1" x14ac:dyDescent="0.3">
      <c r="A577" t="s">
        <v>8</v>
      </c>
      <c r="B577">
        <v>245</v>
      </c>
      <c r="C577" t="s">
        <v>368</v>
      </c>
      <c r="D577" t="s">
        <v>369</v>
      </c>
      <c r="E577" t="s">
        <v>34</v>
      </c>
      <c r="F577" t="s">
        <v>371</v>
      </c>
      <c r="G577" t="s">
        <v>36</v>
      </c>
      <c r="H577" t="s">
        <v>1272</v>
      </c>
      <c r="I577" t="s">
        <v>369</v>
      </c>
      <c r="J577" t="s">
        <v>1585</v>
      </c>
      <c r="K577" s="21" t="s">
        <v>1586</v>
      </c>
      <c r="L577" s="21" t="s">
        <v>374</v>
      </c>
      <c r="M577" t="s">
        <v>1551</v>
      </c>
      <c r="N577" t="s">
        <v>1552</v>
      </c>
      <c r="R577" t="s">
        <v>377</v>
      </c>
      <c r="S577" t="s">
        <v>1585</v>
      </c>
      <c r="T577" t="s">
        <v>1249</v>
      </c>
      <c r="U577" t="s">
        <v>1270</v>
      </c>
      <c r="V577" t="s">
        <v>378</v>
      </c>
      <c r="W577" t="s">
        <v>1587</v>
      </c>
    </row>
    <row r="578" spans="1:23" ht="15" customHeight="1" x14ac:dyDescent="0.3">
      <c r="A578" t="s">
        <v>8</v>
      </c>
      <c r="B578">
        <v>245</v>
      </c>
      <c r="C578" t="s">
        <v>368</v>
      </c>
      <c r="D578" t="s">
        <v>369</v>
      </c>
      <c r="E578" t="s">
        <v>34</v>
      </c>
      <c r="F578" t="s">
        <v>371</v>
      </c>
      <c r="G578" t="s">
        <v>36</v>
      </c>
      <c r="H578" t="s">
        <v>1276</v>
      </c>
      <c r="I578" t="s">
        <v>369</v>
      </c>
      <c r="J578" t="s">
        <v>1588</v>
      </c>
      <c r="K578" s="21" t="s">
        <v>1589</v>
      </c>
      <c r="L578" s="21" t="s">
        <v>374</v>
      </c>
      <c r="M578" t="s">
        <v>1551</v>
      </c>
      <c r="N578" t="s">
        <v>1552</v>
      </c>
      <c r="R578" t="s">
        <v>377</v>
      </c>
      <c r="S578" t="s">
        <v>1588</v>
      </c>
      <c r="T578" t="s">
        <v>1249</v>
      </c>
      <c r="U578" t="s">
        <v>1461</v>
      </c>
      <c r="V578" t="s">
        <v>378</v>
      </c>
      <c r="W578" t="s">
        <v>1587</v>
      </c>
    </row>
    <row r="579" spans="1:23" ht="15" customHeight="1" x14ac:dyDescent="0.3">
      <c r="A579" t="s">
        <v>8</v>
      </c>
      <c r="B579">
        <v>245</v>
      </c>
      <c r="C579" t="s">
        <v>368</v>
      </c>
      <c r="D579" t="s">
        <v>369</v>
      </c>
      <c r="E579" t="s">
        <v>34</v>
      </c>
      <c r="F579" t="s">
        <v>371</v>
      </c>
      <c r="G579" t="s">
        <v>36</v>
      </c>
      <c r="H579" t="s">
        <v>1279</v>
      </c>
      <c r="I579" t="s">
        <v>369</v>
      </c>
      <c r="J579" t="s">
        <v>1590</v>
      </c>
      <c r="K579" s="21" t="s">
        <v>1591</v>
      </c>
      <c r="L579" s="21" t="s">
        <v>374</v>
      </c>
      <c r="M579" t="s">
        <v>1551</v>
      </c>
      <c r="N579" t="s">
        <v>1552</v>
      </c>
      <c r="R579" t="s">
        <v>377</v>
      </c>
      <c r="S579" t="s">
        <v>1590</v>
      </c>
      <c r="T579" t="s">
        <v>1249</v>
      </c>
      <c r="U579" t="s">
        <v>1464</v>
      </c>
      <c r="V579" t="s">
        <v>378</v>
      </c>
      <c r="W579" t="s">
        <v>1587</v>
      </c>
    </row>
    <row r="580" spans="1:23" ht="15" customHeight="1" x14ac:dyDescent="0.3">
      <c r="A580" t="s">
        <v>8</v>
      </c>
      <c r="B580">
        <v>245</v>
      </c>
      <c r="C580" t="s">
        <v>368</v>
      </c>
      <c r="D580" t="s">
        <v>369</v>
      </c>
      <c r="E580" t="s">
        <v>34</v>
      </c>
      <c r="F580" t="s">
        <v>371</v>
      </c>
      <c r="G580" t="s">
        <v>36</v>
      </c>
      <c r="H580" t="s">
        <v>1283</v>
      </c>
      <c r="I580" t="s">
        <v>369</v>
      </c>
      <c r="J580" t="s">
        <v>1585</v>
      </c>
      <c r="K580" s="21" t="s">
        <v>1586</v>
      </c>
      <c r="L580" s="21" t="s">
        <v>374</v>
      </c>
      <c r="M580" t="s">
        <v>1551</v>
      </c>
      <c r="N580" t="s">
        <v>1552</v>
      </c>
      <c r="R580" t="s">
        <v>377</v>
      </c>
      <c r="S580" t="s">
        <v>1585</v>
      </c>
      <c r="T580" t="s">
        <v>1249</v>
      </c>
      <c r="U580" t="s">
        <v>1270</v>
      </c>
      <c r="V580" t="s">
        <v>378</v>
      </c>
      <c r="W580" t="s">
        <v>1587</v>
      </c>
    </row>
    <row r="581" spans="1:23" ht="15" customHeight="1" x14ac:dyDescent="0.3">
      <c r="A581" t="s">
        <v>8</v>
      </c>
      <c r="B581">
        <v>245</v>
      </c>
      <c r="C581" t="s">
        <v>368</v>
      </c>
      <c r="D581" t="s">
        <v>369</v>
      </c>
      <c r="E581" t="s">
        <v>34</v>
      </c>
      <c r="F581" t="s">
        <v>371</v>
      </c>
      <c r="G581" t="s">
        <v>36</v>
      </c>
      <c r="H581" t="s">
        <v>1287</v>
      </c>
      <c r="I581" t="s">
        <v>369</v>
      </c>
      <c r="J581" t="s">
        <v>1588</v>
      </c>
      <c r="K581" s="21" t="s">
        <v>1589</v>
      </c>
      <c r="L581" s="21" t="s">
        <v>374</v>
      </c>
      <c r="M581" t="s">
        <v>1551</v>
      </c>
      <c r="N581" t="s">
        <v>1552</v>
      </c>
      <c r="R581" t="s">
        <v>377</v>
      </c>
      <c r="S581" t="s">
        <v>1588</v>
      </c>
      <c r="T581" t="s">
        <v>1249</v>
      </c>
      <c r="U581" t="s">
        <v>1461</v>
      </c>
      <c r="V581" t="s">
        <v>378</v>
      </c>
      <c r="W581" t="s">
        <v>1587</v>
      </c>
    </row>
    <row r="582" spans="1:23" ht="15" customHeight="1" x14ac:dyDescent="0.3">
      <c r="A582" t="s">
        <v>8</v>
      </c>
      <c r="B582">
        <v>245</v>
      </c>
      <c r="C582" t="s">
        <v>368</v>
      </c>
      <c r="D582" t="s">
        <v>369</v>
      </c>
      <c r="E582" t="s">
        <v>34</v>
      </c>
      <c r="F582" t="s">
        <v>371</v>
      </c>
      <c r="G582" t="s">
        <v>36</v>
      </c>
      <c r="H582" t="s">
        <v>1293</v>
      </c>
      <c r="I582" t="s">
        <v>369</v>
      </c>
      <c r="J582" t="s">
        <v>1590</v>
      </c>
      <c r="K582" s="21" t="s">
        <v>1591</v>
      </c>
      <c r="L582" s="21" t="s">
        <v>374</v>
      </c>
      <c r="M582" t="s">
        <v>1551</v>
      </c>
      <c r="N582" t="s">
        <v>1552</v>
      </c>
      <c r="R582" t="s">
        <v>377</v>
      </c>
      <c r="S582" t="s">
        <v>1590</v>
      </c>
      <c r="T582" t="s">
        <v>1249</v>
      </c>
      <c r="U582" t="s">
        <v>1464</v>
      </c>
      <c r="V582" t="s">
        <v>378</v>
      </c>
      <c r="W582" t="s">
        <v>1587</v>
      </c>
    </row>
    <row r="583" spans="1:23" ht="15" customHeight="1" x14ac:dyDescent="0.3">
      <c r="A583" t="s">
        <v>8</v>
      </c>
      <c r="B583">
        <v>245</v>
      </c>
      <c r="C583" t="s">
        <v>368</v>
      </c>
      <c r="D583" t="s">
        <v>369</v>
      </c>
      <c r="E583" t="s">
        <v>34</v>
      </c>
      <c r="F583" t="s">
        <v>371</v>
      </c>
      <c r="G583" t="s">
        <v>36</v>
      </c>
      <c r="H583" t="s">
        <v>1592</v>
      </c>
      <c r="I583" t="s">
        <v>369</v>
      </c>
      <c r="J583" t="s">
        <v>1593</v>
      </c>
      <c r="K583" s="21" t="s">
        <v>1594</v>
      </c>
      <c r="L583" s="21" t="s">
        <v>374</v>
      </c>
      <c r="M583" t="s">
        <v>1551</v>
      </c>
      <c r="N583" t="s">
        <v>1552</v>
      </c>
      <c r="R583" t="s">
        <v>377</v>
      </c>
      <c r="S583" t="s">
        <v>1593</v>
      </c>
      <c r="T583" t="s">
        <v>1290</v>
      </c>
      <c r="U583" t="s">
        <v>1291</v>
      </c>
      <c r="V583" t="s">
        <v>378</v>
      </c>
      <c r="W583" t="s">
        <v>1595</v>
      </c>
    </row>
    <row r="584" spans="1:23" ht="15" customHeight="1" x14ac:dyDescent="0.3">
      <c r="A584" t="s">
        <v>8</v>
      </c>
      <c r="B584">
        <v>308</v>
      </c>
      <c r="C584" t="s">
        <v>384</v>
      </c>
      <c r="D584" t="s">
        <v>385</v>
      </c>
      <c r="E584" t="s">
        <v>386</v>
      </c>
      <c r="F584" t="s">
        <v>387</v>
      </c>
      <c r="G584" t="s">
        <v>36</v>
      </c>
      <c r="H584" t="s">
        <v>37</v>
      </c>
      <c r="I584" t="s">
        <v>385</v>
      </c>
      <c r="J584" t="s">
        <v>388</v>
      </c>
      <c r="K584" t="s">
        <v>389</v>
      </c>
      <c r="L584" s="21" t="s">
        <v>390</v>
      </c>
      <c r="M584" t="s">
        <v>391</v>
      </c>
      <c r="N584" t="s">
        <v>392</v>
      </c>
      <c r="R584" t="s">
        <v>1596</v>
      </c>
      <c r="S584" t="s">
        <v>388</v>
      </c>
      <c r="T584" t="s">
        <v>45</v>
      </c>
      <c r="U584" t="s">
        <v>46</v>
      </c>
      <c r="V584" t="s">
        <v>395</v>
      </c>
      <c r="W584" t="s">
        <v>396</v>
      </c>
    </row>
    <row r="585" spans="1:23" ht="15" customHeight="1" x14ac:dyDescent="0.3">
      <c r="A585" t="s">
        <v>8</v>
      </c>
      <c r="B585">
        <v>308</v>
      </c>
      <c r="C585" t="s">
        <v>384</v>
      </c>
      <c r="D585" t="s">
        <v>385</v>
      </c>
      <c r="E585" t="s">
        <v>386</v>
      </c>
      <c r="F585" t="s">
        <v>387</v>
      </c>
      <c r="G585" t="s">
        <v>36</v>
      </c>
      <c r="H585" t="s">
        <v>52</v>
      </c>
      <c r="I585" t="s">
        <v>385</v>
      </c>
      <c r="J585" t="s">
        <v>1597</v>
      </c>
      <c r="K585" s="21" t="s">
        <v>1598</v>
      </c>
      <c r="L585" s="21" t="s">
        <v>390</v>
      </c>
      <c r="M585" t="s">
        <v>391</v>
      </c>
      <c r="N585" t="s">
        <v>392</v>
      </c>
      <c r="R585" t="s">
        <v>1596</v>
      </c>
      <c r="S585" t="s">
        <v>1597</v>
      </c>
      <c r="T585" t="s">
        <v>45</v>
      </c>
      <c r="U585" t="s">
        <v>1416</v>
      </c>
      <c r="V585" t="s">
        <v>1599</v>
      </c>
      <c r="W585" t="s">
        <v>1600</v>
      </c>
    </row>
    <row r="586" spans="1:23" ht="15" customHeight="1" x14ac:dyDescent="0.3">
      <c r="A586" t="s">
        <v>8</v>
      </c>
      <c r="B586">
        <v>308</v>
      </c>
      <c r="C586" t="s">
        <v>384</v>
      </c>
      <c r="D586" t="s">
        <v>385</v>
      </c>
      <c r="E586" t="s">
        <v>386</v>
      </c>
      <c r="F586" t="s">
        <v>387</v>
      </c>
      <c r="G586" t="s">
        <v>36</v>
      </c>
      <c r="H586" t="s">
        <v>57</v>
      </c>
      <c r="I586" t="s">
        <v>385</v>
      </c>
      <c r="J586" t="s">
        <v>1601</v>
      </c>
      <c r="K586" s="21" t="s">
        <v>1602</v>
      </c>
      <c r="L586" s="21" t="s">
        <v>390</v>
      </c>
      <c r="M586" t="s">
        <v>391</v>
      </c>
      <c r="N586" t="s">
        <v>392</v>
      </c>
      <c r="R586" t="s">
        <v>1596</v>
      </c>
      <c r="S586" t="s">
        <v>1601</v>
      </c>
      <c r="T586" t="s">
        <v>45</v>
      </c>
      <c r="U586" t="s">
        <v>1428</v>
      </c>
      <c r="V586" t="s">
        <v>1603</v>
      </c>
      <c r="W586" t="s">
        <v>1604</v>
      </c>
    </row>
    <row r="587" spans="1:23" ht="15" customHeight="1" x14ac:dyDescent="0.3">
      <c r="A587" t="s">
        <v>8</v>
      </c>
      <c r="B587">
        <v>308</v>
      </c>
      <c r="C587" t="s">
        <v>384</v>
      </c>
      <c r="D587" t="s">
        <v>385</v>
      </c>
      <c r="E587" t="s">
        <v>386</v>
      </c>
      <c r="F587" t="s">
        <v>387</v>
      </c>
      <c r="G587" t="s">
        <v>36</v>
      </c>
      <c r="H587" t="s">
        <v>49</v>
      </c>
      <c r="I587" t="s">
        <v>385</v>
      </c>
      <c r="J587" t="s">
        <v>1605</v>
      </c>
      <c r="K587" s="21" t="s">
        <v>1606</v>
      </c>
      <c r="L587" s="21" t="s">
        <v>390</v>
      </c>
      <c r="M587" t="s">
        <v>391</v>
      </c>
      <c r="N587" t="s">
        <v>392</v>
      </c>
      <c r="R587" t="s">
        <v>1596</v>
      </c>
      <c r="S587" t="s">
        <v>1605</v>
      </c>
      <c r="T587" t="s">
        <v>45</v>
      </c>
      <c r="U587" t="s">
        <v>1437</v>
      </c>
      <c r="V587" t="s">
        <v>1607</v>
      </c>
      <c r="W587" t="s">
        <v>1608</v>
      </c>
    </row>
    <row r="588" spans="1:23" ht="15" customHeight="1" x14ac:dyDescent="0.3">
      <c r="A588" t="s">
        <v>8</v>
      </c>
      <c r="B588">
        <v>308</v>
      </c>
      <c r="C588" t="s">
        <v>384</v>
      </c>
      <c r="D588" t="s">
        <v>385</v>
      </c>
      <c r="E588" t="s">
        <v>386</v>
      </c>
      <c r="F588" t="s">
        <v>387</v>
      </c>
      <c r="G588" t="s">
        <v>36</v>
      </c>
      <c r="H588" t="s">
        <v>87</v>
      </c>
      <c r="I588" t="s">
        <v>385</v>
      </c>
      <c r="J588" t="s">
        <v>1609</v>
      </c>
      <c r="K588" s="21" t="s">
        <v>1610</v>
      </c>
      <c r="L588" s="21" t="s">
        <v>390</v>
      </c>
      <c r="M588" t="s">
        <v>391</v>
      </c>
      <c r="N588" t="s">
        <v>392</v>
      </c>
      <c r="R588" t="s">
        <v>1596</v>
      </c>
      <c r="S588" t="s">
        <v>1609</v>
      </c>
      <c r="T588" t="s">
        <v>1544</v>
      </c>
      <c r="U588" t="s">
        <v>1611</v>
      </c>
      <c r="V588" t="s">
        <v>1603</v>
      </c>
      <c r="W588" t="s">
        <v>1612</v>
      </c>
    </row>
    <row r="589" spans="1:23" ht="15" customHeight="1" x14ac:dyDescent="0.3">
      <c r="A589" t="s">
        <v>8</v>
      </c>
      <c r="B589">
        <v>308</v>
      </c>
      <c r="C589" t="s">
        <v>384</v>
      </c>
      <c r="D589" t="s">
        <v>385</v>
      </c>
      <c r="E589" t="s">
        <v>386</v>
      </c>
      <c r="F589" t="s">
        <v>387</v>
      </c>
      <c r="G589" t="s">
        <v>36</v>
      </c>
      <c r="H589" t="s">
        <v>421</v>
      </c>
      <c r="I589" t="s">
        <v>385</v>
      </c>
      <c r="J589" t="s">
        <v>1613</v>
      </c>
      <c r="K589" s="21" t="s">
        <v>1614</v>
      </c>
      <c r="L589" s="21" t="s">
        <v>390</v>
      </c>
      <c r="M589" t="s">
        <v>391</v>
      </c>
      <c r="N589" t="s">
        <v>392</v>
      </c>
      <c r="R589" t="s">
        <v>1596</v>
      </c>
      <c r="S589" t="s">
        <v>1613</v>
      </c>
      <c r="T589" t="s">
        <v>1544</v>
      </c>
      <c r="U589" t="s">
        <v>1511</v>
      </c>
      <c r="V589" t="s">
        <v>1603</v>
      </c>
      <c r="W589" t="s">
        <v>1615</v>
      </c>
    </row>
    <row r="590" spans="1:23" ht="15" customHeight="1" x14ac:dyDescent="0.3">
      <c r="A590" t="s">
        <v>8</v>
      </c>
      <c r="B590">
        <v>308</v>
      </c>
      <c r="C590" t="s">
        <v>384</v>
      </c>
      <c r="D590" t="s">
        <v>385</v>
      </c>
      <c r="E590" t="s">
        <v>386</v>
      </c>
      <c r="F590" t="s">
        <v>387</v>
      </c>
      <c r="G590" t="s">
        <v>36</v>
      </c>
      <c r="H590" t="s">
        <v>182</v>
      </c>
      <c r="I590" t="s">
        <v>385</v>
      </c>
      <c r="J590" t="s">
        <v>1616</v>
      </c>
      <c r="K590" s="21" t="s">
        <v>1617</v>
      </c>
      <c r="L590" s="21" t="s">
        <v>390</v>
      </c>
      <c r="M590" t="s">
        <v>391</v>
      </c>
      <c r="N590" t="s">
        <v>392</v>
      </c>
      <c r="R590" t="s">
        <v>1596</v>
      </c>
      <c r="S590" t="s">
        <v>1616</v>
      </c>
      <c r="T590" t="s">
        <v>1249</v>
      </c>
      <c r="U590" t="s">
        <v>1473</v>
      </c>
      <c r="V590" t="s">
        <v>1603</v>
      </c>
      <c r="W590" t="s">
        <v>1618</v>
      </c>
    </row>
    <row r="591" spans="1:23" ht="15" customHeight="1" x14ac:dyDescent="0.3">
      <c r="A591" t="s">
        <v>8</v>
      </c>
      <c r="B591">
        <v>308</v>
      </c>
      <c r="C591" t="s">
        <v>384</v>
      </c>
      <c r="D591" t="s">
        <v>385</v>
      </c>
      <c r="E591" t="s">
        <v>386</v>
      </c>
      <c r="F591" t="s">
        <v>387</v>
      </c>
      <c r="G591" t="s">
        <v>36</v>
      </c>
      <c r="H591" t="s">
        <v>1242</v>
      </c>
      <c r="I591" t="s">
        <v>385</v>
      </c>
      <c r="J591" t="s">
        <v>1619</v>
      </c>
      <c r="K591" s="21" t="s">
        <v>1620</v>
      </c>
      <c r="L591" s="21" t="s">
        <v>390</v>
      </c>
      <c r="M591" t="s">
        <v>391</v>
      </c>
      <c r="N591" t="s">
        <v>392</v>
      </c>
      <c r="R591" t="s">
        <v>1596</v>
      </c>
      <c r="S591" t="s">
        <v>1619</v>
      </c>
      <c r="T591" t="s">
        <v>1249</v>
      </c>
      <c r="U591" t="s">
        <v>1621</v>
      </c>
      <c r="V591" t="s">
        <v>1603</v>
      </c>
      <c r="W591" t="s">
        <v>1618</v>
      </c>
    </row>
    <row r="592" spans="1:23" ht="15" customHeight="1" x14ac:dyDescent="0.3">
      <c r="A592" t="s">
        <v>8</v>
      </c>
      <c r="B592">
        <v>308</v>
      </c>
      <c r="C592" t="s">
        <v>384</v>
      </c>
      <c r="D592" t="s">
        <v>385</v>
      </c>
      <c r="E592" t="s">
        <v>386</v>
      </c>
      <c r="F592" t="s">
        <v>387</v>
      </c>
      <c r="G592" t="s">
        <v>36</v>
      </c>
      <c r="H592" t="s">
        <v>425</v>
      </c>
      <c r="I592" t="s">
        <v>385</v>
      </c>
      <c r="J592" t="s">
        <v>1622</v>
      </c>
      <c r="K592" s="21" t="s">
        <v>1623</v>
      </c>
      <c r="L592" s="21" t="s">
        <v>390</v>
      </c>
      <c r="M592" t="s">
        <v>391</v>
      </c>
      <c r="N592" t="s">
        <v>392</v>
      </c>
      <c r="R592" t="s">
        <v>1596</v>
      </c>
      <c r="S592" t="s">
        <v>1622</v>
      </c>
      <c r="T592" t="s">
        <v>1249</v>
      </c>
      <c r="U592" t="s">
        <v>1624</v>
      </c>
      <c r="V592" t="s">
        <v>1603</v>
      </c>
      <c r="W592" t="s">
        <v>1618</v>
      </c>
    </row>
    <row r="593" spans="1:23" ht="15" customHeight="1" x14ac:dyDescent="0.3">
      <c r="A593" t="s">
        <v>8</v>
      </c>
      <c r="B593">
        <v>308</v>
      </c>
      <c r="C593" t="s">
        <v>384</v>
      </c>
      <c r="D593" t="s">
        <v>385</v>
      </c>
      <c r="E593" t="s">
        <v>386</v>
      </c>
      <c r="F593" t="s">
        <v>387</v>
      </c>
      <c r="G593" t="s">
        <v>36</v>
      </c>
      <c r="H593" t="s">
        <v>996</v>
      </c>
      <c r="I593" t="s">
        <v>385</v>
      </c>
      <c r="J593" t="s">
        <v>1625</v>
      </c>
      <c r="K593" s="21" t="s">
        <v>1626</v>
      </c>
      <c r="L593" s="21" t="s">
        <v>390</v>
      </c>
      <c r="M593" t="s">
        <v>391</v>
      </c>
      <c r="N593" t="s">
        <v>392</v>
      </c>
      <c r="R593" t="s">
        <v>1596</v>
      </c>
      <c r="S593" t="s">
        <v>1625</v>
      </c>
      <c r="T593" t="s">
        <v>1290</v>
      </c>
      <c r="U593" t="s">
        <v>1296</v>
      </c>
      <c r="V593" t="s">
        <v>1627</v>
      </c>
      <c r="W593" t="s">
        <v>1628</v>
      </c>
    </row>
    <row r="594" spans="1:23" ht="15" customHeight="1" x14ac:dyDescent="0.3">
      <c r="A594" t="s">
        <v>8</v>
      </c>
      <c r="B594">
        <v>296</v>
      </c>
      <c r="C594" t="s">
        <v>397</v>
      </c>
      <c r="D594" t="s">
        <v>398</v>
      </c>
      <c r="E594" t="s">
        <v>399</v>
      </c>
      <c r="F594" t="s">
        <v>400</v>
      </c>
      <c r="G594" t="s">
        <v>36</v>
      </c>
      <c r="H594" t="s">
        <v>37</v>
      </c>
      <c r="I594" t="s">
        <v>398</v>
      </c>
      <c r="J594" t="s">
        <v>401</v>
      </c>
      <c r="K594" t="s">
        <v>402</v>
      </c>
      <c r="L594" s="21" t="s">
        <v>403</v>
      </c>
      <c r="M594" t="s">
        <v>404</v>
      </c>
      <c r="N594" t="s">
        <v>405</v>
      </c>
      <c r="R594" t="s">
        <v>407</v>
      </c>
      <c r="S594" t="s">
        <v>401</v>
      </c>
      <c r="T594" t="s">
        <v>45</v>
      </c>
      <c r="U594" t="s">
        <v>46</v>
      </c>
      <c r="V594" t="s">
        <v>408</v>
      </c>
      <c r="W594" t="s">
        <v>409</v>
      </c>
    </row>
    <row r="595" spans="1:23" ht="15" customHeight="1" x14ac:dyDescent="0.3">
      <c r="A595" t="s">
        <v>8</v>
      </c>
      <c r="B595">
        <v>296</v>
      </c>
      <c r="C595" t="s">
        <v>397</v>
      </c>
      <c r="D595" t="s">
        <v>398</v>
      </c>
      <c r="E595" t="s">
        <v>399</v>
      </c>
      <c r="F595" t="s">
        <v>400</v>
      </c>
      <c r="G595" t="s">
        <v>36</v>
      </c>
      <c r="H595" t="s">
        <v>52</v>
      </c>
      <c r="I595" t="s">
        <v>398</v>
      </c>
      <c r="J595" t="s">
        <v>410</v>
      </c>
      <c r="K595" s="21" t="s">
        <v>411</v>
      </c>
      <c r="L595" s="21" t="s">
        <v>403</v>
      </c>
      <c r="M595" t="s">
        <v>404</v>
      </c>
      <c r="N595" t="s">
        <v>405</v>
      </c>
      <c r="R595" t="s">
        <v>407</v>
      </c>
      <c r="S595" t="s">
        <v>410</v>
      </c>
      <c r="T595" t="s">
        <v>45</v>
      </c>
      <c r="U595" t="s">
        <v>46</v>
      </c>
      <c r="V595" t="s">
        <v>412</v>
      </c>
      <c r="W595" t="s">
        <v>413</v>
      </c>
    </row>
    <row r="596" spans="1:23" ht="15" customHeight="1" x14ac:dyDescent="0.3">
      <c r="A596" t="s">
        <v>8</v>
      </c>
      <c r="B596">
        <v>296</v>
      </c>
      <c r="C596" t="s">
        <v>397</v>
      </c>
      <c r="D596" t="s">
        <v>398</v>
      </c>
      <c r="E596" t="s">
        <v>399</v>
      </c>
      <c r="F596" t="s">
        <v>400</v>
      </c>
      <c r="G596" t="s">
        <v>36</v>
      </c>
      <c r="H596" t="s">
        <v>57</v>
      </c>
      <c r="I596" t="s">
        <v>398</v>
      </c>
      <c r="J596" t="s">
        <v>414</v>
      </c>
      <c r="K596" s="21" t="s">
        <v>415</v>
      </c>
      <c r="L596" s="21" t="s">
        <v>403</v>
      </c>
      <c r="M596" t="s">
        <v>404</v>
      </c>
      <c r="N596" t="s">
        <v>405</v>
      </c>
      <c r="R596" t="s">
        <v>407</v>
      </c>
      <c r="S596" t="s">
        <v>414</v>
      </c>
      <c r="T596" t="s">
        <v>45</v>
      </c>
      <c r="U596" t="s">
        <v>46</v>
      </c>
      <c r="V596" t="s">
        <v>416</v>
      </c>
      <c r="W596" t="s">
        <v>417</v>
      </c>
    </row>
    <row r="597" spans="1:23" ht="15" customHeight="1" x14ac:dyDescent="0.3">
      <c r="A597" t="s">
        <v>8</v>
      </c>
      <c r="B597">
        <v>296</v>
      </c>
      <c r="C597" t="s">
        <v>397</v>
      </c>
      <c r="D597" t="s">
        <v>398</v>
      </c>
      <c r="E597" t="s">
        <v>399</v>
      </c>
      <c r="F597" t="s">
        <v>400</v>
      </c>
      <c r="G597" t="s">
        <v>36</v>
      </c>
      <c r="H597" t="s">
        <v>49</v>
      </c>
      <c r="I597" t="s">
        <v>398</v>
      </c>
      <c r="J597" t="s">
        <v>418</v>
      </c>
      <c r="K597" s="21" t="s">
        <v>419</v>
      </c>
      <c r="L597" s="21" t="s">
        <v>403</v>
      </c>
      <c r="M597" t="s">
        <v>404</v>
      </c>
      <c r="N597" t="s">
        <v>405</v>
      </c>
      <c r="R597" t="s">
        <v>407</v>
      </c>
      <c r="S597" t="s">
        <v>418</v>
      </c>
      <c r="T597" t="s">
        <v>45</v>
      </c>
      <c r="U597" t="s">
        <v>90</v>
      </c>
      <c r="V597" t="s">
        <v>416</v>
      </c>
      <c r="W597" t="s">
        <v>420</v>
      </c>
    </row>
    <row r="598" spans="1:23" ht="15" customHeight="1" x14ac:dyDescent="0.3">
      <c r="A598" t="s">
        <v>8</v>
      </c>
      <c r="B598">
        <v>296</v>
      </c>
      <c r="C598" t="s">
        <v>397</v>
      </c>
      <c r="D598" t="s">
        <v>398</v>
      </c>
      <c r="E598" t="s">
        <v>399</v>
      </c>
      <c r="F598" t="s">
        <v>400</v>
      </c>
      <c r="G598" t="s">
        <v>36</v>
      </c>
      <c r="H598" t="s">
        <v>87</v>
      </c>
      <c r="I598" t="s">
        <v>398</v>
      </c>
      <c r="J598" t="s">
        <v>1629</v>
      </c>
      <c r="K598" s="21" t="s">
        <v>1630</v>
      </c>
      <c r="L598" s="21" t="s">
        <v>403</v>
      </c>
      <c r="M598" t="s">
        <v>404</v>
      </c>
      <c r="N598" t="s">
        <v>405</v>
      </c>
      <c r="R598" t="s">
        <v>407</v>
      </c>
      <c r="S598" t="s">
        <v>1629</v>
      </c>
      <c r="T598" t="s">
        <v>45</v>
      </c>
      <c r="U598" t="s">
        <v>1428</v>
      </c>
      <c r="V598" t="s">
        <v>416</v>
      </c>
      <c r="W598" t="s">
        <v>1631</v>
      </c>
    </row>
    <row r="599" spans="1:23" ht="15" customHeight="1" x14ac:dyDescent="0.3">
      <c r="A599" t="s">
        <v>8</v>
      </c>
      <c r="B599">
        <v>296</v>
      </c>
      <c r="C599" t="s">
        <v>397</v>
      </c>
      <c r="D599" t="s">
        <v>398</v>
      </c>
      <c r="E599" t="s">
        <v>399</v>
      </c>
      <c r="F599" t="s">
        <v>400</v>
      </c>
      <c r="G599" t="s">
        <v>36</v>
      </c>
      <c r="H599" t="s">
        <v>421</v>
      </c>
      <c r="I599" t="s">
        <v>398</v>
      </c>
      <c r="J599" t="s">
        <v>422</v>
      </c>
      <c r="K599" s="21" t="s">
        <v>423</v>
      </c>
      <c r="L599" s="21" t="s">
        <v>403</v>
      </c>
      <c r="M599" t="s">
        <v>404</v>
      </c>
      <c r="N599" t="s">
        <v>405</v>
      </c>
      <c r="R599" t="s">
        <v>407</v>
      </c>
      <c r="S599" t="s">
        <v>422</v>
      </c>
      <c r="T599" t="s">
        <v>45</v>
      </c>
      <c r="U599" t="s">
        <v>90</v>
      </c>
      <c r="V599" t="s">
        <v>408</v>
      </c>
      <c r="W599" t="s">
        <v>424</v>
      </c>
    </row>
    <row r="600" spans="1:23" ht="15" customHeight="1" x14ac:dyDescent="0.3">
      <c r="A600" t="s">
        <v>8</v>
      </c>
      <c r="B600">
        <v>296</v>
      </c>
      <c r="C600" t="s">
        <v>397</v>
      </c>
      <c r="D600" t="s">
        <v>398</v>
      </c>
      <c r="E600" t="s">
        <v>399</v>
      </c>
      <c r="F600" t="s">
        <v>400</v>
      </c>
      <c r="G600" t="s">
        <v>36</v>
      </c>
      <c r="H600" t="s">
        <v>182</v>
      </c>
      <c r="I600" t="s">
        <v>398</v>
      </c>
      <c r="J600" t="s">
        <v>1632</v>
      </c>
      <c r="K600" s="21" t="s">
        <v>1633</v>
      </c>
      <c r="L600" s="21" t="s">
        <v>403</v>
      </c>
      <c r="M600" t="s">
        <v>404</v>
      </c>
      <c r="N600" t="s">
        <v>405</v>
      </c>
      <c r="R600" t="s">
        <v>407</v>
      </c>
      <c r="S600" t="s">
        <v>1632</v>
      </c>
      <c r="T600" t="s">
        <v>45</v>
      </c>
      <c r="U600" t="s">
        <v>1428</v>
      </c>
      <c r="V600" t="s">
        <v>408</v>
      </c>
      <c r="W600" t="s">
        <v>1634</v>
      </c>
    </row>
    <row r="601" spans="1:23" ht="15" customHeight="1" x14ac:dyDescent="0.3">
      <c r="A601" t="s">
        <v>8</v>
      </c>
      <c r="B601">
        <v>296</v>
      </c>
      <c r="C601" t="s">
        <v>397</v>
      </c>
      <c r="D601" t="s">
        <v>398</v>
      </c>
      <c r="E601" t="s">
        <v>399</v>
      </c>
      <c r="F601" t="s">
        <v>400</v>
      </c>
      <c r="G601" t="s">
        <v>36</v>
      </c>
      <c r="H601" t="s">
        <v>1242</v>
      </c>
      <c r="I601" t="s">
        <v>398</v>
      </c>
      <c r="J601" t="s">
        <v>1635</v>
      </c>
      <c r="K601" s="21" t="s">
        <v>1636</v>
      </c>
      <c r="L601" s="21" t="s">
        <v>403</v>
      </c>
      <c r="M601" t="s">
        <v>404</v>
      </c>
      <c r="N601" t="s">
        <v>405</v>
      </c>
      <c r="R601" t="s">
        <v>407</v>
      </c>
      <c r="S601" t="s">
        <v>1635</v>
      </c>
      <c r="T601" t="s">
        <v>45</v>
      </c>
      <c r="U601" t="s">
        <v>1420</v>
      </c>
      <c r="V601" t="s">
        <v>408</v>
      </c>
      <c r="W601" t="s">
        <v>1637</v>
      </c>
    </row>
    <row r="602" spans="1:23" ht="15" customHeight="1" x14ac:dyDescent="0.3">
      <c r="A602" t="s">
        <v>8</v>
      </c>
      <c r="B602">
        <v>296</v>
      </c>
      <c r="C602" t="s">
        <v>397</v>
      </c>
      <c r="D602" t="s">
        <v>398</v>
      </c>
      <c r="E602" t="s">
        <v>399</v>
      </c>
      <c r="F602" t="s">
        <v>400</v>
      </c>
      <c r="G602" t="s">
        <v>36</v>
      </c>
      <c r="H602" t="s">
        <v>425</v>
      </c>
      <c r="I602" t="s">
        <v>398</v>
      </c>
      <c r="J602" t="s">
        <v>426</v>
      </c>
      <c r="K602" s="21" t="s">
        <v>427</v>
      </c>
      <c r="L602" s="21" t="s">
        <v>403</v>
      </c>
      <c r="M602" t="s">
        <v>404</v>
      </c>
      <c r="N602" t="s">
        <v>405</v>
      </c>
      <c r="R602" t="s">
        <v>407</v>
      </c>
      <c r="S602" t="s">
        <v>426</v>
      </c>
      <c r="T602" t="s">
        <v>45</v>
      </c>
      <c r="U602" t="s">
        <v>90</v>
      </c>
      <c r="V602" t="s">
        <v>412</v>
      </c>
      <c r="W602" t="s">
        <v>428</v>
      </c>
    </row>
    <row r="603" spans="1:23" ht="15" customHeight="1" x14ac:dyDescent="0.3">
      <c r="A603" t="s">
        <v>8</v>
      </c>
      <c r="B603">
        <v>296</v>
      </c>
      <c r="C603" t="s">
        <v>397</v>
      </c>
      <c r="D603" t="s">
        <v>398</v>
      </c>
      <c r="E603" t="s">
        <v>399</v>
      </c>
      <c r="F603" t="s">
        <v>400</v>
      </c>
      <c r="G603" t="s">
        <v>36</v>
      </c>
      <c r="H603" t="s">
        <v>996</v>
      </c>
      <c r="I603" t="s">
        <v>398</v>
      </c>
      <c r="J603" t="s">
        <v>1638</v>
      </c>
      <c r="K603" s="21" t="s">
        <v>1639</v>
      </c>
      <c r="L603" s="21" t="s">
        <v>403</v>
      </c>
      <c r="M603" t="s">
        <v>404</v>
      </c>
      <c r="N603" t="s">
        <v>405</v>
      </c>
      <c r="R603" t="s">
        <v>407</v>
      </c>
      <c r="S603" t="s">
        <v>1638</v>
      </c>
      <c r="T603" t="s">
        <v>45</v>
      </c>
      <c r="U603" t="s">
        <v>1428</v>
      </c>
      <c r="V603" t="s">
        <v>412</v>
      </c>
      <c r="W603" t="s">
        <v>1640</v>
      </c>
    </row>
    <row r="604" spans="1:23" ht="15" customHeight="1" x14ac:dyDescent="0.3">
      <c r="A604" t="s">
        <v>8</v>
      </c>
      <c r="B604">
        <v>296</v>
      </c>
      <c r="C604" t="s">
        <v>397</v>
      </c>
      <c r="D604" t="s">
        <v>398</v>
      </c>
      <c r="E604" t="s">
        <v>399</v>
      </c>
      <c r="F604" t="s">
        <v>400</v>
      </c>
      <c r="G604" t="s">
        <v>36</v>
      </c>
      <c r="H604" t="s">
        <v>1000</v>
      </c>
      <c r="I604" t="s">
        <v>398</v>
      </c>
      <c r="J604" t="s">
        <v>1641</v>
      </c>
      <c r="K604" s="21" t="s">
        <v>1642</v>
      </c>
      <c r="L604" s="21" t="s">
        <v>403</v>
      </c>
      <c r="M604" t="s">
        <v>404</v>
      </c>
      <c r="N604" t="s">
        <v>405</v>
      </c>
      <c r="R604" t="s">
        <v>407</v>
      </c>
      <c r="S604" t="s">
        <v>1641</v>
      </c>
      <c r="T604" t="s">
        <v>45</v>
      </c>
      <c r="U604" t="s">
        <v>1416</v>
      </c>
      <c r="V604" t="s">
        <v>1643</v>
      </c>
      <c r="W604" t="s">
        <v>1644</v>
      </c>
    </row>
    <row r="605" spans="1:23" ht="15" customHeight="1" x14ac:dyDescent="0.3">
      <c r="A605" t="s">
        <v>8</v>
      </c>
      <c r="B605">
        <v>296</v>
      </c>
      <c r="C605" t="s">
        <v>397</v>
      </c>
      <c r="D605" t="s">
        <v>398</v>
      </c>
      <c r="E605" t="s">
        <v>399</v>
      </c>
      <c r="F605" t="s">
        <v>400</v>
      </c>
      <c r="G605" t="s">
        <v>36</v>
      </c>
      <c r="H605" t="s">
        <v>1272</v>
      </c>
      <c r="I605" t="s">
        <v>398</v>
      </c>
      <c r="J605" t="s">
        <v>1645</v>
      </c>
      <c r="K605" s="21" t="s">
        <v>1646</v>
      </c>
      <c r="L605" s="21" t="s">
        <v>403</v>
      </c>
      <c r="M605" t="s">
        <v>404</v>
      </c>
      <c r="N605" t="s">
        <v>405</v>
      </c>
      <c r="R605" t="s">
        <v>407</v>
      </c>
      <c r="S605" t="s">
        <v>1645</v>
      </c>
      <c r="T605" t="s">
        <v>45</v>
      </c>
      <c r="U605" t="s">
        <v>1416</v>
      </c>
      <c r="V605" t="s">
        <v>1643</v>
      </c>
      <c r="W605" t="s">
        <v>1647</v>
      </c>
    </row>
    <row r="606" spans="1:23" ht="15" customHeight="1" x14ac:dyDescent="0.3">
      <c r="A606" t="s">
        <v>8</v>
      </c>
      <c r="B606">
        <v>296</v>
      </c>
      <c r="C606" t="s">
        <v>397</v>
      </c>
      <c r="D606" t="s">
        <v>398</v>
      </c>
      <c r="E606" t="s">
        <v>399</v>
      </c>
      <c r="F606" t="s">
        <v>400</v>
      </c>
      <c r="G606" t="s">
        <v>36</v>
      </c>
      <c r="H606" t="s">
        <v>1276</v>
      </c>
      <c r="I606" t="s">
        <v>398</v>
      </c>
      <c r="J606" t="s">
        <v>1648</v>
      </c>
      <c r="K606" s="21" t="s">
        <v>1649</v>
      </c>
      <c r="L606" s="21" t="s">
        <v>403</v>
      </c>
      <c r="M606" t="s">
        <v>404</v>
      </c>
      <c r="N606" t="s">
        <v>405</v>
      </c>
      <c r="R606" t="s">
        <v>407</v>
      </c>
      <c r="S606" t="s">
        <v>1648</v>
      </c>
      <c r="T606" t="s">
        <v>45</v>
      </c>
      <c r="U606" t="s">
        <v>1416</v>
      </c>
      <c r="V606" t="s">
        <v>1650</v>
      </c>
      <c r="W606" t="s">
        <v>1651</v>
      </c>
    </row>
    <row r="607" spans="1:23" ht="15" customHeight="1" x14ac:dyDescent="0.3">
      <c r="A607" t="s">
        <v>8</v>
      </c>
      <c r="B607">
        <v>296</v>
      </c>
      <c r="C607" t="s">
        <v>397</v>
      </c>
      <c r="D607" t="s">
        <v>398</v>
      </c>
      <c r="E607" t="s">
        <v>399</v>
      </c>
      <c r="F607" t="s">
        <v>400</v>
      </c>
      <c r="G607" t="s">
        <v>36</v>
      </c>
      <c r="H607" t="s">
        <v>1279</v>
      </c>
      <c r="I607" t="s">
        <v>398</v>
      </c>
      <c r="J607" t="s">
        <v>1652</v>
      </c>
      <c r="K607" s="21" t="s">
        <v>1653</v>
      </c>
      <c r="L607" s="21" t="s">
        <v>403</v>
      </c>
      <c r="M607" t="s">
        <v>404</v>
      </c>
      <c r="N607" t="s">
        <v>405</v>
      </c>
      <c r="R607" t="s">
        <v>407</v>
      </c>
      <c r="S607" t="s">
        <v>1652</v>
      </c>
      <c r="T607" t="s">
        <v>45</v>
      </c>
      <c r="U607" t="s">
        <v>1416</v>
      </c>
      <c r="V607" t="s">
        <v>1654</v>
      </c>
      <c r="W607" t="s">
        <v>1655</v>
      </c>
    </row>
    <row r="608" spans="1:23" ht="15" customHeight="1" x14ac:dyDescent="0.3">
      <c r="A608" t="s">
        <v>8</v>
      </c>
      <c r="B608">
        <v>296</v>
      </c>
      <c r="C608" t="s">
        <v>397</v>
      </c>
      <c r="D608" t="s">
        <v>398</v>
      </c>
      <c r="E608" t="s">
        <v>399</v>
      </c>
      <c r="F608" t="s">
        <v>400</v>
      </c>
      <c r="G608" t="s">
        <v>36</v>
      </c>
      <c r="H608" t="s">
        <v>1283</v>
      </c>
      <c r="I608" t="s">
        <v>398</v>
      </c>
      <c r="J608" t="s">
        <v>1656</v>
      </c>
      <c r="K608" s="21" t="s">
        <v>1657</v>
      </c>
      <c r="L608" s="21" t="s">
        <v>403</v>
      </c>
      <c r="M608" t="s">
        <v>404</v>
      </c>
      <c r="N608" t="s">
        <v>405</v>
      </c>
      <c r="R608" t="s">
        <v>407</v>
      </c>
      <c r="S608" t="s">
        <v>1656</v>
      </c>
      <c r="T608" t="s">
        <v>1290</v>
      </c>
      <c r="U608" t="s">
        <v>1291</v>
      </c>
      <c r="V608" t="s">
        <v>1658</v>
      </c>
      <c r="W608" t="s">
        <v>1659</v>
      </c>
    </row>
    <row r="609" spans="1:23" ht="15" customHeight="1" x14ac:dyDescent="0.3">
      <c r="A609" t="s">
        <v>8</v>
      </c>
      <c r="B609">
        <v>298</v>
      </c>
      <c r="C609" t="s">
        <v>397</v>
      </c>
      <c r="D609" t="s">
        <v>1660</v>
      </c>
      <c r="E609" t="s">
        <v>34</v>
      </c>
      <c r="F609" t="s">
        <v>1661</v>
      </c>
      <c r="G609" t="s">
        <v>440</v>
      </c>
      <c r="H609" t="s">
        <v>1660</v>
      </c>
      <c r="I609" t="s">
        <v>1660</v>
      </c>
      <c r="J609" t="s">
        <v>1662</v>
      </c>
      <c r="K609" t="s">
        <v>1663</v>
      </c>
      <c r="L609" t="s">
        <v>1663</v>
      </c>
      <c r="M609" t="s">
        <v>1664</v>
      </c>
      <c r="N609" t="s">
        <v>42</v>
      </c>
      <c r="R609" t="s">
        <v>1665</v>
      </c>
      <c r="S609" t="s">
        <v>1662</v>
      </c>
      <c r="T609" t="s">
        <v>45</v>
      </c>
      <c r="U609" t="s">
        <v>1555</v>
      </c>
      <c r="V609" t="s">
        <v>1666</v>
      </c>
      <c r="W609" t="s">
        <v>1667</v>
      </c>
    </row>
    <row r="610" spans="1:23" ht="15" customHeight="1" x14ac:dyDescent="0.3">
      <c r="A610" t="s">
        <v>8</v>
      </c>
      <c r="B610">
        <v>300</v>
      </c>
      <c r="C610" t="s">
        <v>397</v>
      </c>
      <c r="D610" t="s">
        <v>429</v>
      </c>
      <c r="E610" t="s">
        <v>34</v>
      </c>
      <c r="F610" t="s">
        <v>430</v>
      </c>
      <c r="G610" t="s">
        <v>36</v>
      </c>
      <c r="H610" t="s">
        <v>429</v>
      </c>
      <c r="I610" t="s">
        <v>429</v>
      </c>
      <c r="J610" t="s">
        <v>431</v>
      </c>
      <c r="K610" t="s">
        <v>432</v>
      </c>
      <c r="L610" t="s">
        <v>432</v>
      </c>
      <c r="M610" t="s">
        <v>433</v>
      </c>
      <c r="N610" t="s">
        <v>42</v>
      </c>
      <c r="R610" t="s">
        <v>435</v>
      </c>
      <c r="S610" t="s">
        <v>431</v>
      </c>
      <c r="T610" t="s">
        <v>45</v>
      </c>
      <c r="U610" t="s">
        <v>90</v>
      </c>
      <c r="V610" t="s">
        <v>436</v>
      </c>
      <c r="W610" t="s">
        <v>437</v>
      </c>
    </row>
    <row r="611" spans="1:23" ht="15" customHeight="1" x14ac:dyDescent="0.3">
      <c r="A611" t="s">
        <v>8</v>
      </c>
      <c r="B611">
        <v>304</v>
      </c>
      <c r="C611" t="s">
        <v>397</v>
      </c>
      <c r="D611" t="s">
        <v>438</v>
      </c>
      <c r="E611" t="s">
        <v>34</v>
      </c>
      <c r="F611" t="s">
        <v>439</v>
      </c>
      <c r="G611" t="s">
        <v>440</v>
      </c>
      <c r="H611" t="s">
        <v>37</v>
      </c>
      <c r="I611" t="s">
        <v>438</v>
      </c>
      <c r="J611" t="s">
        <v>441</v>
      </c>
      <c r="K611" t="s">
        <v>442</v>
      </c>
      <c r="L611" s="21" t="s">
        <v>443</v>
      </c>
      <c r="M611" t="s">
        <v>375</v>
      </c>
      <c r="N611" t="s">
        <v>159</v>
      </c>
      <c r="R611" t="s">
        <v>445</v>
      </c>
      <c r="S611" t="s">
        <v>441</v>
      </c>
      <c r="T611" t="s">
        <v>45</v>
      </c>
      <c r="U611" t="s">
        <v>46</v>
      </c>
      <c r="V611" t="s">
        <v>446</v>
      </c>
      <c r="W611" t="s">
        <v>447</v>
      </c>
    </row>
    <row r="612" spans="1:23" ht="15" customHeight="1" x14ac:dyDescent="0.3">
      <c r="A612" t="s">
        <v>8</v>
      </c>
      <c r="B612">
        <v>304</v>
      </c>
      <c r="C612" t="s">
        <v>397</v>
      </c>
      <c r="D612" t="s">
        <v>438</v>
      </c>
      <c r="E612" t="s">
        <v>34</v>
      </c>
      <c r="F612" t="s">
        <v>439</v>
      </c>
      <c r="G612" t="s">
        <v>440</v>
      </c>
      <c r="H612" t="s">
        <v>52</v>
      </c>
      <c r="I612" t="s">
        <v>438</v>
      </c>
      <c r="J612" t="s">
        <v>1668</v>
      </c>
      <c r="K612" s="21" t="s">
        <v>1669</v>
      </c>
      <c r="L612" s="21" t="s">
        <v>443</v>
      </c>
      <c r="M612" t="s">
        <v>375</v>
      </c>
      <c r="N612" t="s">
        <v>159</v>
      </c>
      <c r="R612" t="s">
        <v>445</v>
      </c>
      <c r="S612" t="s">
        <v>1668</v>
      </c>
      <c r="T612" t="s">
        <v>45</v>
      </c>
      <c r="U612" t="s">
        <v>1486</v>
      </c>
      <c r="V612" t="s">
        <v>446</v>
      </c>
      <c r="W612" t="s">
        <v>1670</v>
      </c>
    </row>
    <row r="613" spans="1:23" ht="15" customHeight="1" x14ac:dyDescent="0.3">
      <c r="A613" t="s">
        <v>8</v>
      </c>
      <c r="B613">
        <v>304</v>
      </c>
      <c r="C613" t="s">
        <v>397</v>
      </c>
      <c r="D613" t="s">
        <v>438</v>
      </c>
      <c r="E613" t="s">
        <v>34</v>
      </c>
      <c r="F613" t="s">
        <v>439</v>
      </c>
      <c r="G613" t="s">
        <v>440</v>
      </c>
      <c r="H613" t="s">
        <v>57</v>
      </c>
      <c r="I613" t="s">
        <v>438</v>
      </c>
      <c r="J613" t="s">
        <v>1671</v>
      </c>
      <c r="K613" s="21" t="s">
        <v>1672</v>
      </c>
      <c r="L613" s="21" t="s">
        <v>443</v>
      </c>
      <c r="M613" t="s">
        <v>375</v>
      </c>
      <c r="N613" t="s">
        <v>159</v>
      </c>
      <c r="R613" t="s">
        <v>445</v>
      </c>
      <c r="S613" t="s">
        <v>1671</v>
      </c>
      <c r="T613" t="s">
        <v>45</v>
      </c>
      <c r="U613" t="s">
        <v>1257</v>
      </c>
      <c r="V613" t="s">
        <v>446</v>
      </c>
      <c r="W613" t="s">
        <v>1673</v>
      </c>
    </row>
    <row r="614" spans="1:23" ht="15" customHeight="1" x14ac:dyDescent="0.3">
      <c r="A614" t="s">
        <v>8</v>
      </c>
      <c r="B614">
        <v>304</v>
      </c>
      <c r="C614" t="s">
        <v>397</v>
      </c>
      <c r="D614" t="s">
        <v>438</v>
      </c>
      <c r="E614" t="s">
        <v>34</v>
      </c>
      <c r="F614" t="s">
        <v>439</v>
      </c>
      <c r="G614" t="s">
        <v>440</v>
      </c>
      <c r="H614" t="s">
        <v>49</v>
      </c>
      <c r="I614" t="s">
        <v>438</v>
      </c>
      <c r="J614" t="s">
        <v>448</v>
      </c>
      <c r="K614" s="21" t="s">
        <v>449</v>
      </c>
      <c r="L614" s="21" t="s">
        <v>443</v>
      </c>
      <c r="M614" t="s">
        <v>375</v>
      </c>
      <c r="N614" t="s">
        <v>159</v>
      </c>
      <c r="R614" t="s">
        <v>445</v>
      </c>
      <c r="S614" t="s">
        <v>448</v>
      </c>
      <c r="T614" t="s">
        <v>45</v>
      </c>
      <c r="U614" t="s">
        <v>90</v>
      </c>
      <c r="V614" t="s">
        <v>446</v>
      </c>
      <c r="W614" t="s">
        <v>450</v>
      </c>
    </row>
    <row r="615" spans="1:23" ht="15" customHeight="1" x14ac:dyDescent="0.3">
      <c r="A615" t="s">
        <v>8</v>
      </c>
      <c r="B615">
        <v>304</v>
      </c>
      <c r="C615" t="s">
        <v>397</v>
      </c>
      <c r="D615" t="s">
        <v>438</v>
      </c>
      <c r="E615" t="s">
        <v>34</v>
      </c>
      <c r="F615" t="s">
        <v>439</v>
      </c>
      <c r="G615" t="s">
        <v>440</v>
      </c>
      <c r="H615" t="s">
        <v>87</v>
      </c>
      <c r="I615" t="s">
        <v>438</v>
      </c>
      <c r="J615" t="s">
        <v>1674</v>
      </c>
      <c r="K615" s="21" t="s">
        <v>1675</v>
      </c>
      <c r="L615" s="21" t="s">
        <v>443</v>
      </c>
      <c r="M615" t="s">
        <v>375</v>
      </c>
      <c r="N615" t="s">
        <v>159</v>
      </c>
      <c r="R615" t="s">
        <v>445</v>
      </c>
      <c r="S615" t="s">
        <v>1674</v>
      </c>
      <c r="T615" t="s">
        <v>45</v>
      </c>
      <c r="U615" t="s">
        <v>1428</v>
      </c>
      <c r="V615" t="s">
        <v>446</v>
      </c>
      <c r="W615" t="s">
        <v>1676</v>
      </c>
    </row>
    <row r="616" spans="1:23" ht="15" customHeight="1" x14ac:dyDescent="0.3">
      <c r="A616" t="s">
        <v>8</v>
      </c>
      <c r="B616">
        <v>304</v>
      </c>
      <c r="C616" t="s">
        <v>397</v>
      </c>
      <c r="D616" t="s">
        <v>438</v>
      </c>
      <c r="E616" t="s">
        <v>34</v>
      </c>
      <c r="F616" t="s">
        <v>439</v>
      </c>
      <c r="G616" t="s">
        <v>440</v>
      </c>
      <c r="H616" t="s">
        <v>421</v>
      </c>
      <c r="I616" t="s">
        <v>438</v>
      </c>
      <c r="J616" t="s">
        <v>1677</v>
      </c>
      <c r="K616" s="21" t="s">
        <v>1678</v>
      </c>
      <c r="L616" s="21" t="s">
        <v>443</v>
      </c>
      <c r="M616" t="s">
        <v>375</v>
      </c>
      <c r="N616" t="s">
        <v>159</v>
      </c>
      <c r="R616" t="s">
        <v>445</v>
      </c>
      <c r="S616" t="s">
        <v>1677</v>
      </c>
      <c r="T616" t="s">
        <v>45</v>
      </c>
      <c r="U616" t="s">
        <v>1416</v>
      </c>
      <c r="V616" t="s">
        <v>446</v>
      </c>
      <c r="W616" t="s">
        <v>1679</v>
      </c>
    </row>
    <row r="617" spans="1:23" ht="15" customHeight="1" x14ac:dyDescent="0.3">
      <c r="A617" t="s">
        <v>8</v>
      </c>
      <c r="B617">
        <v>304</v>
      </c>
      <c r="C617" t="s">
        <v>397</v>
      </c>
      <c r="D617" t="s">
        <v>438</v>
      </c>
      <c r="E617" t="s">
        <v>34</v>
      </c>
      <c r="F617" t="s">
        <v>439</v>
      </c>
      <c r="G617" t="s">
        <v>440</v>
      </c>
      <c r="H617" t="s">
        <v>182</v>
      </c>
      <c r="I617" t="s">
        <v>438</v>
      </c>
      <c r="J617" t="s">
        <v>1680</v>
      </c>
      <c r="K617" s="21" t="s">
        <v>1681</v>
      </c>
      <c r="L617" s="21" t="s">
        <v>443</v>
      </c>
      <c r="M617" t="s">
        <v>375</v>
      </c>
      <c r="N617" t="s">
        <v>159</v>
      </c>
      <c r="R617" t="s">
        <v>445</v>
      </c>
      <c r="S617" t="s">
        <v>1680</v>
      </c>
      <c r="T617" t="s">
        <v>1544</v>
      </c>
      <c r="U617" t="s">
        <v>1611</v>
      </c>
      <c r="V617" t="s">
        <v>446</v>
      </c>
      <c r="W617" t="s">
        <v>1682</v>
      </c>
    </row>
    <row r="618" spans="1:23" ht="15" customHeight="1" x14ac:dyDescent="0.3">
      <c r="A618" t="s">
        <v>8</v>
      </c>
      <c r="B618">
        <v>304</v>
      </c>
      <c r="C618" t="s">
        <v>397</v>
      </c>
      <c r="D618" t="s">
        <v>438</v>
      </c>
      <c r="E618" t="s">
        <v>34</v>
      </c>
      <c r="F618" t="s">
        <v>439</v>
      </c>
      <c r="G618" t="s">
        <v>440</v>
      </c>
      <c r="H618" t="s">
        <v>1242</v>
      </c>
      <c r="I618" t="s">
        <v>438</v>
      </c>
      <c r="J618" t="s">
        <v>1683</v>
      </c>
      <c r="K618" s="21" t="s">
        <v>1684</v>
      </c>
      <c r="L618" s="21" t="s">
        <v>443</v>
      </c>
      <c r="M618" t="s">
        <v>375</v>
      </c>
      <c r="N618" t="s">
        <v>159</v>
      </c>
      <c r="R618" t="s">
        <v>445</v>
      </c>
      <c r="S618" t="s">
        <v>1683</v>
      </c>
      <c r="T618" t="s">
        <v>1544</v>
      </c>
      <c r="U618" t="s">
        <v>1501</v>
      </c>
      <c r="V618" t="s">
        <v>446</v>
      </c>
      <c r="W618" t="s">
        <v>1685</v>
      </c>
    </row>
    <row r="619" spans="1:23" ht="15" customHeight="1" x14ac:dyDescent="0.3">
      <c r="A619" t="s">
        <v>8</v>
      </c>
      <c r="B619">
        <v>304</v>
      </c>
      <c r="C619" t="s">
        <v>397</v>
      </c>
      <c r="D619" t="s">
        <v>438</v>
      </c>
      <c r="E619" t="s">
        <v>34</v>
      </c>
      <c r="F619" t="s">
        <v>439</v>
      </c>
      <c r="G619" t="s">
        <v>440</v>
      </c>
      <c r="H619" t="s">
        <v>425</v>
      </c>
      <c r="I619" t="s">
        <v>438</v>
      </c>
      <c r="J619" t="s">
        <v>1686</v>
      </c>
      <c r="K619" s="21" t="s">
        <v>1687</v>
      </c>
      <c r="L619" s="21" t="s">
        <v>443</v>
      </c>
      <c r="M619" t="s">
        <v>375</v>
      </c>
      <c r="N619" t="s">
        <v>159</v>
      </c>
      <c r="R619" t="s">
        <v>445</v>
      </c>
      <c r="S619" t="s">
        <v>1686</v>
      </c>
      <c r="T619" t="s">
        <v>1544</v>
      </c>
      <c r="U619" t="s">
        <v>1511</v>
      </c>
      <c r="V619" t="s">
        <v>446</v>
      </c>
      <c r="W619" t="s">
        <v>1688</v>
      </c>
    </row>
    <row r="620" spans="1:23" ht="15" customHeight="1" x14ac:dyDescent="0.3">
      <c r="A620" t="s">
        <v>8</v>
      </c>
      <c r="B620">
        <v>304</v>
      </c>
      <c r="C620" t="s">
        <v>397</v>
      </c>
      <c r="D620" t="s">
        <v>438</v>
      </c>
      <c r="E620" t="s">
        <v>34</v>
      </c>
      <c r="F620" t="s">
        <v>439</v>
      </c>
      <c r="G620" t="s">
        <v>440</v>
      </c>
      <c r="H620" t="s">
        <v>996</v>
      </c>
      <c r="I620" t="s">
        <v>438</v>
      </c>
      <c r="J620" t="s">
        <v>1689</v>
      </c>
      <c r="K620" s="21" t="s">
        <v>1690</v>
      </c>
      <c r="L620" s="21" t="s">
        <v>443</v>
      </c>
      <c r="M620" t="s">
        <v>375</v>
      </c>
      <c r="N620" t="s">
        <v>159</v>
      </c>
      <c r="R620" t="s">
        <v>445</v>
      </c>
      <c r="S620" t="s">
        <v>1689</v>
      </c>
      <c r="T620" t="s">
        <v>1544</v>
      </c>
      <c r="U620" t="s">
        <v>1691</v>
      </c>
      <c r="V620" t="s">
        <v>446</v>
      </c>
      <c r="W620" t="s">
        <v>1692</v>
      </c>
    </row>
    <row r="621" spans="1:23" ht="15" customHeight="1" x14ac:dyDescent="0.3">
      <c r="A621" t="s">
        <v>8</v>
      </c>
      <c r="B621">
        <v>304</v>
      </c>
      <c r="C621" t="s">
        <v>397</v>
      </c>
      <c r="D621" t="s">
        <v>438</v>
      </c>
      <c r="E621" t="s">
        <v>34</v>
      </c>
      <c r="F621" t="s">
        <v>439</v>
      </c>
      <c r="G621" t="s">
        <v>440</v>
      </c>
      <c r="H621" t="s">
        <v>1000</v>
      </c>
      <c r="I621" t="s">
        <v>438</v>
      </c>
      <c r="J621" t="s">
        <v>1693</v>
      </c>
      <c r="K621" s="21" t="s">
        <v>1694</v>
      </c>
      <c r="L621" s="21" t="s">
        <v>443</v>
      </c>
      <c r="M621" t="s">
        <v>375</v>
      </c>
      <c r="N621" t="s">
        <v>159</v>
      </c>
      <c r="R621" t="s">
        <v>445</v>
      </c>
      <c r="S621" t="s">
        <v>1693</v>
      </c>
      <c r="T621" t="s">
        <v>1544</v>
      </c>
      <c r="U621" t="s">
        <v>1695</v>
      </c>
      <c r="V621" t="s">
        <v>446</v>
      </c>
      <c r="W621" t="s">
        <v>1696</v>
      </c>
    </row>
    <row r="622" spans="1:23" ht="15" customHeight="1" x14ac:dyDescent="0.3">
      <c r="A622" t="s">
        <v>8</v>
      </c>
      <c r="B622">
        <v>304</v>
      </c>
      <c r="C622" t="s">
        <v>397</v>
      </c>
      <c r="D622" t="s">
        <v>438</v>
      </c>
      <c r="E622" t="s">
        <v>34</v>
      </c>
      <c r="F622" t="s">
        <v>439</v>
      </c>
      <c r="G622" t="s">
        <v>440</v>
      </c>
      <c r="H622" t="s">
        <v>1272</v>
      </c>
      <c r="I622" t="s">
        <v>438</v>
      </c>
      <c r="J622" t="s">
        <v>1697</v>
      </c>
      <c r="K622" s="21" t="s">
        <v>1698</v>
      </c>
      <c r="L622" s="21" t="s">
        <v>443</v>
      </c>
      <c r="M622" t="s">
        <v>375</v>
      </c>
      <c r="N622" t="s">
        <v>159</v>
      </c>
      <c r="R622" t="s">
        <v>445</v>
      </c>
      <c r="S622" t="s">
        <v>1697</v>
      </c>
      <c r="T622" t="s">
        <v>1544</v>
      </c>
      <c r="U622" t="s">
        <v>1699</v>
      </c>
      <c r="V622" t="s">
        <v>446</v>
      </c>
      <c r="W622" t="s">
        <v>1700</v>
      </c>
    </row>
    <row r="623" spans="1:23" ht="15" customHeight="1" x14ac:dyDescent="0.3">
      <c r="A623" t="s">
        <v>8</v>
      </c>
      <c r="B623">
        <v>304</v>
      </c>
      <c r="C623" t="s">
        <v>397</v>
      </c>
      <c r="D623" t="s">
        <v>438</v>
      </c>
      <c r="E623" t="s">
        <v>34</v>
      </c>
      <c r="F623" t="s">
        <v>439</v>
      </c>
      <c r="G623" t="s">
        <v>440</v>
      </c>
      <c r="H623" t="s">
        <v>1276</v>
      </c>
      <c r="I623" t="s">
        <v>438</v>
      </c>
      <c r="J623" t="s">
        <v>1701</v>
      </c>
      <c r="K623" s="21" t="s">
        <v>1702</v>
      </c>
      <c r="L623" s="21" t="s">
        <v>443</v>
      </c>
      <c r="M623" t="s">
        <v>375</v>
      </c>
      <c r="N623" t="s">
        <v>159</v>
      </c>
      <c r="R623" t="s">
        <v>445</v>
      </c>
      <c r="S623" t="s">
        <v>1701</v>
      </c>
      <c r="T623" t="s">
        <v>1544</v>
      </c>
      <c r="U623" t="s">
        <v>1703</v>
      </c>
      <c r="V623" t="s">
        <v>446</v>
      </c>
      <c r="W623" t="s">
        <v>1704</v>
      </c>
    </row>
    <row r="624" spans="1:23" ht="15" customHeight="1" x14ac:dyDescent="0.3">
      <c r="A624" t="s">
        <v>8</v>
      </c>
      <c r="B624">
        <v>304</v>
      </c>
      <c r="C624" t="s">
        <v>397</v>
      </c>
      <c r="D624" t="s">
        <v>438</v>
      </c>
      <c r="E624" t="s">
        <v>34</v>
      </c>
      <c r="F624" t="s">
        <v>439</v>
      </c>
      <c r="G624" t="s">
        <v>440</v>
      </c>
      <c r="H624" t="s">
        <v>1279</v>
      </c>
      <c r="I624" t="s">
        <v>438</v>
      </c>
      <c r="J624" t="s">
        <v>1705</v>
      </c>
      <c r="K624" s="21" t="s">
        <v>1706</v>
      </c>
      <c r="L624" s="21" t="s">
        <v>443</v>
      </c>
      <c r="M624" t="s">
        <v>375</v>
      </c>
      <c r="N624" t="s">
        <v>159</v>
      </c>
      <c r="R624" t="s">
        <v>445</v>
      </c>
      <c r="S624" t="s">
        <v>1705</v>
      </c>
      <c r="T624" t="s">
        <v>1544</v>
      </c>
      <c r="U624" t="s">
        <v>1707</v>
      </c>
      <c r="V624" t="s">
        <v>446</v>
      </c>
      <c r="W624" t="s">
        <v>1708</v>
      </c>
    </row>
    <row r="625" spans="1:23" ht="15" customHeight="1" x14ac:dyDescent="0.3">
      <c r="A625" t="s">
        <v>8</v>
      </c>
      <c r="B625">
        <v>304</v>
      </c>
      <c r="C625" t="s">
        <v>397</v>
      </c>
      <c r="D625" t="s">
        <v>438</v>
      </c>
      <c r="E625" t="s">
        <v>34</v>
      </c>
      <c r="F625" t="s">
        <v>439</v>
      </c>
      <c r="G625" t="s">
        <v>440</v>
      </c>
      <c r="H625" t="s">
        <v>1283</v>
      </c>
      <c r="I625" t="s">
        <v>438</v>
      </c>
      <c r="J625" t="s">
        <v>1709</v>
      </c>
      <c r="K625" s="21" t="s">
        <v>1710</v>
      </c>
      <c r="L625" s="21" t="s">
        <v>443</v>
      </c>
      <c r="M625" t="s">
        <v>375</v>
      </c>
      <c r="N625" t="s">
        <v>159</v>
      </c>
      <c r="R625" t="s">
        <v>445</v>
      </c>
      <c r="S625" t="s">
        <v>1709</v>
      </c>
      <c r="T625" t="s">
        <v>1249</v>
      </c>
      <c r="U625" t="s">
        <v>1711</v>
      </c>
      <c r="V625" t="s">
        <v>1712</v>
      </c>
      <c r="W625" t="s">
        <v>1713</v>
      </c>
    </row>
    <row r="626" spans="1:23" ht="15" customHeight="1" x14ac:dyDescent="0.3">
      <c r="A626" t="s">
        <v>8</v>
      </c>
      <c r="B626">
        <v>304</v>
      </c>
      <c r="C626" t="s">
        <v>397</v>
      </c>
      <c r="D626" t="s">
        <v>438</v>
      </c>
      <c r="E626" t="s">
        <v>34</v>
      </c>
      <c r="F626" t="s">
        <v>439</v>
      </c>
      <c r="G626" t="s">
        <v>440</v>
      </c>
      <c r="H626" t="s">
        <v>1287</v>
      </c>
      <c r="I626" t="s">
        <v>438</v>
      </c>
      <c r="J626" t="s">
        <v>1714</v>
      </c>
      <c r="K626" s="21" t="s">
        <v>1715</v>
      </c>
      <c r="L626" s="21" t="s">
        <v>443</v>
      </c>
      <c r="M626" t="s">
        <v>375</v>
      </c>
      <c r="N626" t="s">
        <v>159</v>
      </c>
      <c r="R626" t="s">
        <v>445</v>
      </c>
      <c r="S626" t="s">
        <v>1714</v>
      </c>
      <c r="T626" t="s">
        <v>1249</v>
      </c>
      <c r="U626" t="s">
        <v>1286</v>
      </c>
      <c r="V626" t="s">
        <v>1712</v>
      </c>
      <c r="W626" t="s">
        <v>1713</v>
      </c>
    </row>
    <row r="627" spans="1:23" ht="15" customHeight="1" x14ac:dyDescent="0.3">
      <c r="A627" t="s">
        <v>8</v>
      </c>
      <c r="B627">
        <v>295</v>
      </c>
      <c r="C627" t="s">
        <v>397</v>
      </c>
      <c r="D627" t="s">
        <v>451</v>
      </c>
      <c r="E627" t="s">
        <v>34</v>
      </c>
      <c r="F627" t="s">
        <v>452</v>
      </c>
      <c r="G627" t="s">
        <v>440</v>
      </c>
      <c r="H627" t="s">
        <v>37</v>
      </c>
      <c r="I627" t="s">
        <v>451</v>
      </c>
      <c r="J627" t="s">
        <v>453</v>
      </c>
      <c r="K627" t="s">
        <v>454</v>
      </c>
      <c r="L627" s="21" t="s">
        <v>455</v>
      </c>
      <c r="M627" t="s">
        <v>456</v>
      </c>
      <c r="N627" t="s">
        <v>159</v>
      </c>
      <c r="R627" t="s">
        <v>458</v>
      </c>
      <c r="S627" t="s">
        <v>453</v>
      </c>
      <c r="T627" t="s">
        <v>45</v>
      </c>
      <c r="U627" t="s">
        <v>46</v>
      </c>
      <c r="V627" t="s">
        <v>459</v>
      </c>
      <c r="W627" t="s">
        <v>460</v>
      </c>
    </row>
    <row r="628" spans="1:23" ht="15" customHeight="1" x14ac:dyDescent="0.3">
      <c r="A628" t="s">
        <v>8</v>
      </c>
      <c r="B628">
        <v>295</v>
      </c>
      <c r="C628" t="s">
        <v>397</v>
      </c>
      <c r="D628" t="s">
        <v>451</v>
      </c>
      <c r="E628" t="s">
        <v>34</v>
      </c>
      <c r="F628" t="s">
        <v>452</v>
      </c>
      <c r="G628" t="s">
        <v>440</v>
      </c>
      <c r="H628" t="s">
        <v>52</v>
      </c>
      <c r="I628" t="s">
        <v>451</v>
      </c>
      <c r="J628" t="s">
        <v>461</v>
      </c>
      <c r="K628" s="21" t="s">
        <v>462</v>
      </c>
      <c r="L628" s="21" t="s">
        <v>455</v>
      </c>
      <c r="M628" t="s">
        <v>456</v>
      </c>
      <c r="N628" t="s">
        <v>159</v>
      </c>
      <c r="R628" t="s">
        <v>458</v>
      </c>
      <c r="S628" t="s">
        <v>461</v>
      </c>
      <c r="T628" t="s">
        <v>45</v>
      </c>
      <c r="U628" t="s">
        <v>46</v>
      </c>
      <c r="V628" t="s">
        <v>459</v>
      </c>
      <c r="W628" t="s">
        <v>463</v>
      </c>
    </row>
    <row r="629" spans="1:23" ht="15" customHeight="1" x14ac:dyDescent="0.3">
      <c r="A629" t="s">
        <v>8</v>
      </c>
      <c r="B629">
        <v>295</v>
      </c>
      <c r="C629" t="s">
        <v>397</v>
      </c>
      <c r="D629" t="s">
        <v>451</v>
      </c>
      <c r="E629" t="s">
        <v>34</v>
      </c>
      <c r="F629" t="s">
        <v>452</v>
      </c>
      <c r="G629" t="s">
        <v>440</v>
      </c>
      <c r="H629" t="s">
        <v>57</v>
      </c>
      <c r="I629" t="s">
        <v>451</v>
      </c>
      <c r="J629" t="s">
        <v>464</v>
      </c>
      <c r="K629" s="21" t="s">
        <v>465</v>
      </c>
      <c r="L629" s="21" t="s">
        <v>455</v>
      </c>
      <c r="M629" t="s">
        <v>456</v>
      </c>
      <c r="N629" t="s">
        <v>159</v>
      </c>
      <c r="R629" t="s">
        <v>458</v>
      </c>
      <c r="S629" t="s">
        <v>464</v>
      </c>
      <c r="T629" t="s">
        <v>45</v>
      </c>
      <c r="U629" t="s">
        <v>46</v>
      </c>
      <c r="V629" t="s">
        <v>466</v>
      </c>
      <c r="W629" t="s">
        <v>467</v>
      </c>
    </row>
    <row r="630" spans="1:23" ht="15" customHeight="1" x14ac:dyDescent="0.3">
      <c r="A630" t="s">
        <v>8</v>
      </c>
      <c r="B630">
        <v>295</v>
      </c>
      <c r="C630" t="s">
        <v>397</v>
      </c>
      <c r="D630" t="s">
        <v>451</v>
      </c>
      <c r="E630" t="s">
        <v>34</v>
      </c>
      <c r="F630" t="s">
        <v>452</v>
      </c>
      <c r="G630" t="s">
        <v>440</v>
      </c>
      <c r="H630" t="s">
        <v>49</v>
      </c>
      <c r="I630" t="s">
        <v>451</v>
      </c>
      <c r="J630" t="s">
        <v>468</v>
      </c>
      <c r="K630" s="21" t="s">
        <v>469</v>
      </c>
      <c r="L630" s="21" t="s">
        <v>455</v>
      </c>
      <c r="M630" t="s">
        <v>456</v>
      </c>
      <c r="N630" t="s">
        <v>159</v>
      </c>
      <c r="R630" t="s">
        <v>458</v>
      </c>
      <c r="S630" t="s">
        <v>468</v>
      </c>
      <c r="T630" t="s">
        <v>45</v>
      </c>
      <c r="U630" t="s">
        <v>46</v>
      </c>
      <c r="V630" t="s">
        <v>459</v>
      </c>
      <c r="W630" t="s">
        <v>470</v>
      </c>
    </row>
    <row r="631" spans="1:23" ht="15" customHeight="1" x14ac:dyDescent="0.3">
      <c r="A631" t="s">
        <v>8</v>
      </c>
      <c r="B631">
        <v>295</v>
      </c>
      <c r="C631" t="s">
        <v>397</v>
      </c>
      <c r="D631" t="s">
        <v>451</v>
      </c>
      <c r="E631" t="s">
        <v>34</v>
      </c>
      <c r="F631" t="s">
        <v>452</v>
      </c>
      <c r="G631" t="s">
        <v>440</v>
      </c>
      <c r="H631" t="s">
        <v>87</v>
      </c>
      <c r="I631" t="s">
        <v>451</v>
      </c>
      <c r="J631" t="s">
        <v>471</v>
      </c>
      <c r="K631" s="21" t="s">
        <v>472</v>
      </c>
      <c r="L631" s="21" t="s">
        <v>455</v>
      </c>
      <c r="M631" t="s">
        <v>456</v>
      </c>
      <c r="N631" t="s">
        <v>159</v>
      </c>
      <c r="R631" t="s">
        <v>458</v>
      </c>
      <c r="S631" t="s">
        <v>471</v>
      </c>
      <c r="T631" t="s">
        <v>45</v>
      </c>
      <c r="U631" t="s">
        <v>46</v>
      </c>
      <c r="V631" t="s">
        <v>466</v>
      </c>
      <c r="W631" t="s">
        <v>473</v>
      </c>
    </row>
    <row r="632" spans="1:23" ht="15" customHeight="1" x14ac:dyDescent="0.3">
      <c r="A632" t="s">
        <v>8</v>
      </c>
      <c r="B632">
        <v>295</v>
      </c>
      <c r="C632" t="s">
        <v>397</v>
      </c>
      <c r="D632" t="s">
        <v>451</v>
      </c>
      <c r="E632" t="s">
        <v>34</v>
      </c>
      <c r="F632" t="s">
        <v>452</v>
      </c>
      <c r="G632" t="s">
        <v>440</v>
      </c>
      <c r="H632" t="s">
        <v>421</v>
      </c>
      <c r="I632" t="s">
        <v>451</v>
      </c>
      <c r="J632" t="s">
        <v>474</v>
      </c>
      <c r="K632" s="21" t="s">
        <v>475</v>
      </c>
      <c r="L632" s="21" t="s">
        <v>455</v>
      </c>
      <c r="M632" t="s">
        <v>456</v>
      </c>
      <c r="N632" t="s">
        <v>159</v>
      </c>
      <c r="R632" t="s">
        <v>458</v>
      </c>
      <c r="S632" t="s">
        <v>474</v>
      </c>
      <c r="T632" t="s">
        <v>45</v>
      </c>
      <c r="U632" t="s">
        <v>46</v>
      </c>
      <c r="V632" t="s">
        <v>459</v>
      </c>
      <c r="W632" t="s">
        <v>476</v>
      </c>
    </row>
    <row r="633" spans="1:23" ht="15" customHeight="1" x14ac:dyDescent="0.3">
      <c r="A633" t="s">
        <v>8</v>
      </c>
      <c r="B633">
        <v>295</v>
      </c>
      <c r="C633" t="s">
        <v>397</v>
      </c>
      <c r="D633" t="s">
        <v>451</v>
      </c>
      <c r="E633" t="s">
        <v>34</v>
      </c>
      <c r="F633" t="s">
        <v>452</v>
      </c>
      <c r="G633" t="s">
        <v>440</v>
      </c>
      <c r="H633" t="s">
        <v>182</v>
      </c>
      <c r="I633" t="s">
        <v>451</v>
      </c>
      <c r="J633" t="s">
        <v>1484</v>
      </c>
      <c r="K633" s="21" t="s">
        <v>1485</v>
      </c>
      <c r="L633" s="21" t="s">
        <v>455</v>
      </c>
      <c r="M633" t="s">
        <v>456</v>
      </c>
      <c r="N633" t="s">
        <v>159</v>
      </c>
      <c r="R633" t="s">
        <v>458</v>
      </c>
      <c r="S633" t="s">
        <v>1484</v>
      </c>
      <c r="T633" t="s">
        <v>45</v>
      </c>
      <c r="U633" t="s">
        <v>1486</v>
      </c>
      <c r="V633" t="s">
        <v>459</v>
      </c>
      <c r="W633" t="s">
        <v>1487</v>
      </c>
    </row>
    <row r="634" spans="1:23" ht="15" customHeight="1" x14ac:dyDescent="0.3">
      <c r="A634" t="s">
        <v>8</v>
      </c>
      <c r="B634">
        <v>295</v>
      </c>
      <c r="C634" t="s">
        <v>397</v>
      </c>
      <c r="D634" t="s">
        <v>451</v>
      </c>
      <c r="E634" t="s">
        <v>34</v>
      </c>
      <c r="F634" t="s">
        <v>452</v>
      </c>
      <c r="G634" t="s">
        <v>440</v>
      </c>
      <c r="H634" t="s">
        <v>1242</v>
      </c>
      <c r="I634" t="s">
        <v>451</v>
      </c>
      <c r="J634" t="s">
        <v>1488</v>
      </c>
      <c r="K634" s="21" t="s">
        <v>1489</v>
      </c>
      <c r="L634" s="21" t="s">
        <v>455</v>
      </c>
      <c r="M634" t="s">
        <v>456</v>
      </c>
      <c r="N634" t="s">
        <v>159</v>
      </c>
      <c r="R634" t="s">
        <v>458</v>
      </c>
      <c r="S634" t="s">
        <v>1488</v>
      </c>
      <c r="T634" t="s">
        <v>45</v>
      </c>
      <c r="U634" t="s">
        <v>1428</v>
      </c>
      <c r="V634" t="s">
        <v>459</v>
      </c>
      <c r="W634" t="s">
        <v>1490</v>
      </c>
    </row>
    <row r="635" spans="1:23" ht="15" customHeight="1" x14ac:dyDescent="0.3">
      <c r="A635" t="s">
        <v>8</v>
      </c>
      <c r="B635">
        <v>295</v>
      </c>
      <c r="C635" t="s">
        <v>397</v>
      </c>
      <c r="D635" t="s">
        <v>451</v>
      </c>
      <c r="E635" t="s">
        <v>34</v>
      </c>
      <c r="F635" t="s">
        <v>452</v>
      </c>
      <c r="G635" t="s">
        <v>440</v>
      </c>
      <c r="H635" t="s">
        <v>425</v>
      </c>
      <c r="I635" t="s">
        <v>451</v>
      </c>
      <c r="J635" t="s">
        <v>1491</v>
      </c>
      <c r="K635" s="21" t="s">
        <v>1492</v>
      </c>
      <c r="L635" s="21" t="s">
        <v>455</v>
      </c>
      <c r="M635" t="s">
        <v>456</v>
      </c>
      <c r="N635" t="s">
        <v>159</v>
      </c>
      <c r="R635" t="s">
        <v>458</v>
      </c>
      <c r="S635" t="s">
        <v>1491</v>
      </c>
      <c r="T635" t="s">
        <v>45</v>
      </c>
      <c r="U635" t="s">
        <v>1416</v>
      </c>
      <c r="V635" t="s">
        <v>459</v>
      </c>
      <c r="W635" t="s">
        <v>1493</v>
      </c>
    </row>
    <row r="636" spans="1:23" ht="15" customHeight="1" x14ac:dyDescent="0.3">
      <c r="A636" t="s">
        <v>8</v>
      </c>
      <c r="B636">
        <v>81</v>
      </c>
      <c r="C636" t="s">
        <v>477</v>
      </c>
      <c r="D636" t="s">
        <v>1716</v>
      </c>
      <c r="E636" t="s">
        <v>370</v>
      </c>
      <c r="F636" t="s">
        <v>1717</v>
      </c>
      <c r="G636" t="s">
        <v>36</v>
      </c>
      <c r="H636" t="s">
        <v>37</v>
      </c>
      <c r="I636" t="s">
        <v>1716</v>
      </c>
      <c r="J636" t="s">
        <v>1718</v>
      </c>
      <c r="K636" t="s">
        <v>1719</v>
      </c>
      <c r="L636" s="21" t="s">
        <v>1720</v>
      </c>
      <c r="M636" t="s">
        <v>1721</v>
      </c>
      <c r="N636" t="s">
        <v>1722</v>
      </c>
      <c r="R636" t="s">
        <v>1723</v>
      </c>
      <c r="S636" t="s">
        <v>1718</v>
      </c>
      <c r="T636" t="s">
        <v>45</v>
      </c>
      <c r="U636" t="s">
        <v>1428</v>
      </c>
      <c r="V636" t="s">
        <v>1724</v>
      </c>
      <c r="W636" t="s">
        <v>1725</v>
      </c>
    </row>
    <row r="637" spans="1:23" ht="15" customHeight="1" x14ac:dyDescent="0.3">
      <c r="A637" t="s">
        <v>8</v>
      </c>
      <c r="B637">
        <v>81</v>
      </c>
      <c r="C637" t="s">
        <v>477</v>
      </c>
      <c r="D637" t="s">
        <v>1716</v>
      </c>
      <c r="E637" t="s">
        <v>370</v>
      </c>
      <c r="F637" t="s">
        <v>1717</v>
      </c>
      <c r="G637" t="s">
        <v>36</v>
      </c>
      <c r="H637" t="s">
        <v>52</v>
      </c>
      <c r="I637" t="s">
        <v>1716</v>
      </c>
      <c r="J637" t="s">
        <v>1726</v>
      </c>
      <c r="K637" s="21" t="s">
        <v>1727</v>
      </c>
      <c r="L637" s="21" t="s">
        <v>1720</v>
      </c>
      <c r="M637" t="s">
        <v>1721</v>
      </c>
      <c r="N637" t="s">
        <v>1722</v>
      </c>
      <c r="R637" t="s">
        <v>1723</v>
      </c>
      <c r="S637" t="s">
        <v>1726</v>
      </c>
      <c r="T637" t="s">
        <v>45</v>
      </c>
      <c r="U637" t="s">
        <v>1416</v>
      </c>
      <c r="V637" t="s">
        <v>1724</v>
      </c>
      <c r="W637" t="s">
        <v>1728</v>
      </c>
    </row>
    <row r="638" spans="1:23" ht="15" customHeight="1" x14ac:dyDescent="0.3">
      <c r="A638" t="s">
        <v>8</v>
      </c>
      <c r="B638">
        <v>81</v>
      </c>
      <c r="C638" t="s">
        <v>477</v>
      </c>
      <c r="D638" t="s">
        <v>1716</v>
      </c>
      <c r="E638" t="s">
        <v>370</v>
      </c>
      <c r="F638" t="s">
        <v>1717</v>
      </c>
      <c r="G638" t="s">
        <v>36</v>
      </c>
      <c r="H638" t="s">
        <v>57</v>
      </c>
      <c r="I638" t="s">
        <v>1716</v>
      </c>
      <c r="J638" t="s">
        <v>1729</v>
      </c>
      <c r="K638" s="21" t="s">
        <v>1730</v>
      </c>
      <c r="L638" s="21" t="s">
        <v>1720</v>
      </c>
      <c r="M638" t="s">
        <v>1721</v>
      </c>
      <c r="N638" t="s">
        <v>1722</v>
      </c>
      <c r="R638" t="s">
        <v>1723</v>
      </c>
      <c r="S638" t="s">
        <v>1729</v>
      </c>
      <c r="T638" t="s">
        <v>1544</v>
      </c>
      <c r="U638" t="s">
        <v>1501</v>
      </c>
      <c r="V638" t="s">
        <v>1731</v>
      </c>
      <c r="W638" t="s">
        <v>1732</v>
      </c>
    </row>
    <row r="639" spans="1:23" ht="15" customHeight="1" x14ac:dyDescent="0.3">
      <c r="A639" t="s">
        <v>8</v>
      </c>
      <c r="B639">
        <v>82</v>
      </c>
      <c r="C639" t="s">
        <v>477</v>
      </c>
      <c r="D639" t="s">
        <v>1733</v>
      </c>
      <c r="E639" t="s">
        <v>34</v>
      </c>
      <c r="F639" t="s">
        <v>1734</v>
      </c>
      <c r="G639" t="s">
        <v>440</v>
      </c>
      <c r="H639" t="s">
        <v>37</v>
      </c>
      <c r="I639" t="s">
        <v>1733</v>
      </c>
      <c r="J639" t="s">
        <v>1735</v>
      </c>
      <c r="K639" t="s">
        <v>1736</v>
      </c>
      <c r="L639" s="21" t="s">
        <v>1737</v>
      </c>
      <c r="M639" t="s">
        <v>1738</v>
      </c>
      <c r="N639" t="s">
        <v>42</v>
      </c>
      <c r="R639" t="s">
        <v>1739</v>
      </c>
      <c r="S639" t="s">
        <v>1735</v>
      </c>
      <c r="T639" t="s">
        <v>45</v>
      </c>
      <c r="U639" t="s">
        <v>46</v>
      </c>
      <c r="V639" t="s">
        <v>1740</v>
      </c>
      <c r="W639" t="s">
        <v>1741</v>
      </c>
    </row>
    <row r="640" spans="1:23" ht="15" customHeight="1" x14ac:dyDescent="0.3">
      <c r="A640" t="s">
        <v>8</v>
      </c>
      <c r="B640">
        <v>82</v>
      </c>
      <c r="C640" t="s">
        <v>477</v>
      </c>
      <c r="D640" t="s">
        <v>1733</v>
      </c>
      <c r="E640" t="s">
        <v>34</v>
      </c>
      <c r="F640" t="s">
        <v>1734</v>
      </c>
      <c r="G640" t="s">
        <v>440</v>
      </c>
      <c r="H640" t="s">
        <v>37</v>
      </c>
      <c r="I640" t="s">
        <v>1733</v>
      </c>
      <c r="J640" t="s">
        <v>1735</v>
      </c>
      <c r="K640" t="s">
        <v>1736</v>
      </c>
      <c r="L640" s="21" t="s">
        <v>1737</v>
      </c>
      <c r="M640" t="s">
        <v>1738</v>
      </c>
      <c r="N640" t="s">
        <v>42</v>
      </c>
      <c r="R640" t="s">
        <v>1742</v>
      </c>
      <c r="S640" t="s">
        <v>1735</v>
      </c>
      <c r="T640" t="s">
        <v>45</v>
      </c>
      <c r="U640" t="s">
        <v>46</v>
      </c>
      <c r="V640" t="s">
        <v>1740</v>
      </c>
      <c r="W640" t="s">
        <v>1741</v>
      </c>
    </row>
    <row r="641" spans="1:23" ht="15" customHeight="1" x14ac:dyDescent="0.3">
      <c r="A641" t="s">
        <v>8</v>
      </c>
      <c r="B641">
        <v>82</v>
      </c>
      <c r="C641" t="s">
        <v>477</v>
      </c>
      <c r="D641" t="s">
        <v>1733</v>
      </c>
      <c r="E641" t="s">
        <v>34</v>
      </c>
      <c r="F641" t="s">
        <v>1734</v>
      </c>
      <c r="G641" t="s">
        <v>440</v>
      </c>
      <c r="H641" t="s">
        <v>37</v>
      </c>
      <c r="I641" t="s">
        <v>1733</v>
      </c>
      <c r="J641" t="s">
        <v>1735</v>
      </c>
      <c r="K641" t="s">
        <v>1736</v>
      </c>
      <c r="L641" s="21" t="s">
        <v>1737</v>
      </c>
      <c r="M641" t="s">
        <v>1738</v>
      </c>
      <c r="N641" t="s">
        <v>42</v>
      </c>
      <c r="R641" t="s">
        <v>1743</v>
      </c>
      <c r="S641" t="s">
        <v>1735</v>
      </c>
      <c r="T641" t="s">
        <v>45</v>
      </c>
      <c r="U641" t="s">
        <v>46</v>
      </c>
      <c r="V641" t="s">
        <v>1740</v>
      </c>
      <c r="W641" t="s">
        <v>1741</v>
      </c>
    </row>
    <row r="642" spans="1:23" ht="15" customHeight="1" x14ac:dyDescent="0.3">
      <c r="A642" t="s">
        <v>8</v>
      </c>
      <c r="B642">
        <v>82</v>
      </c>
      <c r="C642" t="s">
        <v>477</v>
      </c>
      <c r="D642" t="s">
        <v>1733</v>
      </c>
      <c r="E642" t="s">
        <v>34</v>
      </c>
      <c r="F642" t="s">
        <v>1734</v>
      </c>
      <c r="G642" t="s">
        <v>440</v>
      </c>
      <c r="H642" t="s">
        <v>37</v>
      </c>
      <c r="I642" t="s">
        <v>1733</v>
      </c>
      <c r="J642" t="s">
        <v>1735</v>
      </c>
      <c r="K642" t="s">
        <v>1736</v>
      </c>
      <c r="L642" s="21" t="s">
        <v>1737</v>
      </c>
      <c r="M642" t="s">
        <v>1738</v>
      </c>
      <c r="N642" t="s">
        <v>42</v>
      </c>
      <c r="R642" t="s">
        <v>1744</v>
      </c>
      <c r="S642" t="s">
        <v>1735</v>
      </c>
      <c r="T642" t="s">
        <v>45</v>
      </c>
      <c r="U642" t="s">
        <v>46</v>
      </c>
      <c r="V642" t="s">
        <v>1740</v>
      </c>
      <c r="W642" t="s">
        <v>1741</v>
      </c>
    </row>
    <row r="643" spans="1:23" ht="15" customHeight="1" x14ac:dyDescent="0.3">
      <c r="A643" t="s">
        <v>8</v>
      </c>
      <c r="B643">
        <v>82</v>
      </c>
      <c r="C643" t="s">
        <v>477</v>
      </c>
      <c r="D643" t="s">
        <v>1733</v>
      </c>
      <c r="E643" t="s">
        <v>34</v>
      </c>
      <c r="F643" t="s">
        <v>1734</v>
      </c>
      <c r="G643" t="s">
        <v>440</v>
      </c>
      <c r="H643" t="s">
        <v>37</v>
      </c>
      <c r="I643" t="s">
        <v>1733</v>
      </c>
      <c r="J643" t="s">
        <v>1735</v>
      </c>
      <c r="K643" t="s">
        <v>1736</v>
      </c>
      <c r="L643" s="21" t="s">
        <v>1737</v>
      </c>
      <c r="M643" t="s">
        <v>1738</v>
      </c>
      <c r="N643" t="s">
        <v>42</v>
      </c>
      <c r="R643" t="s">
        <v>1745</v>
      </c>
      <c r="S643" t="s">
        <v>1735</v>
      </c>
      <c r="T643" t="s">
        <v>45</v>
      </c>
      <c r="U643" t="s">
        <v>46</v>
      </c>
      <c r="V643" t="s">
        <v>1740</v>
      </c>
      <c r="W643" t="s">
        <v>1741</v>
      </c>
    </row>
    <row r="644" spans="1:23" ht="15" customHeight="1" x14ac:dyDescent="0.3">
      <c r="A644" t="s">
        <v>8</v>
      </c>
      <c r="B644">
        <v>82</v>
      </c>
      <c r="C644" t="s">
        <v>477</v>
      </c>
      <c r="D644" t="s">
        <v>1733</v>
      </c>
      <c r="E644" t="s">
        <v>34</v>
      </c>
      <c r="F644" t="s">
        <v>1734</v>
      </c>
      <c r="G644" t="s">
        <v>440</v>
      </c>
      <c r="H644" t="s">
        <v>37</v>
      </c>
      <c r="I644" t="s">
        <v>1733</v>
      </c>
      <c r="J644" t="s">
        <v>1735</v>
      </c>
      <c r="K644" t="s">
        <v>1736</v>
      </c>
      <c r="L644" s="21" t="s">
        <v>1737</v>
      </c>
      <c r="M644" t="s">
        <v>1738</v>
      </c>
      <c r="N644" t="s">
        <v>42</v>
      </c>
      <c r="R644" t="s">
        <v>1746</v>
      </c>
      <c r="S644" t="s">
        <v>1735</v>
      </c>
      <c r="T644" t="s">
        <v>45</v>
      </c>
      <c r="U644" t="s">
        <v>46</v>
      </c>
      <c r="V644" t="s">
        <v>1740</v>
      </c>
      <c r="W644" t="s">
        <v>1741</v>
      </c>
    </row>
    <row r="645" spans="1:23" ht="15" customHeight="1" x14ac:dyDescent="0.3">
      <c r="A645" t="s">
        <v>8</v>
      </c>
      <c r="B645">
        <v>82</v>
      </c>
      <c r="C645" t="s">
        <v>477</v>
      </c>
      <c r="D645" t="s">
        <v>1733</v>
      </c>
      <c r="E645" t="s">
        <v>34</v>
      </c>
      <c r="F645" t="s">
        <v>1734</v>
      </c>
      <c r="G645" t="s">
        <v>440</v>
      </c>
      <c r="H645" t="s">
        <v>52</v>
      </c>
      <c r="I645" t="s">
        <v>1733</v>
      </c>
      <c r="J645" t="s">
        <v>1747</v>
      </c>
      <c r="K645" s="21" t="s">
        <v>1748</v>
      </c>
      <c r="L645" s="21" t="s">
        <v>1737</v>
      </c>
      <c r="M645" t="s">
        <v>1738</v>
      </c>
      <c r="N645" t="s">
        <v>42</v>
      </c>
      <c r="R645" t="s">
        <v>1739</v>
      </c>
      <c r="S645" t="s">
        <v>1747</v>
      </c>
      <c r="T645" t="s">
        <v>45</v>
      </c>
      <c r="U645" t="s">
        <v>46</v>
      </c>
      <c r="V645" t="s">
        <v>1740</v>
      </c>
      <c r="W645" t="s">
        <v>1749</v>
      </c>
    </row>
    <row r="646" spans="1:23" ht="15" customHeight="1" x14ac:dyDescent="0.3">
      <c r="A646" t="s">
        <v>8</v>
      </c>
      <c r="B646">
        <v>82</v>
      </c>
      <c r="C646" t="s">
        <v>477</v>
      </c>
      <c r="D646" t="s">
        <v>1733</v>
      </c>
      <c r="E646" t="s">
        <v>34</v>
      </c>
      <c r="F646" t="s">
        <v>1734</v>
      </c>
      <c r="G646" t="s">
        <v>440</v>
      </c>
      <c r="H646" t="s">
        <v>52</v>
      </c>
      <c r="I646" t="s">
        <v>1733</v>
      </c>
      <c r="J646" t="s">
        <v>1747</v>
      </c>
      <c r="K646" s="21" t="s">
        <v>1748</v>
      </c>
      <c r="L646" s="21" t="s">
        <v>1737</v>
      </c>
      <c r="M646" t="s">
        <v>1738</v>
      </c>
      <c r="N646" t="s">
        <v>42</v>
      </c>
      <c r="R646" t="s">
        <v>1742</v>
      </c>
      <c r="S646" t="s">
        <v>1747</v>
      </c>
      <c r="T646" t="s">
        <v>45</v>
      </c>
      <c r="U646" t="s">
        <v>46</v>
      </c>
      <c r="V646" t="s">
        <v>1740</v>
      </c>
      <c r="W646" t="s">
        <v>1749</v>
      </c>
    </row>
    <row r="647" spans="1:23" ht="15" customHeight="1" x14ac:dyDescent="0.3">
      <c r="A647" t="s">
        <v>8</v>
      </c>
      <c r="B647">
        <v>82</v>
      </c>
      <c r="C647" t="s">
        <v>477</v>
      </c>
      <c r="D647" t="s">
        <v>1733</v>
      </c>
      <c r="E647" t="s">
        <v>34</v>
      </c>
      <c r="F647" t="s">
        <v>1734</v>
      </c>
      <c r="G647" t="s">
        <v>440</v>
      </c>
      <c r="H647" t="s">
        <v>52</v>
      </c>
      <c r="I647" t="s">
        <v>1733</v>
      </c>
      <c r="J647" t="s">
        <v>1747</v>
      </c>
      <c r="K647" s="21" t="s">
        <v>1748</v>
      </c>
      <c r="L647" s="21" t="s">
        <v>1737</v>
      </c>
      <c r="M647" t="s">
        <v>1738</v>
      </c>
      <c r="N647" t="s">
        <v>42</v>
      </c>
      <c r="R647" t="s">
        <v>1743</v>
      </c>
      <c r="S647" t="s">
        <v>1747</v>
      </c>
      <c r="T647" t="s">
        <v>45</v>
      </c>
      <c r="U647" t="s">
        <v>46</v>
      </c>
      <c r="V647" t="s">
        <v>1740</v>
      </c>
      <c r="W647" t="s">
        <v>1749</v>
      </c>
    </row>
    <row r="648" spans="1:23" ht="15" customHeight="1" x14ac:dyDescent="0.3">
      <c r="A648" t="s">
        <v>8</v>
      </c>
      <c r="B648">
        <v>82</v>
      </c>
      <c r="C648" t="s">
        <v>477</v>
      </c>
      <c r="D648" t="s">
        <v>1733</v>
      </c>
      <c r="E648" t="s">
        <v>34</v>
      </c>
      <c r="F648" t="s">
        <v>1734</v>
      </c>
      <c r="G648" t="s">
        <v>440</v>
      </c>
      <c r="H648" t="s">
        <v>52</v>
      </c>
      <c r="I648" t="s">
        <v>1733</v>
      </c>
      <c r="J648" t="s">
        <v>1747</v>
      </c>
      <c r="K648" s="21" t="s">
        <v>1748</v>
      </c>
      <c r="L648" s="21" t="s">
        <v>1737</v>
      </c>
      <c r="M648" t="s">
        <v>1738</v>
      </c>
      <c r="N648" t="s">
        <v>42</v>
      </c>
      <c r="R648" t="s">
        <v>1744</v>
      </c>
      <c r="S648" t="s">
        <v>1747</v>
      </c>
      <c r="T648" t="s">
        <v>45</v>
      </c>
      <c r="U648" t="s">
        <v>46</v>
      </c>
      <c r="V648" t="s">
        <v>1740</v>
      </c>
      <c r="W648" t="s">
        <v>1749</v>
      </c>
    </row>
    <row r="649" spans="1:23" ht="15" customHeight="1" x14ac:dyDescent="0.3">
      <c r="A649" t="s">
        <v>8</v>
      </c>
      <c r="B649">
        <v>82</v>
      </c>
      <c r="C649" t="s">
        <v>477</v>
      </c>
      <c r="D649" t="s">
        <v>1733</v>
      </c>
      <c r="E649" t="s">
        <v>34</v>
      </c>
      <c r="F649" t="s">
        <v>1734</v>
      </c>
      <c r="G649" t="s">
        <v>440</v>
      </c>
      <c r="H649" t="s">
        <v>52</v>
      </c>
      <c r="I649" t="s">
        <v>1733</v>
      </c>
      <c r="J649" t="s">
        <v>1747</v>
      </c>
      <c r="K649" s="21" t="s">
        <v>1748</v>
      </c>
      <c r="L649" s="21" t="s">
        <v>1737</v>
      </c>
      <c r="M649" t="s">
        <v>1738</v>
      </c>
      <c r="N649" t="s">
        <v>42</v>
      </c>
      <c r="R649" t="s">
        <v>1745</v>
      </c>
      <c r="S649" t="s">
        <v>1747</v>
      </c>
      <c r="T649" t="s">
        <v>45</v>
      </c>
      <c r="U649" t="s">
        <v>46</v>
      </c>
      <c r="V649" t="s">
        <v>1740</v>
      </c>
      <c r="W649" t="s">
        <v>1749</v>
      </c>
    </row>
    <row r="650" spans="1:23" ht="15" customHeight="1" x14ac:dyDescent="0.3">
      <c r="A650" t="s">
        <v>8</v>
      </c>
      <c r="B650">
        <v>82</v>
      </c>
      <c r="C650" t="s">
        <v>477</v>
      </c>
      <c r="D650" t="s">
        <v>1733</v>
      </c>
      <c r="E650" t="s">
        <v>34</v>
      </c>
      <c r="F650" t="s">
        <v>1734</v>
      </c>
      <c r="G650" t="s">
        <v>440</v>
      </c>
      <c r="H650" t="s">
        <v>52</v>
      </c>
      <c r="I650" t="s">
        <v>1733</v>
      </c>
      <c r="J650" t="s">
        <v>1747</v>
      </c>
      <c r="K650" s="21" t="s">
        <v>1748</v>
      </c>
      <c r="L650" s="21" t="s">
        <v>1737</v>
      </c>
      <c r="M650" t="s">
        <v>1738</v>
      </c>
      <c r="N650" t="s">
        <v>42</v>
      </c>
      <c r="R650" t="s">
        <v>1746</v>
      </c>
      <c r="S650" t="s">
        <v>1747</v>
      </c>
      <c r="T650" t="s">
        <v>45</v>
      </c>
      <c r="U650" t="s">
        <v>46</v>
      </c>
      <c r="V650" t="s">
        <v>1740</v>
      </c>
      <c r="W650" t="s">
        <v>1749</v>
      </c>
    </row>
    <row r="651" spans="1:23" ht="15" customHeight="1" x14ac:dyDescent="0.3">
      <c r="A651" t="s">
        <v>8</v>
      </c>
      <c r="B651">
        <v>82</v>
      </c>
      <c r="C651" t="s">
        <v>477</v>
      </c>
      <c r="D651" t="s">
        <v>1733</v>
      </c>
      <c r="E651" t="s">
        <v>34</v>
      </c>
      <c r="F651" t="s">
        <v>1734</v>
      </c>
      <c r="G651" t="s">
        <v>440</v>
      </c>
      <c r="H651" t="s">
        <v>57</v>
      </c>
      <c r="I651" t="s">
        <v>1733</v>
      </c>
      <c r="J651" t="s">
        <v>1750</v>
      </c>
      <c r="K651" s="21" t="s">
        <v>1751</v>
      </c>
      <c r="L651" s="21" t="s">
        <v>1737</v>
      </c>
      <c r="M651" t="s">
        <v>1738</v>
      </c>
      <c r="N651" t="s">
        <v>42</v>
      </c>
      <c r="R651" t="s">
        <v>1739</v>
      </c>
      <c r="S651" t="s">
        <v>1750</v>
      </c>
      <c r="T651" t="s">
        <v>45</v>
      </c>
      <c r="U651" t="s">
        <v>46</v>
      </c>
      <c r="V651" t="s">
        <v>1740</v>
      </c>
      <c r="W651" t="s">
        <v>1752</v>
      </c>
    </row>
    <row r="652" spans="1:23" ht="15" customHeight="1" x14ac:dyDescent="0.3">
      <c r="A652" t="s">
        <v>8</v>
      </c>
      <c r="B652">
        <v>82</v>
      </c>
      <c r="C652" t="s">
        <v>477</v>
      </c>
      <c r="D652" t="s">
        <v>1733</v>
      </c>
      <c r="E652" t="s">
        <v>34</v>
      </c>
      <c r="F652" t="s">
        <v>1734</v>
      </c>
      <c r="G652" t="s">
        <v>440</v>
      </c>
      <c r="H652" t="s">
        <v>57</v>
      </c>
      <c r="I652" t="s">
        <v>1733</v>
      </c>
      <c r="J652" t="s">
        <v>1750</v>
      </c>
      <c r="K652" s="21" t="s">
        <v>1751</v>
      </c>
      <c r="L652" s="21" t="s">
        <v>1737</v>
      </c>
      <c r="M652" t="s">
        <v>1738</v>
      </c>
      <c r="N652" t="s">
        <v>42</v>
      </c>
      <c r="R652" t="s">
        <v>1742</v>
      </c>
      <c r="S652" t="s">
        <v>1750</v>
      </c>
      <c r="T652" t="s">
        <v>45</v>
      </c>
      <c r="U652" t="s">
        <v>46</v>
      </c>
      <c r="V652" t="s">
        <v>1740</v>
      </c>
      <c r="W652" t="s">
        <v>1752</v>
      </c>
    </row>
    <row r="653" spans="1:23" ht="15" customHeight="1" x14ac:dyDescent="0.3">
      <c r="A653" t="s">
        <v>8</v>
      </c>
      <c r="B653">
        <v>82</v>
      </c>
      <c r="C653" t="s">
        <v>477</v>
      </c>
      <c r="D653" t="s">
        <v>1733</v>
      </c>
      <c r="E653" t="s">
        <v>34</v>
      </c>
      <c r="F653" t="s">
        <v>1734</v>
      </c>
      <c r="G653" t="s">
        <v>440</v>
      </c>
      <c r="H653" t="s">
        <v>57</v>
      </c>
      <c r="I653" t="s">
        <v>1733</v>
      </c>
      <c r="J653" t="s">
        <v>1750</v>
      </c>
      <c r="K653" s="21" t="s">
        <v>1751</v>
      </c>
      <c r="L653" s="21" t="s">
        <v>1737</v>
      </c>
      <c r="M653" t="s">
        <v>1738</v>
      </c>
      <c r="N653" t="s">
        <v>42</v>
      </c>
      <c r="R653" t="s">
        <v>1743</v>
      </c>
      <c r="S653" t="s">
        <v>1750</v>
      </c>
      <c r="T653" t="s">
        <v>45</v>
      </c>
      <c r="U653" t="s">
        <v>46</v>
      </c>
      <c r="V653" t="s">
        <v>1740</v>
      </c>
      <c r="W653" t="s">
        <v>1752</v>
      </c>
    </row>
    <row r="654" spans="1:23" ht="15" customHeight="1" x14ac:dyDescent="0.3">
      <c r="A654" t="s">
        <v>8</v>
      </c>
      <c r="B654">
        <v>82</v>
      </c>
      <c r="C654" t="s">
        <v>477</v>
      </c>
      <c r="D654" t="s">
        <v>1733</v>
      </c>
      <c r="E654" t="s">
        <v>34</v>
      </c>
      <c r="F654" t="s">
        <v>1734</v>
      </c>
      <c r="G654" t="s">
        <v>440</v>
      </c>
      <c r="H654" t="s">
        <v>57</v>
      </c>
      <c r="I654" t="s">
        <v>1733</v>
      </c>
      <c r="J654" t="s">
        <v>1750</v>
      </c>
      <c r="K654" s="21" t="s">
        <v>1751</v>
      </c>
      <c r="L654" s="21" t="s">
        <v>1737</v>
      </c>
      <c r="M654" t="s">
        <v>1738</v>
      </c>
      <c r="N654" t="s">
        <v>42</v>
      </c>
      <c r="R654" t="s">
        <v>1744</v>
      </c>
      <c r="S654" t="s">
        <v>1750</v>
      </c>
      <c r="T654" t="s">
        <v>45</v>
      </c>
      <c r="U654" t="s">
        <v>46</v>
      </c>
      <c r="V654" t="s">
        <v>1740</v>
      </c>
      <c r="W654" t="s">
        <v>1752</v>
      </c>
    </row>
    <row r="655" spans="1:23" ht="15" customHeight="1" x14ac:dyDescent="0.3">
      <c r="A655" t="s">
        <v>8</v>
      </c>
      <c r="B655">
        <v>82</v>
      </c>
      <c r="C655" t="s">
        <v>477</v>
      </c>
      <c r="D655" t="s">
        <v>1733</v>
      </c>
      <c r="E655" t="s">
        <v>34</v>
      </c>
      <c r="F655" t="s">
        <v>1734</v>
      </c>
      <c r="G655" t="s">
        <v>440</v>
      </c>
      <c r="H655" t="s">
        <v>57</v>
      </c>
      <c r="I655" t="s">
        <v>1733</v>
      </c>
      <c r="J655" t="s">
        <v>1750</v>
      </c>
      <c r="K655" s="21" t="s">
        <v>1751</v>
      </c>
      <c r="L655" s="21" t="s">
        <v>1737</v>
      </c>
      <c r="M655" t="s">
        <v>1738</v>
      </c>
      <c r="N655" t="s">
        <v>42</v>
      </c>
      <c r="R655" t="s">
        <v>1745</v>
      </c>
      <c r="S655" t="s">
        <v>1750</v>
      </c>
      <c r="T655" t="s">
        <v>45</v>
      </c>
      <c r="U655" t="s">
        <v>46</v>
      </c>
      <c r="V655" t="s">
        <v>1740</v>
      </c>
      <c r="W655" t="s">
        <v>1752</v>
      </c>
    </row>
    <row r="656" spans="1:23" ht="15" customHeight="1" x14ac:dyDescent="0.3">
      <c r="A656" t="s">
        <v>8</v>
      </c>
      <c r="B656">
        <v>82</v>
      </c>
      <c r="C656" t="s">
        <v>477</v>
      </c>
      <c r="D656" t="s">
        <v>1733</v>
      </c>
      <c r="E656" t="s">
        <v>34</v>
      </c>
      <c r="F656" t="s">
        <v>1734</v>
      </c>
      <c r="G656" t="s">
        <v>440</v>
      </c>
      <c r="H656" t="s">
        <v>57</v>
      </c>
      <c r="I656" t="s">
        <v>1733</v>
      </c>
      <c r="J656" t="s">
        <v>1750</v>
      </c>
      <c r="K656" s="21" t="s">
        <v>1751</v>
      </c>
      <c r="L656" s="21" t="s">
        <v>1737</v>
      </c>
      <c r="M656" t="s">
        <v>1738</v>
      </c>
      <c r="N656" t="s">
        <v>42</v>
      </c>
      <c r="R656" t="s">
        <v>1746</v>
      </c>
      <c r="S656" t="s">
        <v>1750</v>
      </c>
      <c r="T656" t="s">
        <v>45</v>
      </c>
      <c r="U656" t="s">
        <v>46</v>
      </c>
      <c r="V656" t="s">
        <v>1740</v>
      </c>
      <c r="W656" t="s">
        <v>1752</v>
      </c>
    </row>
    <row r="657" spans="1:23" ht="15" customHeight="1" x14ac:dyDescent="0.3">
      <c r="A657" t="s">
        <v>8</v>
      </c>
      <c r="B657">
        <v>82</v>
      </c>
      <c r="C657" t="s">
        <v>477</v>
      </c>
      <c r="D657" t="s">
        <v>1733</v>
      </c>
      <c r="E657" t="s">
        <v>34</v>
      </c>
      <c r="F657" t="s">
        <v>1734</v>
      </c>
      <c r="G657" t="s">
        <v>440</v>
      </c>
      <c r="H657" t="s">
        <v>49</v>
      </c>
      <c r="I657" t="s">
        <v>1733</v>
      </c>
      <c r="J657" t="s">
        <v>1753</v>
      </c>
      <c r="K657" s="21" t="s">
        <v>1754</v>
      </c>
      <c r="L657" s="21" t="s">
        <v>1737</v>
      </c>
      <c r="M657" t="s">
        <v>1738</v>
      </c>
      <c r="N657" t="s">
        <v>42</v>
      </c>
      <c r="R657" t="s">
        <v>1739</v>
      </c>
      <c r="S657" t="s">
        <v>1753</v>
      </c>
      <c r="T657" t="s">
        <v>45</v>
      </c>
      <c r="U657" t="s">
        <v>46</v>
      </c>
      <c r="V657" t="s">
        <v>1740</v>
      </c>
      <c r="W657" t="s">
        <v>1755</v>
      </c>
    </row>
    <row r="658" spans="1:23" ht="15" customHeight="1" x14ac:dyDescent="0.3">
      <c r="A658" t="s">
        <v>8</v>
      </c>
      <c r="B658">
        <v>82</v>
      </c>
      <c r="C658" t="s">
        <v>477</v>
      </c>
      <c r="D658" t="s">
        <v>1733</v>
      </c>
      <c r="E658" t="s">
        <v>34</v>
      </c>
      <c r="F658" t="s">
        <v>1734</v>
      </c>
      <c r="G658" t="s">
        <v>440</v>
      </c>
      <c r="H658" t="s">
        <v>49</v>
      </c>
      <c r="I658" t="s">
        <v>1733</v>
      </c>
      <c r="J658" t="s">
        <v>1753</v>
      </c>
      <c r="K658" s="21" t="s">
        <v>1754</v>
      </c>
      <c r="L658" s="21" t="s">
        <v>1737</v>
      </c>
      <c r="M658" t="s">
        <v>1738</v>
      </c>
      <c r="N658" t="s">
        <v>42</v>
      </c>
      <c r="R658" t="s">
        <v>1742</v>
      </c>
      <c r="S658" t="s">
        <v>1753</v>
      </c>
      <c r="T658" t="s">
        <v>45</v>
      </c>
      <c r="U658" t="s">
        <v>46</v>
      </c>
      <c r="V658" t="s">
        <v>1740</v>
      </c>
      <c r="W658" t="s">
        <v>1755</v>
      </c>
    </row>
    <row r="659" spans="1:23" ht="15" customHeight="1" x14ac:dyDescent="0.3">
      <c r="A659" t="s">
        <v>8</v>
      </c>
      <c r="B659">
        <v>82</v>
      </c>
      <c r="C659" t="s">
        <v>477</v>
      </c>
      <c r="D659" t="s">
        <v>1733</v>
      </c>
      <c r="E659" t="s">
        <v>34</v>
      </c>
      <c r="F659" t="s">
        <v>1734</v>
      </c>
      <c r="G659" t="s">
        <v>440</v>
      </c>
      <c r="H659" t="s">
        <v>49</v>
      </c>
      <c r="I659" t="s">
        <v>1733</v>
      </c>
      <c r="J659" t="s">
        <v>1753</v>
      </c>
      <c r="K659" s="21" t="s">
        <v>1754</v>
      </c>
      <c r="L659" s="21" t="s">
        <v>1737</v>
      </c>
      <c r="M659" t="s">
        <v>1738</v>
      </c>
      <c r="N659" t="s">
        <v>42</v>
      </c>
      <c r="R659" t="s">
        <v>1743</v>
      </c>
      <c r="S659" t="s">
        <v>1753</v>
      </c>
      <c r="T659" t="s">
        <v>45</v>
      </c>
      <c r="U659" t="s">
        <v>46</v>
      </c>
      <c r="V659" t="s">
        <v>1740</v>
      </c>
      <c r="W659" t="s">
        <v>1755</v>
      </c>
    </row>
    <row r="660" spans="1:23" ht="15" customHeight="1" x14ac:dyDescent="0.3">
      <c r="A660" t="s">
        <v>8</v>
      </c>
      <c r="B660">
        <v>82</v>
      </c>
      <c r="C660" t="s">
        <v>477</v>
      </c>
      <c r="D660" t="s">
        <v>1733</v>
      </c>
      <c r="E660" t="s">
        <v>34</v>
      </c>
      <c r="F660" t="s">
        <v>1734</v>
      </c>
      <c r="G660" t="s">
        <v>440</v>
      </c>
      <c r="H660" t="s">
        <v>49</v>
      </c>
      <c r="I660" t="s">
        <v>1733</v>
      </c>
      <c r="J660" t="s">
        <v>1753</v>
      </c>
      <c r="K660" s="21" t="s">
        <v>1754</v>
      </c>
      <c r="L660" s="21" t="s">
        <v>1737</v>
      </c>
      <c r="M660" t="s">
        <v>1738</v>
      </c>
      <c r="N660" t="s">
        <v>42</v>
      </c>
      <c r="R660" t="s">
        <v>1744</v>
      </c>
      <c r="S660" t="s">
        <v>1753</v>
      </c>
      <c r="T660" t="s">
        <v>45</v>
      </c>
      <c r="U660" t="s">
        <v>46</v>
      </c>
      <c r="V660" t="s">
        <v>1740</v>
      </c>
      <c r="W660" t="s">
        <v>1755</v>
      </c>
    </row>
    <row r="661" spans="1:23" ht="15" customHeight="1" x14ac:dyDescent="0.3">
      <c r="A661" t="s">
        <v>8</v>
      </c>
      <c r="B661">
        <v>82</v>
      </c>
      <c r="C661" t="s">
        <v>477</v>
      </c>
      <c r="D661" t="s">
        <v>1733</v>
      </c>
      <c r="E661" t="s">
        <v>34</v>
      </c>
      <c r="F661" t="s">
        <v>1734</v>
      </c>
      <c r="G661" t="s">
        <v>440</v>
      </c>
      <c r="H661" t="s">
        <v>49</v>
      </c>
      <c r="I661" t="s">
        <v>1733</v>
      </c>
      <c r="J661" t="s">
        <v>1753</v>
      </c>
      <c r="K661" s="21" t="s">
        <v>1754</v>
      </c>
      <c r="L661" s="21" t="s">
        <v>1737</v>
      </c>
      <c r="M661" t="s">
        <v>1738</v>
      </c>
      <c r="N661" t="s">
        <v>42</v>
      </c>
      <c r="R661" t="s">
        <v>1745</v>
      </c>
      <c r="S661" t="s">
        <v>1753</v>
      </c>
      <c r="T661" t="s">
        <v>45</v>
      </c>
      <c r="U661" t="s">
        <v>46</v>
      </c>
      <c r="V661" t="s">
        <v>1740</v>
      </c>
      <c r="W661" t="s">
        <v>1755</v>
      </c>
    </row>
    <row r="662" spans="1:23" ht="15" customHeight="1" x14ac:dyDescent="0.3">
      <c r="A662" t="s">
        <v>8</v>
      </c>
      <c r="B662">
        <v>82</v>
      </c>
      <c r="C662" t="s">
        <v>477</v>
      </c>
      <c r="D662" t="s">
        <v>1733</v>
      </c>
      <c r="E662" t="s">
        <v>34</v>
      </c>
      <c r="F662" t="s">
        <v>1734</v>
      </c>
      <c r="G662" t="s">
        <v>440</v>
      </c>
      <c r="H662" t="s">
        <v>49</v>
      </c>
      <c r="I662" t="s">
        <v>1733</v>
      </c>
      <c r="J662" t="s">
        <v>1753</v>
      </c>
      <c r="K662" s="21" t="s">
        <v>1754</v>
      </c>
      <c r="L662" s="21" t="s">
        <v>1737</v>
      </c>
      <c r="M662" t="s">
        <v>1738</v>
      </c>
      <c r="N662" t="s">
        <v>42</v>
      </c>
      <c r="R662" t="s">
        <v>1746</v>
      </c>
      <c r="S662" t="s">
        <v>1753</v>
      </c>
      <c r="T662" t="s">
        <v>45</v>
      </c>
      <c r="U662" t="s">
        <v>46</v>
      </c>
      <c r="V662" t="s">
        <v>1740</v>
      </c>
      <c r="W662" t="s">
        <v>1755</v>
      </c>
    </row>
    <row r="663" spans="1:23" ht="15" customHeight="1" x14ac:dyDescent="0.3">
      <c r="A663" t="s">
        <v>8</v>
      </c>
      <c r="B663">
        <v>82</v>
      </c>
      <c r="C663" t="s">
        <v>477</v>
      </c>
      <c r="D663" t="s">
        <v>1733</v>
      </c>
      <c r="E663" t="s">
        <v>34</v>
      </c>
      <c r="F663" t="s">
        <v>1734</v>
      </c>
      <c r="G663" t="s">
        <v>440</v>
      </c>
      <c r="H663" t="s">
        <v>87</v>
      </c>
      <c r="I663" t="s">
        <v>1733</v>
      </c>
      <c r="J663" t="s">
        <v>1756</v>
      </c>
      <c r="K663" s="21" t="s">
        <v>1757</v>
      </c>
      <c r="L663" s="21" t="s">
        <v>1737</v>
      </c>
      <c r="M663" t="s">
        <v>1738</v>
      </c>
      <c r="N663" t="s">
        <v>42</v>
      </c>
      <c r="R663" t="s">
        <v>1739</v>
      </c>
      <c r="S663" t="s">
        <v>1756</v>
      </c>
      <c r="T663" t="s">
        <v>45</v>
      </c>
      <c r="U663" t="s">
        <v>46</v>
      </c>
      <c r="V663" t="s">
        <v>1740</v>
      </c>
      <c r="W663" t="s">
        <v>1758</v>
      </c>
    </row>
    <row r="664" spans="1:23" ht="15" customHeight="1" x14ac:dyDescent="0.3">
      <c r="A664" t="s">
        <v>8</v>
      </c>
      <c r="B664">
        <v>82</v>
      </c>
      <c r="C664" t="s">
        <v>477</v>
      </c>
      <c r="D664" t="s">
        <v>1733</v>
      </c>
      <c r="E664" t="s">
        <v>34</v>
      </c>
      <c r="F664" t="s">
        <v>1734</v>
      </c>
      <c r="G664" t="s">
        <v>440</v>
      </c>
      <c r="H664" t="s">
        <v>87</v>
      </c>
      <c r="I664" t="s">
        <v>1733</v>
      </c>
      <c r="J664" t="s">
        <v>1756</v>
      </c>
      <c r="K664" s="21" t="s">
        <v>1757</v>
      </c>
      <c r="L664" s="21" t="s">
        <v>1737</v>
      </c>
      <c r="M664" t="s">
        <v>1738</v>
      </c>
      <c r="N664" t="s">
        <v>42</v>
      </c>
      <c r="R664" t="s">
        <v>1742</v>
      </c>
      <c r="S664" t="s">
        <v>1756</v>
      </c>
      <c r="T664" t="s">
        <v>45</v>
      </c>
      <c r="U664" t="s">
        <v>46</v>
      </c>
      <c r="V664" t="s">
        <v>1740</v>
      </c>
      <c r="W664" t="s">
        <v>1758</v>
      </c>
    </row>
    <row r="665" spans="1:23" ht="15" customHeight="1" x14ac:dyDescent="0.3">
      <c r="A665" t="s">
        <v>8</v>
      </c>
      <c r="B665">
        <v>82</v>
      </c>
      <c r="C665" t="s">
        <v>477</v>
      </c>
      <c r="D665" t="s">
        <v>1733</v>
      </c>
      <c r="E665" t="s">
        <v>34</v>
      </c>
      <c r="F665" t="s">
        <v>1734</v>
      </c>
      <c r="G665" t="s">
        <v>440</v>
      </c>
      <c r="H665" t="s">
        <v>87</v>
      </c>
      <c r="I665" t="s">
        <v>1733</v>
      </c>
      <c r="J665" t="s">
        <v>1756</v>
      </c>
      <c r="K665" s="21" t="s">
        <v>1757</v>
      </c>
      <c r="L665" s="21" t="s">
        <v>1737</v>
      </c>
      <c r="M665" t="s">
        <v>1738</v>
      </c>
      <c r="N665" t="s">
        <v>42</v>
      </c>
      <c r="R665" t="s">
        <v>1743</v>
      </c>
      <c r="S665" t="s">
        <v>1756</v>
      </c>
      <c r="T665" t="s">
        <v>45</v>
      </c>
      <c r="U665" t="s">
        <v>46</v>
      </c>
      <c r="V665" t="s">
        <v>1740</v>
      </c>
      <c r="W665" t="s">
        <v>1758</v>
      </c>
    </row>
    <row r="666" spans="1:23" ht="15" customHeight="1" x14ac:dyDescent="0.3">
      <c r="A666" t="s">
        <v>8</v>
      </c>
      <c r="B666">
        <v>82</v>
      </c>
      <c r="C666" t="s">
        <v>477</v>
      </c>
      <c r="D666" t="s">
        <v>1733</v>
      </c>
      <c r="E666" t="s">
        <v>34</v>
      </c>
      <c r="F666" t="s">
        <v>1734</v>
      </c>
      <c r="G666" t="s">
        <v>440</v>
      </c>
      <c r="H666" t="s">
        <v>87</v>
      </c>
      <c r="I666" t="s">
        <v>1733</v>
      </c>
      <c r="J666" t="s">
        <v>1756</v>
      </c>
      <c r="K666" s="21" t="s">
        <v>1757</v>
      </c>
      <c r="L666" s="21" t="s">
        <v>1737</v>
      </c>
      <c r="M666" t="s">
        <v>1738</v>
      </c>
      <c r="N666" t="s">
        <v>42</v>
      </c>
      <c r="R666" t="s">
        <v>1744</v>
      </c>
      <c r="S666" t="s">
        <v>1756</v>
      </c>
      <c r="T666" t="s">
        <v>45</v>
      </c>
      <c r="U666" t="s">
        <v>46</v>
      </c>
      <c r="V666" t="s">
        <v>1740</v>
      </c>
      <c r="W666" t="s">
        <v>1758</v>
      </c>
    </row>
    <row r="667" spans="1:23" ht="15" customHeight="1" x14ac:dyDescent="0.3">
      <c r="A667" t="s">
        <v>8</v>
      </c>
      <c r="B667">
        <v>82</v>
      </c>
      <c r="C667" t="s">
        <v>477</v>
      </c>
      <c r="D667" t="s">
        <v>1733</v>
      </c>
      <c r="E667" t="s">
        <v>34</v>
      </c>
      <c r="F667" t="s">
        <v>1734</v>
      </c>
      <c r="G667" t="s">
        <v>440</v>
      </c>
      <c r="H667" t="s">
        <v>87</v>
      </c>
      <c r="I667" t="s">
        <v>1733</v>
      </c>
      <c r="J667" t="s">
        <v>1756</v>
      </c>
      <c r="K667" s="21" t="s">
        <v>1757</v>
      </c>
      <c r="L667" s="21" t="s">
        <v>1737</v>
      </c>
      <c r="M667" t="s">
        <v>1738</v>
      </c>
      <c r="N667" t="s">
        <v>42</v>
      </c>
      <c r="R667" t="s">
        <v>1745</v>
      </c>
      <c r="S667" t="s">
        <v>1756</v>
      </c>
      <c r="T667" t="s">
        <v>45</v>
      </c>
      <c r="U667" t="s">
        <v>46</v>
      </c>
      <c r="V667" t="s">
        <v>1740</v>
      </c>
      <c r="W667" t="s">
        <v>1758</v>
      </c>
    </row>
    <row r="668" spans="1:23" ht="15" customHeight="1" x14ac:dyDescent="0.3">
      <c r="A668" t="s">
        <v>8</v>
      </c>
      <c r="B668">
        <v>82</v>
      </c>
      <c r="C668" t="s">
        <v>477</v>
      </c>
      <c r="D668" t="s">
        <v>1733</v>
      </c>
      <c r="E668" t="s">
        <v>34</v>
      </c>
      <c r="F668" t="s">
        <v>1734</v>
      </c>
      <c r="G668" t="s">
        <v>440</v>
      </c>
      <c r="H668" t="s">
        <v>87</v>
      </c>
      <c r="I668" t="s">
        <v>1733</v>
      </c>
      <c r="J668" t="s">
        <v>1756</v>
      </c>
      <c r="K668" s="21" t="s">
        <v>1757</v>
      </c>
      <c r="L668" s="21" t="s">
        <v>1737</v>
      </c>
      <c r="M668" t="s">
        <v>1738</v>
      </c>
      <c r="N668" t="s">
        <v>42</v>
      </c>
      <c r="R668" t="s">
        <v>1746</v>
      </c>
      <c r="S668" t="s">
        <v>1756</v>
      </c>
      <c r="T668" t="s">
        <v>45</v>
      </c>
      <c r="U668" t="s">
        <v>46</v>
      </c>
      <c r="V668" t="s">
        <v>1740</v>
      </c>
      <c r="W668" t="s">
        <v>1758</v>
      </c>
    </row>
    <row r="669" spans="1:23" ht="15" customHeight="1" x14ac:dyDescent="0.3">
      <c r="A669" t="s">
        <v>8</v>
      </c>
      <c r="B669">
        <v>82</v>
      </c>
      <c r="C669" t="s">
        <v>477</v>
      </c>
      <c r="D669" t="s">
        <v>1733</v>
      </c>
      <c r="E669" t="s">
        <v>34</v>
      </c>
      <c r="F669" t="s">
        <v>1734</v>
      </c>
      <c r="G669" t="s">
        <v>440</v>
      </c>
      <c r="H669" t="s">
        <v>421</v>
      </c>
      <c r="I669" t="s">
        <v>1733</v>
      </c>
      <c r="J669" t="s">
        <v>1759</v>
      </c>
      <c r="K669" s="21" t="s">
        <v>1760</v>
      </c>
      <c r="L669" s="21" t="s">
        <v>1737</v>
      </c>
      <c r="M669" t="s">
        <v>1738</v>
      </c>
      <c r="N669" t="s">
        <v>42</v>
      </c>
      <c r="R669" t="s">
        <v>1739</v>
      </c>
      <c r="S669" t="s">
        <v>1759</v>
      </c>
      <c r="T669" t="s">
        <v>45</v>
      </c>
      <c r="U669" t="s">
        <v>46</v>
      </c>
      <c r="V669" t="s">
        <v>1740</v>
      </c>
      <c r="W669" t="s">
        <v>1761</v>
      </c>
    </row>
    <row r="670" spans="1:23" ht="15" customHeight="1" x14ac:dyDescent="0.3">
      <c r="A670" t="s">
        <v>8</v>
      </c>
      <c r="B670">
        <v>82</v>
      </c>
      <c r="C670" t="s">
        <v>477</v>
      </c>
      <c r="D670" t="s">
        <v>1733</v>
      </c>
      <c r="E670" t="s">
        <v>34</v>
      </c>
      <c r="F670" t="s">
        <v>1734</v>
      </c>
      <c r="G670" t="s">
        <v>440</v>
      </c>
      <c r="H670" t="s">
        <v>421</v>
      </c>
      <c r="I670" t="s">
        <v>1733</v>
      </c>
      <c r="J670" t="s">
        <v>1759</v>
      </c>
      <c r="K670" s="21" t="s">
        <v>1760</v>
      </c>
      <c r="L670" s="21" t="s">
        <v>1737</v>
      </c>
      <c r="M670" t="s">
        <v>1738</v>
      </c>
      <c r="N670" t="s">
        <v>42</v>
      </c>
      <c r="R670" t="s">
        <v>1742</v>
      </c>
      <c r="S670" t="s">
        <v>1759</v>
      </c>
      <c r="T670" t="s">
        <v>45</v>
      </c>
      <c r="U670" t="s">
        <v>46</v>
      </c>
      <c r="V670" t="s">
        <v>1740</v>
      </c>
      <c r="W670" t="s">
        <v>1761</v>
      </c>
    </row>
    <row r="671" spans="1:23" ht="15" customHeight="1" x14ac:dyDescent="0.3">
      <c r="A671" t="s">
        <v>8</v>
      </c>
      <c r="B671">
        <v>82</v>
      </c>
      <c r="C671" t="s">
        <v>477</v>
      </c>
      <c r="D671" t="s">
        <v>1733</v>
      </c>
      <c r="E671" t="s">
        <v>34</v>
      </c>
      <c r="F671" t="s">
        <v>1734</v>
      </c>
      <c r="G671" t="s">
        <v>440</v>
      </c>
      <c r="H671" t="s">
        <v>421</v>
      </c>
      <c r="I671" t="s">
        <v>1733</v>
      </c>
      <c r="J671" t="s">
        <v>1759</v>
      </c>
      <c r="K671" s="21" t="s">
        <v>1760</v>
      </c>
      <c r="L671" s="21" t="s">
        <v>1737</v>
      </c>
      <c r="M671" t="s">
        <v>1738</v>
      </c>
      <c r="N671" t="s">
        <v>42</v>
      </c>
      <c r="R671" t="s">
        <v>1743</v>
      </c>
      <c r="S671" t="s">
        <v>1759</v>
      </c>
      <c r="T671" t="s">
        <v>45</v>
      </c>
      <c r="U671" t="s">
        <v>46</v>
      </c>
      <c r="V671" t="s">
        <v>1740</v>
      </c>
      <c r="W671" t="s">
        <v>1761</v>
      </c>
    </row>
    <row r="672" spans="1:23" ht="15" customHeight="1" x14ac:dyDescent="0.3">
      <c r="A672" t="s">
        <v>8</v>
      </c>
      <c r="B672">
        <v>82</v>
      </c>
      <c r="C672" t="s">
        <v>477</v>
      </c>
      <c r="D672" t="s">
        <v>1733</v>
      </c>
      <c r="E672" t="s">
        <v>34</v>
      </c>
      <c r="F672" t="s">
        <v>1734</v>
      </c>
      <c r="G672" t="s">
        <v>440</v>
      </c>
      <c r="H672" t="s">
        <v>421</v>
      </c>
      <c r="I672" t="s">
        <v>1733</v>
      </c>
      <c r="J672" t="s">
        <v>1759</v>
      </c>
      <c r="K672" s="21" t="s">
        <v>1760</v>
      </c>
      <c r="L672" s="21" t="s">
        <v>1737</v>
      </c>
      <c r="M672" t="s">
        <v>1738</v>
      </c>
      <c r="N672" t="s">
        <v>42</v>
      </c>
      <c r="R672" t="s">
        <v>1744</v>
      </c>
      <c r="S672" t="s">
        <v>1759</v>
      </c>
      <c r="T672" t="s">
        <v>45</v>
      </c>
      <c r="U672" t="s">
        <v>46</v>
      </c>
      <c r="V672" t="s">
        <v>1740</v>
      </c>
      <c r="W672" t="s">
        <v>1761</v>
      </c>
    </row>
    <row r="673" spans="1:23" ht="15" customHeight="1" x14ac:dyDescent="0.3">
      <c r="A673" t="s">
        <v>8</v>
      </c>
      <c r="B673">
        <v>82</v>
      </c>
      <c r="C673" t="s">
        <v>477</v>
      </c>
      <c r="D673" t="s">
        <v>1733</v>
      </c>
      <c r="E673" t="s">
        <v>34</v>
      </c>
      <c r="F673" t="s">
        <v>1734</v>
      </c>
      <c r="G673" t="s">
        <v>440</v>
      </c>
      <c r="H673" t="s">
        <v>421</v>
      </c>
      <c r="I673" t="s">
        <v>1733</v>
      </c>
      <c r="J673" t="s">
        <v>1759</v>
      </c>
      <c r="K673" s="21" t="s">
        <v>1760</v>
      </c>
      <c r="L673" s="21" t="s">
        <v>1737</v>
      </c>
      <c r="M673" t="s">
        <v>1738</v>
      </c>
      <c r="N673" t="s">
        <v>42</v>
      </c>
      <c r="R673" t="s">
        <v>1745</v>
      </c>
      <c r="S673" t="s">
        <v>1759</v>
      </c>
      <c r="T673" t="s">
        <v>45</v>
      </c>
      <c r="U673" t="s">
        <v>46</v>
      </c>
      <c r="V673" t="s">
        <v>1740</v>
      </c>
      <c r="W673" t="s">
        <v>1761</v>
      </c>
    </row>
    <row r="674" spans="1:23" ht="15" customHeight="1" x14ac:dyDescent="0.3">
      <c r="A674" t="s">
        <v>8</v>
      </c>
      <c r="B674">
        <v>82</v>
      </c>
      <c r="C674" t="s">
        <v>477</v>
      </c>
      <c r="D674" t="s">
        <v>1733</v>
      </c>
      <c r="E674" t="s">
        <v>34</v>
      </c>
      <c r="F674" t="s">
        <v>1734</v>
      </c>
      <c r="G674" t="s">
        <v>440</v>
      </c>
      <c r="H674" t="s">
        <v>421</v>
      </c>
      <c r="I674" t="s">
        <v>1733</v>
      </c>
      <c r="J674" t="s">
        <v>1759</v>
      </c>
      <c r="K674" s="21" t="s">
        <v>1760</v>
      </c>
      <c r="L674" s="21" t="s">
        <v>1737</v>
      </c>
      <c r="M674" t="s">
        <v>1738</v>
      </c>
      <c r="N674" t="s">
        <v>42</v>
      </c>
      <c r="R674" t="s">
        <v>1746</v>
      </c>
      <c r="S674" t="s">
        <v>1759</v>
      </c>
      <c r="T674" t="s">
        <v>45</v>
      </c>
      <c r="U674" t="s">
        <v>46</v>
      </c>
      <c r="V674" t="s">
        <v>1740</v>
      </c>
      <c r="W674" t="s">
        <v>1761</v>
      </c>
    </row>
    <row r="675" spans="1:23" ht="15" customHeight="1" x14ac:dyDescent="0.3">
      <c r="A675" t="s">
        <v>8</v>
      </c>
      <c r="B675">
        <v>82</v>
      </c>
      <c r="C675" t="s">
        <v>477</v>
      </c>
      <c r="D675" t="s">
        <v>1733</v>
      </c>
      <c r="E675" t="s">
        <v>34</v>
      </c>
      <c r="F675" t="s">
        <v>1734</v>
      </c>
      <c r="G675" t="s">
        <v>440</v>
      </c>
      <c r="H675" t="s">
        <v>182</v>
      </c>
      <c r="I675" t="s">
        <v>1733</v>
      </c>
      <c r="J675" t="s">
        <v>1762</v>
      </c>
      <c r="K675" s="21" t="s">
        <v>1763</v>
      </c>
      <c r="L675" s="21" t="s">
        <v>1737</v>
      </c>
      <c r="M675" t="s">
        <v>1738</v>
      </c>
      <c r="N675" t="s">
        <v>42</v>
      </c>
      <c r="R675" t="s">
        <v>1739</v>
      </c>
      <c r="S675" t="s">
        <v>1762</v>
      </c>
      <c r="T675" t="s">
        <v>45</v>
      </c>
      <c r="U675" t="s">
        <v>1486</v>
      </c>
      <c r="V675" t="s">
        <v>1740</v>
      </c>
      <c r="W675" t="s">
        <v>1764</v>
      </c>
    </row>
    <row r="676" spans="1:23" ht="15" customHeight="1" x14ac:dyDescent="0.3">
      <c r="A676" t="s">
        <v>8</v>
      </c>
      <c r="B676">
        <v>82</v>
      </c>
      <c r="C676" t="s">
        <v>477</v>
      </c>
      <c r="D676" t="s">
        <v>1733</v>
      </c>
      <c r="E676" t="s">
        <v>34</v>
      </c>
      <c r="F676" t="s">
        <v>1734</v>
      </c>
      <c r="G676" t="s">
        <v>440</v>
      </c>
      <c r="H676" t="s">
        <v>182</v>
      </c>
      <c r="I676" t="s">
        <v>1733</v>
      </c>
      <c r="J676" t="s">
        <v>1762</v>
      </c>
      <c r="K676" s="21" t="s">
        <v>1763</v>
      </c>
      <c r="L676" s="21" t="s">
        <v>1737</v>
      </c>
      <c r="M676" t="s">
        <v>1738</v>
      </c>
      <c r="N676" t="s">
        <v>42</v>
      </c>
      <c r="R676" t="s">
        <v>1742</v>
      </c>
      <c r="S676" t="s">
        <v>1762</v>
      </c>
      <c r="T676" t="s">
        <v>45</v>
      </c>
      <c r="U676" t="s">
        <v>1486</v>
      </c>
      <c r="V676" t="s">
        <v>1740</v>
      </c>
      <c r="W676" t="s">
        <v>1764</v>
      </c>
    </row>
    <row r="677" spans="1:23" ht="15" customHeight="1" x14ac:dyDescent="0.3">
      <c r="A677" t="s">
        <v>8</v>
      </c>
      <c r="B677">
        <v>82</v>
      </c>
      <c r="C677" t="s">
        <v>477</v>
      </c>
      <c r="D677" t="s">
        <v>1733</v>
      </c>
      <c r="E677" t="s">
        <v>34</v>
      </c>
      <c r="F677" t="s">
        <v>1734</v>
      </c>
      <c r="G677" t="s">
        <v>440</v>
      </c>
      <c r="H677" t="s">
        <v>182</v>
      </c>
      <c r="I677" t="s">
        <v>1733</v>
      </c>
      <c r="J677" t="s">
        <v>1762</v>
      </c>
      <c r="K677" s="21" t="s">
        <v>1763</v>
      </c>
      <c r="L677" s="21" t="s">
        <v>1737</v>
      </c>
      <c r="M677" t="s">
        <v>1738</v>
      </c>
      <c r="N677" t="s">
        <v>42</v>
      </c>
      <c r="R677" t="s">
        <v>1743</v>
      </c>
      <c r="S677" t="s">
        <v>1762</v>
      </c>
      <c r="T677" t="s">
        <v>45</v>
      </c>
      <c r="U677" t="s">
        <v>1486</v>
      </c>
      <c r="V677" t="s">
        <v>1740</v>
      </c>
      <c r="W677" t="s">
        <v>1764</v>
      </c>
    </row>
    <row r="678" spans="1:23" ht="15" customHeight="1" x14ac:dyDescent="0.3">
      <c r="A678" t="s">
        <v>8</v>
      </c>
      <c r="B678">
        <v>82</v>
      </c>
      <c r="C678" t="s">
        <v>477</v>
      </c>
      <c r="D678" t="s">
        <v>1733</v>
      </c>
      <c r="E678" t="s">
        <v>34</v>
      </c>
      <c r="F678" t="s">
        <v>1734</v>
      </c>
      <c r="G678" t="s">
        <v>440</v>
      </c>
      <c r="H678" t="s">
        <v>182</v>
      </c>
      <c r="I678" t="s">
        <v>1733</v>
      </c>
      <c r="J678" t="s">
        <v>1762</v>
      </c>
      <c r="K678" s="21" t="s">
        <v>1763</v>
      </c>
      <c r="L678" s="21" t="s">
        <v>1737</v>
      </c>
      <c r="M678" t="s">
        <v>1738</v>
      </c>
      <c r="N678" t="s">
        <v>42</v>
      </c>
      <c r="R678" t="s">
        <v>1744</v>
      </c>
      <c r="S678" t="s">
        <v>1762</v>
      </c>
      <c r="T678" t="s">
        <v>45</v>
      </c>
      <c r="U678" t="s">
        <v>1486</v>
      </c>
      <c r="V678" t="s">
        <v>1740</v>
      </c>
      <c r="W678" t="s">
        <v>1764</v>
      </c>
    </row>
    <row r="679" spans="1:23" ht="15" customHeight="1" x14ac:dyDescent="0.3">
      <c r="A679" t="s">
        <v>8</v>
      </c>
      <c r="B679">
        <v>82</v>
      </c>
      <c r="C679" t="s">
        <v>477</v>
      </c>
      <c r="D679" t="s">
        <v>1733</v>
      </c>
      <c r="E679" t="s">
        <v>34</v>
      </c>
      <c r="F679" t="s">
        <v>1734</v>
      </c>
      <c r="G679" t="s">
        <v>440</v>
      </c>
      <c r="H679" t="s">
        <v>182</v>
      </c>
      <c r="I679" t="s">
        <v>1733</v>
      </c>
      <c r="J679" t="s">
        <v>1762</v>
      </c>
      <c r="K679" s="21" t="s">
        <v>1763</v>
      </c>
      <c r="L679" s="21" t="s">
        <v>1737</v>
      </c>
      <c r="M679" t="s">
        <v>1738</v>
      </c>
      <c r="N679" t="s">
        <v>42</v>
      </c>
      <c r="R679" t="s">
        <v>1745</v>
      </c>
      <c r="S679" t="s">
        <v>1762</v>
      </c>
      <c r="T679" t="s">
        <v>45</v>
      </c>
      <c r="U679" t="s">
        <v>1486</v>
      </c>
      <c r="V679" t="s">
        <v>1740</v>
      </c>
      <c r="W679" t="s">
        <v>1764</v>
      </c>
    </row>
    <row r="680" spans="1:23" ht="15" customHeight="1" x14ac:dyDescent="0.3">
      <c r="A680" t="s">
        <v>8</v>
      </c>
      <c r="B680">
        <v>82</v>
      </c>
      <c r="C680" t="s">
        <v>477</v>
      </c>
      <c r="D680" t="s">
        <v>1733</v>
      </c>
      <c r="E680" t="s">
        <v>34</v>
      </c>
      <c r="F680" t="s">
        <v>1734</v>
      </c>
      <c r="G680" t="s">
        <v>440</v>
      </c>
      <c r="H680" t="s">
        <v>182</v>
      </c>
      <c r="I680" t="s">
        <v>1733</v>
      </c>
      <c r="J680" t="s">
        <v>1762</v>
      </c>
      <c r="K680" s="21" t="s">
        <v>1763</v>
      </c>
      <c r="L680" s="21" t="s">
        <v>1737</v>
      </c>
      <c r="M680" t="s">
        <v>1738</v>
      </c>
      <c r="N680" t="s">
        <v>42</v>
      </c>
      <c r="R680" t="s">
        <v>1746</v>
      </c>
      <c r="S680" t="s">
        <v>1762</v>
      </c>
      <c r="T680" t="s">
        <v>45</v>
      </c>
      <c r="U680" t="s">
        <v>1486</v>
      </c>
      <c r="V680" t="s">
        <v>1740</v>
      </c>
      <c r="W680" t="s">
        <v>1764</v>
      </c>
    </row>
    <row r="681" spans="1:23" ht="15" customHeight="1" x14ac:dyDescent="0.3">
      <c r="A681" t="s">
        <v>8</v>
      </c>
      <c r="B681">
        <v>82</v>
      </c>
      <c r="C681" t="s">
        <v>477</v>
      </c>
      <c r="D681" t="s">
        <v>1733</v>
      </c>
      <c r="E681" t="s">
        <v>34</v>
      </c>
      <c r="F681" t="s">
        <v>1734</v>
      </c>
      <c r="G681" t="s">
        <v>440</v>
      </c>
      <c r="H681" t="s">
        <v>1242</v>
      </c>
      <c r="I681" t="s">
        <v>1733</v>
      </c>
      <c r="J681" t="s">
        <v>1765</v>
      </c>
      <c r="K681" s="21" t="s">
        <v>1766</v>
      </c>
      <c r="L681" s="21" t="s">
        <v>1737</v>
      </c>
      <c r="M681" t="s">
        <v>1738</v>
      </c>
      <c r="N681" t="s">
        <v>42</v>
      </c>
      <c r="R681" t="s">
        <v>1739</v>
      </c>
      <c r="S681" t="s">
        <v>1765</v>
      </c>
      <c r="T681" t="s">
        <v>45</v>
      </c>
      <c r="U681" t="s">
        <v>1486</v>
      </c>
      <c r="V681" t="s">
        <v>1740</v>
      </c>
      <c r="W681" t="s">
        <v>1767</v>
      </c>
    </row>
    <row r="682" spans="1:23" ht="15" customHeight="1" x14ac:dyDescent="0.3">
      <c r="A682" t="s">
        <v>8</v>
      </c>
      <c r="B682">
        <v>82</v>
      </c>
      <c r="C682" t="s">
        <v>477</v>
      </c>
      <c r="D682" t="s">
        <v>1733</v>
      </c>
      <c r="E682" t="s">
        <v>34</v>
      </c>
      <c r="F682" t="s">
        <v>1734</v>
      </c>
      <c r="G682" t="s">
        <v>440</v>
      </c>
      <c r="H682" t="s">
        <v>1242</v>
      </c>
      <c r="I682" t="s">
        <v>1733</v>
      </c>
      <c r="J682" t="s">
        <v>1765</v>
      </c>
      <c r="K682" s="21" t="s">
        <v>1766</v>
      </c>
      <c r="L682" s="21" t="s">
        <v>1737</v>
      </c>
      <c r="M682" t="s">
        <v>1738</v>
      </c>
      <c r="N682" t="s">
        <v>42</v>
      </c>
      <c r="R682" t="s">
        <v>1742</v>
      </c>
      <c r="S682" t="s">
        <v>1765</v>
      </c>
      <c r="T682" t="s">
        <v>45</v>
      </c>
      <c r="U682" t="s">
        <v>1486</v>
      </c>
      <c r="V682" t="s">
        <v>1740</v>
      </c>
      <c r="W682" t="s">
        <v>1767</v>
      </c>
    </row>
    <row r="683" spans="1:23" ht="15" customHeight="1" x14ac:dyDescent="0.3">
      <c r="A683" t="s">
        <v>8</v>
      </c>
      <c r="B683">
        <v>82</v>
      </c>
      <c r="C683" t="s">
        <v>477</v>
      </c>
      <c r="D683" t="s">
        <v>1733</v>
      </c>
      <c r="E683" t="s">
        <v>34</v>
      </c>
      <c r="F683" t="s">
        <v>1734</v>
      </c>
      <c r="G683" t="s">
        <v>440</v>
      </c>
      <c r="H683" t="s">
        <v>1242</v>
      </c>
      <c r="I683" t="s">
        <v>1733</v>
      </c>
      <c r="J683" t="s">
        <v>1765</v>
      </c>
      <c r="K683" s="21" t="s">
        <v>1766</v>
      </c>
      <c r="L683" s="21" t="s">
        <v>1737</v>
      </c>
      <c r="M683" t="s">
        <v>1738</v>
      </c>
      <c r="N683" t="s">
        <v>42</v>
      </c>
      <c r="R683" t="s">
        <v>1743</v>
      </c>
      <c r="S683" t="s">
        <v>1765</v>
      </c>
      <c r="T683" t="s">
        <v>45</v>
      </c>
      <c r="U683" t="s">
        <v>1486</v>
      </c>
      <c r="V683" t="s">
        <v>1740</v>
      </c>
      <c r="W683" t="s">
        <v>1767</v>
      </c>
    </row>
    <row r="684" spans="1:23" ht="15" customHeight="1" x14ac:dyDescent="0.3">
      <c r="A684" t="s">
        <v>8</v>
      </c>
      <c r="B684">
        <v>82</v>
      </c>
      <c r="C684" t="s">
        <v>477</v>
      </c>
      <c r="D684" t="s">
        <v>1733</v>
      </c>
      <c r="E684" t="s">
        <v>34</v>
      </c>
      <c r="F684" t="s">
        <v>1734</v>
      </c>
      <c r="G684" t="s">
        <v>440</v>
      </c>
      <c r="H684" t="s">
        <v>1242</v>
      </c>
      <c r="I684" t="s">
        <v>1733</v>
      </c>
      <c r="J684" t="s">
        <v>1765</v>
      </c>
      <c r="K684" s="21" t="s">
        <v>1766</v>
      </c>
      <c r="L684" s="21" t="s">
        <v>1737</v>
      </c>
      <c r="M684" t="s">
        <v>1738</v>
      </c>
      <c r="N684" t="s">
        <v>42</v>
      </c>
      <c r="R684" t="s">
        <v>1744</v>
      </c>
      <c r="S684" t="s">
        <v>1765</v>
      </c>
      <c r="T684" t="s">
        <v>45</v>
      </c>
      <c r="U684" t="s">
        <v>1486</v>
      </c>
      <c r="V684" t="s">
        <v>1740</v>
      </c>
      <c r="W684" t="s">
        <v>1767</v>
      </c>
    </row>
    <row r="685" spans="1:23" ht="15" customHeight="1" x14ac:dyDescent="0.3">
      <c r="A685" t="s">
        <v>8</v>
      </c>
      <c r="B685">
        <v>82</v>
      </c>
      <c r="C685" t="s">
        <v>477</v>
      </c>
      <c r="D685" t="s">
        <v>1733</v>
      </c>
      <c r="E685" t="s">
        <v>34</v>
      </c>
      <c r="F685" t="s">
        <v>1734</v>
      </c>
      <c r="G685" t="s">
        <v>440</v>
      </c>
      <c r="H685" t="s">
        <v>1242</v>
      </c>
      <c r="I685" t="s">
        <v>1733</v>
      </c>
      <c r="J685" t="s">
        <v>1765</v>
      </c>
      <c r="K685" s="21" t="s">
        <v>1766</v>
      </c>
      <c r="L685" s="21" t="s">
        <v>1737</v>
      </c>
      <c r="M685" t="s">
        <v>1738</v>
      </c>
      <c r="N685" t="s">
        <v>42</v>
      </c>
      <c r="R685" t="s">
        <v>1745</v>
      </c>
      <c r="S685" t="s">
        <v>1765</v>
      </c>
      <c r="T685" t="s">
        <v>45</v>
      </c>
      <c r="U685" t="s">
        <v>1486</v>
      </c>
      <c r="V685" t="s">
        <v>1740</v>
      </c>
      <c r="W685" t="s">
        <v>1767</v>
      </c>
    </row>
    <row r="686" spans="1:23" ht="15" customHeight="1" x14ac:dyDescent="0.3">
      <c r="A686" t="s">
        <v>8</v>
      </c>
      <c r="B686">
        <v>82</v>
      </c>
      <c r="C686" t="s">
        <v>477</v>
      </c>
      <c r="D686" t="s">
        <v>1733</v>
      </c>
      <c r="E686" t="s">
        <v>34</v>
      </c>
      <c r="F686" t="s">
        <v>1734</v>
      </c>
      <c r="G686" t="s">
        <v>440</v>
      </c>
      <c r="H686" t="s">
        <v>1242</v>
      </c>
      <c r="I686" t="s">
        <v>1733</v>
      </c>
      <c r="J686" t="s">
        <v>1765</v>
      </c>
      <c r="K686" s="21" t="s">
        <v>1766</v>
      </c>
      <c r="L686" s="21" t="s">
        <v>1737</v>
      </c>
      <c r="M686" t="s">
        <v>1738</v>
      </c>
      <c r="N686" t="s">
        <v>42</v>
      </c>
      <c r="R686" t="s">
        <v>1746</v>
      </c>
      <c r="S686" t="s">
        <v>1765</v>
      </c>
      <c r="T686" t="s">
        <v>45</v>
      </c>
      <c r="U686" t="s">
        <v>1486</v>
      </c>
      <c r="V686" t="s">
        <v>1740</v>
      </c>
      <c r="W686" t="s">
        <v>1767</v>
      </c>
    </row>
    <row r="687" spans="1:23" ht="15" customHeight="1" x14ac:dyDescent="0.3">
      <c r="A687" t="s">
        <v>8</v>
      </c>
      <c r="B687">
        <v>82</v>
      </c>
      <c r="C687" t="s">
        <v>477</v>
      </c>
      <c r="D687" t="s">
        <v>1733</v>
      </c>
      <c r="E687" t="s">
        <v>34</v>
      </c>
      <c r="F687" t="s">
        <v>1734</v>
      </c>
      <c r="G687" t="s">
        <v>440</v>
      </c>
      <c r="H687" t="s">
        <v>425</v>
      </c>
      <c r="I687" t="s">
        <v>1733</v>
      </c>
      <c r="J687" t="s">
        <v>1768</v>
      </c>
      <c r="K687" s="21" t="s">
        <v>1769</v>
      </c>
      <c r="L687" s="21" t="s">
        <v>1737</v>
      </c>
      <c r="M687" t="s">
        <v>1738</v>
      </c>
      <c r="N687" t="s">
        <v>42</v>
      </c>
      <c r="R687" t="s">
        <v>1739</v>
      </c>
      <c r="S687" t="s">
        <v>1768</v>
      </c>
      <c r="T687" t="s">
        <v>45</v>
      </c>
      <c r="U687" t="s">
        <v>1437</v>
      </c>
      <c r="V687" t="s">
        <v>1740</v>
      </c>
      <c r="W687" t="s">
        <v>1770</v>
      </c>
    </row>
    <row r="688" spans="1:23" ht="15" customHeight="1" x14ac:dyDescent="0.3">
      <c r="A688" t="s">
        <v>8</v>
      </c>
      <c r="B688">
        <v>82</v>
      </c>
      <c r="C688" t="s">
        <v>477</v>
      </c>
      <c r="D688" t="s">
        <v>1733</v>
      </c>
      <c r="E688" t="s">
        <v>34</v>
      </c>
      <c r="F688" t="s">
        <v>1734</v>
      </c>
      <c r="G688" t="s">
        <v>440</v>
      </c>
      <c r="H688" t="s">
        <v>425</v>
      </c>
      <c r="I688" t="s">
        <v>1733</v>
      </c>
      <c r="J688" t="s">
        <v>1768</v>
      </c>
      <c r="K688" s="21" t="s">
        <v>1769</v>
      </c>
      <c r="L688" s="21" t="s">
        <v>1737</v>
      </c>
      <c r="M688" t="s">
        <v>1738</v>
      </c>
      <c r="N688" t="s">
        <v>42</v>
      </c>
      <c r="R688" t="s">
        <v>1742</v>
      </c>
      <c r="S688" t="s">
        <v>1768</v>
      </c>
      <c r="T688" t="s">
        <v>45</v>
      </c>
      <c r="U688" t="s">
        <v>1437</v>
      </c>
      <c r="V688" t="s">
        <v>1740</v>
      </c>
      <c r="W688" t="s">
        <v>1770</v>
      </c>
    </row>
    <row r="689" spans="1:23" ht="15" customHeight="1" x14ac:dyDescent="0.3">
      <c r="A689" t="s">
        <v>8</v>
      </c>
      <c r="B689">
        <v>82</v>
      </c>
      <c r="C689" t="s">
        <v>477</v>
      </c>
      <c r="D689" t="s">
        <v>1733</v>
      </c>
      <c r="E689" t="s">
        <v>34</v>
      </c>
      <c r="F689" t="s">
        <v>1734</v>
      </c>
      <c r="G689" t="s">
        <v>440</v>
      </c>
      <c r="H689" t="s">
        <v>425</v>
      </c>
      <c r="I689" t="s">
        <v>1733</v>
      </c>
      <c r="J689" t="s">
        <v>1768</v>
      </c>
      <c r="K689" s="21" t="s">
        <v>1769</v>
      </c>
      <c r="L689" s="21" t="s">
        <v>1737</v>
      </c>
      <c r="M689" t="s">
        <v>1738</v>
      </c>
      <c r="N689" t="s">
        <v>42</v>
      </c>
      <c r="R689" t="s">
        <v>1743</v>
      </c>
      <c r="S689" t="s">
        <v>1768</v>
      </c>
      <c r="T689" t="s">
        <v>45</v>
      </c>
      <c r="U689" t="s">
        <v>1437</v>
      </c>
      <c r="V689" t="s">
        <v>1740</v>
      </c>
      <c r="W689" t="s">
        <v>1770</v>
      </c>
    </row>
    <row r="690" spans="1:23" ht="15" customHeight="1" x14ac:dyDescent="0.3">
      <c r="A690" t="s">
        <v>8</v>
      </c>
      <c r="B690">
        <v>82</v>
      </c>
      <c r="C690" t="s">
        <v>477</v>
      </c>
      <c r="D690" t="s">
        <v>1733</v>
      </c>
      <c r="E690" t="s">
        <v>34</v>
      </c>
      <c r="F690" t="s">
        <v>1734</v>
      </c>
      <c r="G690" t="s">
        <v>440</v>
      </c>
      <c r="H690" t="s">
        <v>425</v>
      </c>
      <c r="I690" t="s">
        <v>1733</v>
      </c>
      <c r="J690" t="s">
        <v>1768</v>
      </c>
      <c r="K690" s="21" t="s">
        <v>1769</v>
      </c>
      <c r="L690" s="21" t="s">
        <v>1737</v>
      </c>
      <c r="M690" t="s">
        <v>1738</v>
      </c>
      <c r="N690" t="s">
        <v>42</v>
      </c>
      <c r="R690" t="s">
        <v>1744</v>
      </c>
      <c r="S690" t="s">
        <v>1768</v>
      </c>
      <c r="T690" t="s">
        <v>45</v>
      </c>
      <c r="U690" t="s">
        <v>1437</v>
      </c>
      <c r="V690" t="s">
        <v>1740</v>
      </c>
      <c r="W690" t="s">
        <v>1770</v>
      </c>
    </row>
    <row r="691" spans="1:23" ht="15" customHeight="1" x14ac:dyDescent="0.3">
      <c r="A691" t="s">
        <v>8</v>
      </c>
      <c r="B691">
        <v>82</v>
      </c>
      <c r="C691" t="s">
        <v>477</v>
      </c>
      <c r="D691" t="s">
        <v>1733</v>
      </c>
      <c r="E691" t="s">
        <v>34</v>
      </c>
      <c r="F691" t="s">
        <v>1734</v>
      </c>
      <c r="G691" t="s">
        <v>440</v>
      </c>
      <c r="H691" t="s">
        <v>425</v>
      </c>
      <c r="I691" t="s">
        <v>1733</v>
      </c>
      <c r="J691" t="s">
        <v>1768</v>
      </c>
      <c r="K691" s="21" t="s">
        <v>1769</v>
      </c>
      <c r="L691" s="21" t="s">
        <v>1737</v>
      </c>
      <c r="M691" t="s">
        <v>1738</v>
      </c>
      <c r="N691" t="s">
        <v>42</v>
      </c>
      <c r="R691" t="s">
        <v>1745</v>
      </c>
      <c r="S691" t="s">
        <v>1768</v>
      </c>
      <c r="T691" t="s">
        <v>45</v>
      </c>
      <c r="U691" t="s">
        <v>1437</v>
      </c>
      <c r="V691" t="s">
        <v>1740</v>
      </c>
      <c r="W691" t="s">
        <v>1770</v>
      </c>
    </row>
    <row r="692" spans="1:23" ht="15" customHeight="1" x14ac:dyDescent="0.3">
      <c r="A692" t="s">
        <v>8</v>
      </c>
      <c r="B692">
        <v>82</v>
      </c>
      <c r="C692" t="s">
        <v>477</v>
      </c>
      <c r="D692" t="s">
        <v>1733</v>
      </c>
      <c r="E692" t="s">
        <v>34</v>
      </c>
      <c r="F692" t="s">
        <v>1734</v>
      </c>
      <c r="G692" t="s">
        <v>440</v>
      </c>
      <c r="H692" t="s">
        <v>425</v>
      </c>
      <c r="I692" t="s">
        <v>1733</v>
      </c>
      <c r="J692" t="s">
        <v>1768</v>
      </c>
      <c r="K692" s="21" t="s">
        <v>1769</v>
      </c>
      <c r="L692" s="21" t="s">
        <v>1737</v>
      </c>
      <c r="M692" t="s">
        <v>1738</v>
      </c>
      <c r="N692" t="s">
        <v>42</v>
      </c>
      <c r="R692" t="s">
        <v>1746</v>
      </c>
      <c r="S692" t="s">
        <v>1768</v>
      </c>
      <c r="T692" t="s">
        <v>45</v>
      </c>
      <c r="U692" t="s">
        <v>1437</v>
      </c>
      <c r="V692" t="s">
        <v>1740</v>
      </c>
      <c r="W692" t="s">
        <v>1770</v>
      </c>
    </row>
    <row r="693" spans="1:23" ht="15" customHeight="1" x14ac:dyDescent="0.3">
      <c r="A693" t="s">
        <v>8</v>
      </c>
      <c r="B693">
        <v>82</v>
      </c>
      <c r="C693" t="s">
        <v>477</v>
      </c>
      <c r="D693" t="s">
        <v>1733</v>
      </c>
      <c r="E693" t="s">
        <v>34</v>
      </c>
      <c r="F693" t="s">
        <v>1734</v>
      </c>
      <c r="G693" t="s">
        <v>440</v>
      </c>
      <c r="H693" t="s">
        <v>996</v>
      </c>
      <c r="I693" t="s">
        <v>1733</v>
      </c>
      <c r="J693" t="s">
        <v>1771</v>
      </c>
      <c r="K693" s="21" t="s">
        <v>1772</v>
      </c>
      <c r="L693" s="21" t="s">
        <v>1737</v>
      </c>
      <c r="M693" t="s">
        <v>1738</v>
      </c>
      <c r="N693" t="s">
        <v>42</v>
      </c>
      <c r="R693" t="s">
        <v>1739</v>
      </c>
      <c r="S693" t="s">
        <v>1771</v>
      </c>
      <c r="T693" t="s">
        <v>45</v>
      </c>
      <c r="U693" t="s">
        <v>1416</v>
      </c>
      <c r="V693" t="s">
        <v>1740</v>
      </c>
      <c r="W693" t="s">
        <v>1773</v>
      </c>
    </row>
    <row r="694" spans="1:23" ht="15" customHeight="1" x14ac:dyDescent="0.3">
      <c r="A694" t="s">
        <v>8</v>
      </c>
      <c r="B694">
        <v>82</v>
      </c>
      <c r="C694" t="s">
        <v>477</v>
      </c>
      <c r="D694" t="s">
        <v>1733</v>
      </c>
      <c r="E694" t="s">
        <v>34</v>
      </c>
      <c r="F694" t="s">
        <v>1734</v>
      </c>
      <c r="G694" t="s">
        <v>440</v>
      </c>
      <c r="H694" t="s">
        <v>996</v>
      </c>
      <c r="I694" t="s">
        <v>1733</v>
      </c>
      <c r="J694" t="s">
        <v>1771</v>
      </c>
      <c r="K694" s="21" t="s">
        <v>1772</v>
      </c>
      <c r="L694" s="21" t="s">
        <v>1737</v>
      </c>
      <c r="M694" t="s">
        <v>1738</v>
      </c>
      <c r="N694" t="s">
        <v>42</v>
      </c>
      <c r="R694" t="s">
        <v>1742</v>
      </c>
      <c r="S694" t="s">
        <v>1771</v>
      </c>
      <c r="T694" t="s">
        <v>45</v>
      </c>
      <c r="U694" t="s">
        <v>1416</v>
      </c>
      <c r="V694" t="s">
        <v>1740</v>
      </c>
      <c r="W694" t="s">
        <v>1773</v>
      </c>
    </row>
    <row r="695" spans="1:23" ht="15" customHeight="1" x14ac:dyDescent="0.3">
      <c r="A695" t="s">
        <v>8</v>
      </c>
      <c r="B695">
        <v>82</v>
      </c>
      <c r="C695" t="s">
        <v>477</v>
      </c>
      <c r="D695" t="s">
        <v>1733</v>
      </c>
      <c r="E695" t="s">
        <v>34</v>
      </c>
      <c r="F695" t="s">
        <v>1734</v>
      </c>
      <c r="G695" t="s">
        <v>440</v>
      </c>
      <c r="H695" t="s">
        <v>996</v>
      </c>
      <c r="I695" t="s">
        <v>1733</v>
      </c>
      <c r="J695" t="s">
        <v>1771</v>
      </c>
      <c r="K695" s="21" t="s">
        <v>1772</v>
      </c>
      <c r="L695" s="21" t="s">
        <v>1737</v>
      </c>
      <c r="M695" t="s">
        <v>1738</v>
      </c>
      <c r="N695" t="s">
        <v>42</v>
      </c>
      <c r="R695" t="s">
        <v>1743</v>
      </c>
      <c r="S695" t="s">
        <v>1771</v>
      </c>
      <c r="T695" t="s">
        <v>45</v>
      </c>
      <c r="U695" t="s">
        <v>1416</v>
      </c>
      <c r="V695" t="s">
        <v>1740</v>
      </c>
      <c r="W695" t="s">
        <v>1773</v>
      </c>
    </row>
    <row r="696" spans="1:23" ht="15" customHeight="1" x14ac:dyDescent="0.3">
      <c r="A696" t="s">
        <v>8</v>
      </c>
      <c r="B696">
        <v>82</v>
      </c>
      <c r="C696" t="s">
        <v>477</v>
      </c>
      <c r="D696" t="s">
        <v>1733</v>
      </c>
      <c r="E696" t="s">
        <v>34</v>
      </c>
      <c r="F696" t="s">
        <v>1734</v>
      </c>
      <c r="G696" t="s">
        <v>440</v>
      </c>
      <c r="H696" t="s">
        <v>996</v>
      </c>
      <c r="I696" t="s">
        <v>1733</v>
      </c>
      <c r="J696" t="s">
        <v>1771</v>
      </c>
      <c r="K696" s="21" t="s">
        <v>1772</v>
      </c>
      <c r="L696" s="21" t="s">
        <v>1737</v>
      </c>
      <c r="M696" t="s">
        <v>1738</v>
      </c>
      <c r="N696" t="s">
        <v>42</v>
      </c>
      <c r="R696" t="s">
        <v>1744</v>
      </c>
      <c r="S696" t="s">
        <v>1771</v>
      </c>
      <c r="T696" t="s">
        <v>45</v>
      </c>
      <c r="U696" t="s">
        <v>1416</v>
      </c>
      <c r="V696" t="s">
        <v>1740</v>
      </c>
      <c r="W696" t="s">
        <v>1773</v>
      </c>
    </row>
    <row r="697" spans="1:23" ht="15" customHeight="1" x14ac:dyDescent="0.3">
      <c r="A697" t="s">
        <v>8</v>
      </c>
      <c r="B697">
        <v>82</v>
      </c>
      <c r="C697" t="s">
        <v>477</v>
      </c>
      <c r="D697" t="s">
        <v>1733</v>
      </c>
      <c r="E697" t="s">
        <v>34</v>
      </c>
      <c r="F697" t="s">
        <v>1734</v>
      </c>
      <c r="G697" t="s">
        <v>440</v>
      </c>
      <c r="H697" t="s">
        <v>996</v>
      </c>
      <c r="I697" t="s">
        <v>1733</v>
      </c>
      <c r="J697" t="s">
        <v>1771</v>
      </c>
      <c r="K697" s="21" t="s">
        <v>1772</v>
      </c>
      <c r="L697" s="21" t="s">
        <v>1737</v>
      </c>
      <c r="M697" t="s">
        <v>1738</v>
      </c>
      <c r="N697" t="s">
        <v>42</v>
      </c>
      <c r="R697" t="s">
        <v>1745</v>
      </c>
      <c r="S697" t="s">
        <v>1771</v>
      </c>
      <c r="T697" t="s">
        <v>45</v>
      </c>
      <c r="U697" t="s">
        <v>1416</v>
      </c>
      <c r="V697" t="s">
        <v>1740</v>
      </c>
      <c r="W697" t="s">
        <v>1773</v>
      </c>
    </row>
    <row r="698" spans="1:23" ht="15" customHeight="1" x14ac:dyDescent="0.3">
      <c r="A698" t="s">
        <v>8</v>
      </c>
      <c r="B698">
        <v>82</v>
      </c>
      <c r="C698" t="s">
        <v>477</v>
      </c>
      <c r="D698" t="s">
        <v>1733</v>
      </c>
      <c r="E698" t="s">
        <v>34</v>
      </c>
      <c r="F698" t="s">
        <v>1734</v>
      </c>
      <c r="G698" t="s">
        <v>440</v>
      </c>
      <c r="H698" t="s">
        <v>996</v>
      </c>
      <c r="I698" t="s">
        <v>1733</v>
      </c>
      <c r="J698" t="s">
        <v>1771</v>
      </c>
      <c r="K698" s="21" t="s">
        <v>1772</v>
      </c>
      <c r="L698" s="21" t="s">
        <v>1737</v>
      </c>
      <c r="M698" t="s">
        <v>1738</v>
      </c>
      <c r="N698" t="s">
        <v>42</v>
      </c>
      <c r="R698" t="s">
        <v>1746</v>
      </c>
      <c r="S698" t="s">
        <v>1771</v>
      </c>
      <c r="T698" t="s">
        <v>45</v>
      </c>
      <c r="U698" t="s">
        <v>1416</v>
      </c>
      <c r="V698" t="s">
        <v>1740</v>
      </c>
      <c r="W698" t="s">
        <v>1773</v>
      </c>
    </row>
    <row r="699" spans="1:23" ht="15" customHeight="1" x14ac:dyDescent="0.3">
      <c r="A699" t="s">
        <v>8</v>
      </c>
      <c r="B699">
        <v>82</v>
      </c>
      <c r="C699" t="s">
        <v>477</v>
      </c>
      <c r="D699" t="s">
        <v>1733</v>
      </c>
      <c r="E699" t="s">
        <v>34</v>
      </c>
      <c r="F699" t="s">
        <v>1734</v>
      </c>
      <c r="G699" t="s">
        <v>440</v>
      </c>
      <c r="H699" t="s">
        <v>1000</v>
      </c>
      <c r="I699" t="s">
        <v>1733</v>
      </c>
      <c r="J699" t="s">
        <v>1774</v>
      </c>
      <c r="K699" s="21" t="s">
        <v>1775</v>
      </c>
      <c r="L699" s="21" t="s">
        <v>1737</v>
      </c>
      <c r="M699" t="s">
        <v>1738</v>
      </c>
      <c r="N699" t="s">
        <v>42</v>
      </c>
      <c r="R699" t="s">
        <v>1739</v>
      </c>
      <c r="S699" t="s">
        <v>1774</v>
      </c>
      <c r="T699" t="s">
        <v>45</v>
      </c>
      <c r="U699" t="s">
        <v>1428</v>
      </c>
      <c r="V699" t="s">
        <v>1776</v>
      </c>
      <c r="W699" t="s">
        <v>1777</v>
      </c>
    </row>
    <row r="700" spans="1:23" ht="15" customHeight="1" x14ac:dyDescent="0.3">
      <c r="A700" t="s">
        <v>8</v>
      </c>
      <c r="B700">
        <v>82</v>
      </c>
      <c r="C700" t="s">
        <v>477</v>
      </c>
      <c r="D700" t="s">
        <v>1733</v>
      </c>
      <c r="E700" t="s">
        <v>34</v>
      </c>
      <c r="F700" t="s">
        <v>1734</v>
      </c>
      <c r="G700" t="s">
        <v>440</v>
      </c>
      <c r="H700" t="s">
        <v>1000</v>
      </c>
      <c r="I700" t="s">
        <v>1733</v>
      </c>
      <c r="J700" t="s">
        <v>1774</v>
      </c>
      <c r="K700" s="21" t="s">
        <v>1775</v>
      </c>
      <c r="L700" s="21" t="s">
        <v>1737</v>
      </c>
      <c r="M700" t="s">
        <v>1738</v>
      </c>
      <c r="N700" t="s">
        <v>42</v>
      </c>
      <c r="R700" t="s">
        <v>1742</v>
      </c>
      <c r="S700" t="s">
        <v>1774</v>
      </c>
      <c r="T700" t="s">
        <v>45</v>
      </c>
      <c r="U700" t="s">
        <v>1428</v>
      </c>
      <c r="V700" t="s">
        <v>1776</v>
      </c>
      <c r="W700" t="s">
        <v>1777</v>
      </c>
    </row>
    <row r="701" spans="1:23" ht="15" customHeight="1" x14ac:dyDescent="0.3">
      <c r="A701" t="s">
        <v>8</v>
      </c>
      <c r="B701">
        <v>82</v>
      </c>
      <c r="C701" t="s">
        <v>477</v>
      </c>
      <c r="D701" t="s">
        <v>1733</v>
      </c>
      <c r="E701" t="s">
        <v>34</v>
      </c>
      <c r="F701" t="s">
        <v>1734</v>
      </c>
      <c r="G701" t="s">
        <v>440</v>
      </c>
      <c r="H701" t="s">
        <v>1000</v>
      </c>
      <c r="I701" t="s">
        <v>1733</v>
      </c>
      <c r="J701" t="s">
        <v>1774</v>
      </c>
      <c r="K701" s="21" t="s">
        <v>1775</v>
      </c>
      <c r="L701" s="21" t="s">
        <v>1737</v>
      </c>
      <c r="M701" t="s">
        <v>1738</v>
      </c>
      <c r="N701" t="s">
        <v>42</v>
      </c>
      <c r="R701" t="s">
        <v>1743</v>
      </c>
      <c r="S701" t="s">
        <v>1774</v>
      </c>
      <c r="T701" t="s">
        <v>45</v>
      </c>
      <c r="U701" t="s">
        <v>1428</v>
      </c>
      <c r="V701" t="s">
        <v>1776</v>
      </c>
      <c r="W701" t="s">
        <v>1777</v>
      </c>
    </row>
    <row r="702" spans="1:23" ht="15" customHeight="1" x14ac:dyDescent="0.3">
      <c r="A702" t="s">
        <v>8</v>
      </c>
      <c r="B702">
        <v>82</v>
      </c>
      <c r="C702" t="s">
        <v>477</v>
      </c>
      <c r="D702" t="s">
        <v>1733</v>
      </c>
      <c r="E702" t="s">
        <v>34</v>
      </c>
      <c r="F702" t="s">
        <v>1734</v>
      </c>
      <c r="G702" t="s">
        <v>440</v>
      </c>
      <c r="H702" t="s">
        <v>1000</v>
      </c>
      <c r="I702" t="s">
        <v>1733</v>
      </c>
      <c r="J702" t="s">
        <v>1774</v>
      </c>
      <c r="K702" s="21" t="s">
        <v>1775</v>
      </c>
      <c r="L702" s="21" t="s">
        <v>1737</v>
      </c>
      <c r="M702" t="s">
        <v>1738</v>
      </c>
      <c r="N702" t="s">
        <v>42</v>
      </c>
      <c r="R702" t="s">
        <v>1744</v>
      </c>
      <c r="S702" t="s">
        <v>1774</v>
      </c>
      <c r="T702" t="s">
        <v>45</v>
      </c>
      <c r="U702" t="s">
        <v>1428</v>
      </c>
      <c r="V702" t="s">
        <v>1776</v>
      </c>
      <c r="W702" t="s">
        <v>1777</v>
      </c>
    </row>
    <row r="703" spans="1:23" ht="15" customHeight="1" x14ac:dyDescent="0.3">
      <c r="A703" t="s">
        <v>8</v>
      </c>
      <c r="B703">
        <v>82</v>
      </c>
      <c r="C703" t="s">
        <v>477</v>
      </c>
      <c r="D703" t="s">
        <v>1733</v>
      </c>
      <c r="E703" t="s">
        <v>34</v>
      </c>
      <c r="F703" t="s">
        <v>1734</v>
      </c>
      <c r="G703" t="s">
        <v>440</v>
      </c>
      <c r="H703" t="s">
        <v>1000</v>
      </c>
      <c r="I703" t="s">
        <v>1733</v>
      </c>
      <c r="J703" t="s">
        <v>1774</v>
      </c>
      <c r="K703" s="21" t="s">
        <v>1775</v>
      </c>
      <c r="L703" s="21" t="s">
        <v>1737</v>
      </c>
      <c r="M703" t="s">
        <v>1738</v>
      </c>
      <c r="N703" t="s">
        <v>42</v>
      </c>
      <c r="R703" t="s">
        <v>1745</v>
      </c>
      <c r="S703" t="s">
        <v>1774</v>
      </c>
      <c r="T703" t="s">
        <v>45</v>
      </c>
      <c r="U703" t="s">
        <v>1428</v>
      </c>
      <c r="V703" t="s">
        <v>1776</v>
      </c>
      <c r="W703" t="s">
        <v>1777</v>
      </c>
    </row>
    <row r="704" spans="1:23" ht="15" customHeight="1" x14ac:dyDescent="0.3">
      <c r="A704" t="s">
        <v>8</v>
      </c>
      <c r="B704">
        <v>82</v>
      </c>
      <c r="C704" t="s">
        <v>477</v>
      </c>
      <c r="D704" t="s">
        <v>1733</v>
      </c>
      <c r="E704" t="s">
        <v>34</v>
      </c>
      <c r="F704" t="s">
        <v>1734</v>
      </c>
      <c r="G704" t="s">
        <v>440</v>
      </c>
      <c r="H704" t="s">
        <v>1000</v>
      </c>
      <c r="I704" t="s">
        <v>1733</v>
      </c>
      <c r="J704" t="s">
        <v>1774</v>
      </c>
      <c r="K704" s="21" t="s">
        <v>1775</v>
      </c>
      <c r="L704" s="21" t="s">
        <v>1737</v>
      </c>
      <c r="M704" t="s">
        <v>1738</v>
      </c>
      <c r="N704" t="s">
        <v>42</v>
      </c>
      <c r="R704" t="s">
        <v>1746</v>
      </c>
      <c r="S704" t="s">
        <v>1774</v>
      </c>
      <c r="T704" t="s">
        <v>45</v>
      </c>
      <c r="U704" t="s">
        <v>1428</v>
      </c>
      <c r="V704" t="s">
        <v>1776</v>
      </c>
      <c r="W704" t="s">
        <v>1777</v>
      </c>
    </row>
    <row r="705" spans="1:23" ht="15" customHeight="1" x14ac:dyDescent="0.3">
      <c r="A705" t="s">
        <v>8</v>
      </c>
      <c r="B705">
        <v>82</v>
      </c>
      <c r="C705" t="s">
        <v>477</v>
      </c>
      <c r="D705" t="s">
        <v>1733</v>
      </c>
      <c r="E705" t="s">
        <v>34</v>
      </c>
      <c r="F705" t="s">
        <v>1734</v>
      </c>
      <c r="G705" t="s">
        <v>440</v>
      </c>
      <c r="H705" t="s">
        <v>1272</v>
      </c>
      <c r="I705" t="s">
        <v>1733</v>
      </c>
      <c r="J705" t="s">
        <v>1778</v>
      </c>
      <c r="K705" s="21" t="s">
        <v>1779</v>
      </c>
      <c r="L705" s="21" t="s">
        <v>1737</v>
      </c>
      <c r="M705" t="s">
        <v>1738</v>
      </c>
      <c r="N705" t="s">
        <v>42</v>
      </c>
      <c r="R705" t="s">
        <v>1739</v>
      </c>
      <c r="S705" t="s">
        <v>1778</v>
      </c>
      <c r="T705" t="s">
        <v>45</v>
      </c>
      <c r="U705" t="s">
        <v>1416</v>
      </c>
      <c r="V705" t="s">
        <v>1776</v>
      </c>
      <c r="W705" t="s">
        <v>1780</v>
      </c>
    </row>
    <row r="706" spans="1:23" ht="15" customHeight="1" x14ac:dyDescent="0.3">
      <c r="A706" t="s">
        <v>8</v>
      </c>
      <c r="B706">
        <v>82</v>
      </c>
      <c r="C706" t="s">
        <v>477</v>
      </c>
      <c r="D706" t="s">
        <v>1733</v>
      </c>
      <c r="E706" t="s">
        <v>34</v>
      </c>
      <c r="F706" t="s">
        <v>1734</v>
      </c>
      <c r="G706" t="s">
        <v>440</v>
      </c>
      <c r="H706" t="s">
        <v>1272</v>
      </c>
      <c r="I706" t="s">
        <v>1733</v>
      </c>
      <c r="J706" t="s">
        <v>1778</v>
      </c>
      <c r="K706" s="21" t="s">
        <v>1779</v>
      </c>
      <c r="L706" s="21" t="s">
        <v>1737</v>
      </c>
      <c r="M706" t="s">
        <v>1738</v>
      </c>
      <c r="N706" t="s">
        <v>42</v>
      </c>
      <c r="R706" t="s">
        <v>1742</v>
      </c>
      <c r="S706" t="s">
        <v>1778</v>
      </c>
      <c r="T706" t="s">
        <v>45</v>
      </c>
      <c r="U706" t="s">
        <v>1416</v>
      </c>
      <c r="V706" t="s">
        <v>1776</v>
      </c>
      <c r="W706" t="s">
        <v>1780</v>
      </c>
    </row>
    <row r="707" spans="1:23" ht="15" customHeight="1" x14ac:dyDescent="0.3">
      <c r="A707" t="s">
        <v>8</v>
      </c>
      <c r="B707">
        <v>82</v>
      </c>
      <c r="C707" t="s">
        <v>477</v>
      </c>
      <c r="D707" t="s">
        <v>1733</v>
      </c>
      <c r="E707" t="s">
        <v>34</v>
      </c>
      <c r="F707" t="s">
        <v>1734</v>
      </c>
      <c r="G707" t="s">
        <v>440</v>
      </c>
      <c r="H707" t="s">
        <v>1272</v>
      </c>
      <c r="I707" t="s">
        <v>1733</v>
      </c>
      <c r="J707" t="s">
        <v>1778</v>
      </c>
      <c r="K707" s="21" t="s">
        <v>1779</v>
      </c>
      <c r="L707" s="21" t="s">
        <v>1737</v>
      </c>
      <c r="M707" t="s">
        <v>1738</v>
      </c>
      <c r="N707" t="s">
        <v>42</v>
      </c>
      <c r="R707" t="s">
        <v>1743</v>
      </c>
      <c r="S707" t="s">
        <v>1778</v>
      </c>
      <c r="T707" t="s">
        <v>45</v>
      </c>
      <c r="U707" t="s">
        <v>1416</v>
      </c>
      <c r="V707" t="s">
        <v>1776</v>
      </c>
      <c r="W707" t="s">
        <v>1780</v>
      </c>
    </row>
    <row r="708" spans="1:23" ht="15" customHeight="1" x14ac:dyDescent="0.3">
      <c r="A708" t="s">
        <v>8</v>
      </c>
      <c r="B708">
        <v>82</v>
      </c>
      <c r="C708" t="s">
        <v>477</v>
      </c>
      <c r="D708" t="s">
        <v>1733</v>
      </c>
      <c r="E708" t="s">
        <v>34</v>
      </c>
      <c r="F708" t="s">
        <v>1734</v>
      </c>
      <c r="G708" t="s">
        <v>440</v>
      </c>
      <c r="H708" t="s">
        <v>1272</v>
      </c>
      <c r="I708" t="s">
        <v>1733</v>
      </c>
      <c r="J708" t="s">
        <v>1778</v>
      </c>
      <c r="K708" s="21" t="s">
        <v>1779</v>
      </c>
      <c r="L708" s="21" t="s">
        <v>1737</v>
      </c>
      <c r="M708" t="s">
        <v>1738</v>
      </c>
      <c r="N708" t="s">
        <v>42</v>
      </c>
      <c r="R708" t="s">
        <v>1744</v>
      </c>
      <c r="S708" t="s">
        <v>1778</v>
      </c>
      <c r="T708" t="s">
        <v>45</v>
      </c>
      <c r="U708" t="s">
        <v>1416</v>
      </c>
      <c r="V708" t="s">
        <v>1776</v>
      </c>
      <c r="W708" t="s">
        <v>1780</v>
      </c>
    </row>
    <row r="709" spans="1:23" ht="15" customHeight="1" x14ac:dyDescent="0.3">
      <c r="A709" t="s">
        <v>8</v>
      </c>
      <c r="B709">
        <v>82</v>
      </c>
      <c r="C709" t="s">
        <v>477</v>
      </c>
      <c r="D709" t="s">
        <v>1733</v>
      </c>
      <c r="E709" t="s">
        <v>34</v>
      </c>
      <c r="F709" t="s">
        <v>1734</v>
      </c>
      <c r="G709" t="s">
        <v>440</v>
      </c>
      <c r="H709" t="s">
        <v>1272</v>
      </c>
      <c r="I709" t="s">
        <v>1733</v>
      </c>
      <c r="J709" t="s">
        <v>1778</v>
      </c>
      <c r="K709" s="21" t="s">
        <v>1779</v>
      </c>
      <c r="L709" s="21" t="s">
        <v>1737</v>
      </c>
      <c r="M709" t="s">
        <v>1738</v>
      </c>
      <c r="N709" t="s">
        <v>42</v>
      </c>
      <c r="R709" t="s">
        <v>1745</v>
      </c>
      <c r="S709" t="s">
        <v>1778</v>
      </c>
      <c r="T709" t="s">
        <v>45</v>
      </c>
      <c r="U709" t="s">
        <v>1416</v>
      </c>
      <c r="V709" t="s">
        <v>1776</v>
      </c>
      <c r="W709" t="s">
        <v>1780</v>
      </c>
    </row>
    <row r="710" spans="1:23" ht="15" customHeight="1" x14ac:dyDescent="0.3">
      <c r="A710" t="s">
        <v>8</v>
      </c>
      <c r="B710">
        <v>82</v>
      </c>
      <c r="C710" t="s">
        <v>477</v>
      </c>
      <c r="D710" t="s">
        <v>1733</v>
      </c>
      <c r="E710" t="s">
        <v>34</v>
      </c>
      <c r="F710" t="s">
        <v>1734</v>
      </c>
      <c r="G710" t="s">
        <v>440</v>
      </c>
      <c r="H710" t="s">
        <v>1272</v>
      </c>
      <c r="I710" t="s">
        <v>1733</v>
      </c>
      <c r="J710" t="s">
        <v>1778</v>
      </c>
      <c r="K710" s="21" t="s">
        <v>1779</v>
      </c>
      <c r="L710" s="21" t="s">
        <v>1737</v>
      </c>
      <c r="M710" t="s">
        <v>1738</v>
      </c>
      <c r="N710" t="s">
        <v>42</v>
      </c>
      <c r="R710" t="s">
        <v>1746</v>
      </c>
      <c r="S710" t="s">
        <v>1778</v>
      </c>
      <c r="T710" t="s">
        <v>45</v>
      </c>
      <c r="U710" t="s">
        <v>1416</v>
      </c>
      <c r="V710" t="s">
        <v>1776</v>
      </c>
      <c r="W710" t="s">
        <v>1780</v>
      </c>
    </row>
    <row r="711" spans="1:23" ht="15" customHeight="1" x14ac:dyDescent="0.3">
      <c r="A711" t="s">
        <v>8</v>
      </c>
      <c r="B711">
        <v>82</v>
      </c>
      <c r="C711" t="s">
        <v>477</v>
      </c>
      <c r="D711" t="s">
        <v>1733</v>
      </c>
      <c r="E711" t="s">
        <v>34</v>
      </c>
      <c r="F711" t="s">
        <v>1734</v>
      </c>
      <c r="G711" t="s">
        <v>440</v>
      </c>
      <c r="H711" t="s">
        <v>1276</v>
      </c>
      <c r="I711" t="s">
        <v>1733</v>
      </c>
      <c r="J711" t="s">
        <v>1781</v>
      </c>
      <c r="K711" s="21" t="s">
        <v>1782</v>
      </c>
      <c r="L711" s="21" t="s">
        <v>1737</v>
      </c>
      <c r="M711" t="s">
        <v>1738</v>
      </c>
      <c r="N711" t="s">
        <v>42</v>
      </c>
      <c r="R711" t="s">
        <v>1739</v>
      </c>
      <c r="S711" t="s">
        <v>1781</v>
      </c>
      <c r="T711" t="s">
        <v>45</v>
      </c>
      <c r="U711" t="s">
        <v>1416</v>
      </c>
      <c r="V711" t="s">
        <v>1776</v>
      </c>
      <c r="W711" t="s">
        <v>1783</v>
      </c>
    </row>
    <row r="712" spans="1:23" ht="15" customHeight="1" x14ac:dyDescent="0.3">
      <c r="A712" t="s">
        <v>8</v>
      </c>
      <c r="B712">
        <v>82</v>
      </c>
      <c r="C712" t="s">
        <v>477</v>
      </c>
      <c r="D712" t="s">
        <v>1733</v>
      </c>
      <c r="E712" t="s">
        <v>34</v>
      </c>
      <c r="F712" t="s">
        <v>1734</v>
      </c>
      <c r="G712" t="s">
        <v>440</v>
      </c>
      <c r="H712" t="s">
        <v>1276</v>
      </c>
      <c r="I712" t="s">
        <v>1733</v>
      </c>
      <c r="J712" t="s">
        <v>1781</v>
      </c>
      <c r="K712" s="21" t="s">
        <v>1782</v>
      </c>
      <c r="L712" s="21" t="s">
        <v>1737</v>
      </c>
      <c r="M712" t="s">
        <v>1738</v>
      </c>
      <c r="N712" t="s">
        <v>42</v>
      </c>
      <c r="R712" t="s">
        <v>1742</v>
      </c>
      <c r="S712" t="s">
        <v>1781</v>
      </c>
      <c r="T712" t="s">
        <v>45</v>
      </c>
      <c r="U712" t="s">
        <v>1416</v>
      </c>
      <c r="V712" t="s">
        <v>1776</v>
      </c>
      <c r="W712" t="s">
        <v>1783</v>
      </c>
    </row>
    <row r="713" spans="1:23" ht="15" customHeight="1" x14ac:dyDescent="0.3">
      <c r="A713" t="s">
        <v>8</v>
      </c>
      <c r="B713">
        <v>82</v>
      </c>
      <c r="C713" t="s">
        <v>477</v>
      </c>
      <c r="D713" t="s">
        <v>1733</v>
      </c>
      <c r="E713" t="s">
        <v>34</v>
      </c>
      <c r="F713" t="s">
        <v>1734</v>
      </c>
      <c r="G713" t="s">
        <v>440</v>
      </c>
      <c r="H713" t="s">
        <v>1276</v>
      </c>
      <c r="I713" t="s">
        <v>1733</v>
      </c>
      <c r="J713" t="s">
        <v>1781</v>
      </c>
      <c r="K713" s="21" t="s">
        <v>1782</v>
      </c>
      <c r="L713" s="21" t="s">
        <v>1737</v>
      </c>
      <c r="M713" t="s">
        <v>1738</v>
      </c>
      <c r="N713" t="s">
        <v>42</v>
      </c>
      <c r="R713" t="s">
        <v>1743</v>
      </c>
      <c r="S713" t="s">
        <v>1781</v>
      </c>
      <c r="T713" t="s">
        <v>45</v>
      </c>
      <c r="U713" t="s">
        <v>1416</v>
      </c>
      <c r="V713" t="s">
        <v>1776</v>
      </c>
      <c r="W713" t="s">
        <v>1783</v>
      </c>
    </row>
    <row r="714" spans="1:23" ht="15" customHeight="1" x14ac:dyDescent="0.3">
      <c r="A714" t="s">
        <v>8</v>
      </c>
      <c r="B714">
        <v>82</v>
      </c>
      <c r="C714" t="s">
        <v>477</v>
      </c>
      <c r="D714" t="s">
        <v>1733</v>
      </c>
      <c r="E714" t="s">
        <v>34</v>
      </c>
      <c r="F714" t="s">
        <v>1734</v>
      </c>
      <c r="G714" t="s">
        <v>440</v>
      </c>
      <c r="H714" t="s">
        <v>1276</v>
      </c>
      <c r="I714" t="s">
        <v>1733</v>
      </c>
      <c r="J714" t="s">
        <v>1781</v>
      </c>
      <c r="K714" s="21" t="s">
        <v>1782</v>
      </c>
      <c r="L714" s="21" t="s">
        <v>1737</v>
      </c>
      <c r="M714" t="s">
        <v>1738</v>
      </c>
      <c r="N714" t="s">
        <v>42</v>
      </c>
      <c r="R714" t="s">
        <v>1744</v>
      </c>
      <c r="S714" t="s">
        <v>1781</v>
      </c>
      <c r="T714" t="s">
        <v>45</v>
      </c>
      <c r="U714" t="s">
        <v>1416</v>
      </c>
      <c r="V714" t="s">
        <v>1776</v>
      </c>
      <c r="W714" t="s">
        <v>1783</v>
      </c>
    </row>
    <row r="715" spans="1:23" ht="15" customHeight="1" x14ac:dyDescent="0.3">
      <c r="A715" t="s">
        <v>8</v>
      </c>
      <c r="B715">
        <v>82</v>
      </c>
      <c r="C715" t="s">
        <v>477</v>
      </c>
      <c r="D715" t="s">
        <v>1733</v>
      </c>
      <c r="E715" t="s">
        <v>34</v>
      </c>
      <c r="F715" t="s">
        <v>1734</v>
      </c>
      <c r="G715" t="s">
        <v>440</v>
      </c>
      <c r="H715" t="s">
        <v>1276</v>
      </c>
      <c r="I715" t="s">
        <v>1733</v>
      </c>
      <c r="J715" t="s">
        <v>1781</v>
      </c>
      <c r="K715" s="21" t="s">
        <v>1782</v>
      </c>
      <c r="L715" s="21" t="s">
        <v>1737</v>
      </c>
      <c r="M715" t="s">
        <v>1738</v>
      </c>
      <c r="N715" t="s">
        <v>42</v>
      </c>
      <c r="R715" t="s">
        <v>1745</v>
      </c>
      <c r="S715" t="s">
        <v>1781</v>
      </c>
      <c r="T715" t="s">
        <v>45</v>
      </c>
      <c r="U715" t="s">
        <v>1416</v>
      </c>
      <c r="V715" t="s">
        <v>1776</v>
      </c>
      <c r="W715" t="s">
        <v>1783</v>
      </c>
    </row>
    <row r="716" spans="1:23" ht="15" customHeight="1" x14ac:dyDescent="0.3">
      <c r="A716" t="s">
        <v>8</v>
      </c>
      <c r="B716">
        <v>82</v>
      </c>
      <c r="C716" t="s">
        <v>477</v>
      </c>
      <c r="D716" t="s">
        <v>1733</v>
      </c>
      <c r="E716" t="s">
        <v>34</v>
      </c>
      <c r="F716" t="s">
        <v>1734</v>
      </c>
      <c r="G716" t="s">
        <v>440</v>
      </c>
      <c r="H716" t="s">
        <v>1276</v>
      </c>
      <c r="I716" t="s">
        <v>1733</v>
      </c>
      <c r="J716" t="s">
        <v>1781</v>
      </c>
      <c r="K716" s="21" t="s">
        <v>1782</v>
      </c>
      <c r="L716" s="21" t="s">
        <v>1737</v>
      </c>
      <c r="M716" t="s">
        <v>1738</v>
      </c>
      <c r="N716" t="s">
        <v>42</v>
      </c>
      <c r="R716" t="s">
        <v>1746</v>
      </c>
      <c r="S716" t="s">
        <v>1781</v>
      </c>
      <c r="T716" t="s">
        <v>45</v>
      </c>
      <c r="U716" t="s">
        <v>1416</v>
      </c>
      <c r="V716" t="s">
        <v>1776</v>
      </c>
      <c r="W716" t="s">
        <v>1783</v>
      </c>
    </row>
    <row r="717" spans="1:23" ht="15" customHeight="1" x14ac:dyDescent="0.3">
      <c r="A717" t="s">
        <v>8</v>
      </c>
      <c r="B717">
        <v>82</v>
      </c>
      <c r="C717" t="s">
        <v>477</v>
      </c>
      <c r="D717" t="s">
        <v>1733</v>
      </c>
      <c r="E717" t="s">
        <v>34</v>
      </c>
      <c r="F717" t="s">
        <v>1734</v>
      </c>
      <c r="G717" t="s">
        <v>440</v>
      </c>
      <c r="H717" t="s">
        <v>1279</v>
      </c>
      <c r="I717" t="s">
        <v>1733</v>
      </c>
      <c r="J717" t="s">
        <v>1784</v>
      </c>
      <c r="K717" s="21" t="s">
        <v>1785</v>
      </c>
      <c r="L717" s="21" t="s">
        <v>1737</v>
      </c>
      <c r="M717" t="s">
        <v>1738</v>
      </c>
      <c r="N717" t="s">
        <v>42</v>
      </c>
      <c r="R717" t="s">
        <v>1739</v>
      </c>
      <c r="S717" t="s">
        <v>1784</v>
      </c>
      <c r="T717" t="s">
        <v>45</v>
      </c>
      <c r="U717" t="s">
        <v>1486</v>
      </c>
      <c r="V717" t="s">
        <v>1786</v>
      </c>
      <c r="W717" t="s">
        <v>1787</v>
      </c>
    </row>
    <row r="718" spans="1:23" ht="15" customHeight="1" x14ac:dyDescent="0.3">
      <c r="A718" t="s">
        <v>8</v>
      </c>
      <c r="B718">
        <v>82</v>
      </c>
      <c r="C718" t="s">
        <v>477</v>
      </c>
      <c r="D718" t="s">
        <v>1733</v>
      </c>
      <c r="E718" t="s">
        <v>34</v>
      </c>
      <c r="F718" t="s">
        <v>1734</v>
      </c>
      <c r="G718" t="s">
        <v>440</v>
      </c>
      <c r="H718" t="s">
        <v>1279</v>
      </c>
      <c r="I718" t="s">
        <v>1733</v>
      </c>
      <c r="J718" t="s">
        <v>1784</v>
      </c>
      <c r="K718" s="21" t="s">
        <v>1785</v>
      </c>
      <c r="L718" s="21" t="s">
        <v>1737</v>
      </c>
      <c r="M718" t="s">
        <v>1738</v>
      </c>
      <c r="N718" t="s">
        <v>42</v>
      </c>
      <c r="R718" t="s">
        <v>1742</v>
      </c>
      <c r="S718" t="s">
        <v>1784</v>
      </c>
      <c r="T718" t="s">
        <v>45</v>
      </c>
      <c r="U718" t="s">
        <v>1486</v>
      </c>
      <c r="V718" t="s">
        <v>1786</v>
      </c>
      <c r="W718" t="s">
        <v>1787</v>
      </c>
    </row>
    <row r="719" spans="1:23" ht="15" customHeight="1" x14ac:dyDescent="0.3">
      <c r="A719" t="s">
        <v>8</v>
      </c>
      <c r="B719">
        <v>82</v>
      </c>
      <c r="C719" t="s">
        <v>477</v>
      </c>
      <c r="D719" t="s">
        <v>1733</v>
      </c>
      <c r="E719" t="s">
        <v>34</v>
      </c>
      <c r="F719" t="s">
        <v>1734</v>
      </c>
      <c r="G719" t="s">
        <v>440</v>
      </c>
      <c r="H719" t="s">
        <v>1279</v>
      </c>
      <c r="I719" t="s">
        <v>1733</v>
      </c>
      <c r="J719" t="s">
        <v>1784</v>
      </c>
      <c r="K719" s="21" t="s">
        <v>1785</v>
      </c>
      <c r="L719" s="21" t="s">
        <v>1737</v>
      </c>
      <c r="M719" t="s">
        <v>1738</v>
      </c>
      <c r="N719" t="s">
        <v>42</v>
      </c>
      <c r="R719" t="s">
        <v>1743</v>
      </c>
      <c r="S719" t="s">
        <v>1784</v>
      </c>
      <c r="T719" t="s">
        <v>45</v>
      </c>
      <c r="U719" t="s">
        <v>1486</v>
      </c>
      <c r="V719" t="s">
        <v>1786</v>
      </c>
      <c r="W719" t="s">
        <v>1787</v>
      </c>
    </row>
    <row r="720" spans="1:23" ht="15" customHeight="1" x14ac:dyDescent="0.3">
      <c r="A720" t="s">
        <v>8</v>
      </c>
      <c r="B720">
        <v>82</v>
      </c>
      <c r="C720" t="s">
        <v>477</v>
      </c>
      <c r="D720" t="s">
        <v>1733</v>
      </c>
      <c r="E720" t="s">
        <v>34</v>
      </c>
      <c r="F720" t="s">
        <v>1734</v>
      </c>
      <c r="G720" t="s">
        <v>440</v>
      </c>
      <c r="H720" t="s">
        <v>1279</v>
      </c>
      <c r="I720" t="s">
        <v>1733</v>
      </c>
      <c r="J720" t="s">
        <v>1784</v>
      </c>
      <c r="K720" s="21" t="s">
        <v>1785</v>
      </c>
      <c r="L720" s="21" t="s">
        <v>1737</v>
      </c>
      <c r="M720" t="s">
        <v>1738</v>
      </c>
      <c r="N720" t="s">
        <v>42</v>
      </c>
      <c r="R720" t="s">
        <v>1744</v>
      </c>
      <c r="S720" t="s">
        <v>1784</v>
      </c>
      <c r="T720" t="s">
        <v>45</v>
      </c>
      <c r="U720" t="s">
        <v>1486</v>
      </c>
      <c r="V720" t="s">
        <v>1786</v>
      </c>
      <c r="W720" t="s">
        <v>1787</v>
      </c>
    </row>
    <row r="721" spans="1:23" ht="15" customHeight="1" x14ac:dyDescent="0.3">
      <c r="A721" t="s">
        <v>8</v>
      </c>
      <c r="B721">
        <v>82</v>
      </c>
      <c r="C721" t="s">
        <v>477</v>
      </c>
      <c r="D721" t="s">
        <v>1733</v>
      </c>
      <c r="E721" t="s">
        <v>34</v>
      </c>
      <c r="F721" t="s">
        <v>1734</v>
      </c>
      <c r="G721" t="s">
        <v>440</v>
      </c>
      <c r="H721" t="s">
        <v>1279</v>
      </c>
      <c r="I721" t="s">
        <v>1733</v>
      </c>
      <c r="J721" t="s">
        <v>1784</v>
      </c>
      <c r="K721" s="21" t="s">
        <v>1785</v>
      </c>
      <c r="L721" s="21" t="s">
        <v>1737</v>
      </c>
      <c r="M721" t="s">
        <v>1738</v>
      </c>
      <c r="N721" t="s">
        <v>42</v>
      </c>
      <c r="R721" t="s">
        <v>1745</v>
      </c>
      <c r="S721" t="s">
        <v>1784</v>
      </c>
      <c r="T721" t="s">
        <v>45</v>
      </c>
      <c r="U721" t="s">
        <v>1486</v>
      </c>
      <c r="V721" t="s">
        <v>1786</v>
      </c>
      <c r="W721" t="s">
        <v>1787</v>
      </c>
    </row>
    <row r="722" spans="1:23" ht="15" customHeight="1" x14ac:dyDescent="0.3">
      <c r="A722" t="s">
        <v>8</v>
      </c>
      <c r="B722">
        <v>82</v>
      </c>
      <c r="C722" t="s">
        <v>477</v>
      </c>
      <c r="D722" t="s">
        <v>1733</v>
      </c>
      <c r="E722" t="s">
        <v>34</v>
      </c>
      <c r="F722" t="s">
        <v>1734</v>
      </c>
      <c r="G722" t="s">
        <v>440</v>
      </c>
      <c r="H722" t="s">
        <v>1279</v>
      </c>
      <c r="I722" t="s">
        <v>1733</v>
      </c>
      <c r="J722" t="s">
        <v>1784</v>
      </c>
      <c r="K722" s="21" t="s">
        <v>1785</v>
      </c>
      <c r="L722" s="21" t="s">
        <v>1737</v>
      </c>
      <c r="M722" t="s">
        <v>1738</v>
      </c>
      <c r="N722" t="s">
        <v>42</v>
      </c>
      <c r="R722" t="s">
        <v>1746</v>
      </c>
      <c r="S722" t="s">
        <v>1784</v>
      </c>
      <c r="T722" t="s">
        <v>45</v>
      </c>
      <c r="U722" t="s">
        <v>1486</v>
      </c>
      <c r="V722" t="s">
        <v>1786</v>
      </c>
      <c r="W722" t="s">
        <v>1787</v>
      </c>
    </row>
    <row r="723" spans="1:23" ht="15" customHeight="1" x14ac:dyDescent="0.3">
      <c r="A723" t="s">
        <v>8</v>
      </c>
      <c r="B723">
        <v>82</v>
      </c>
      <c r="C723" t="s">
        <v>477</v>
      </c>
      <c r="D723" t="s">
        <v>1733</v>
      </c>
      <c r="E723" t="s">
        <v>34</v>
      </c>
      <c r="F723" t="s">
        <v>1734</v>
      </c>
      <c r="G723" t="s">
        <v>440</v>
      </c>
      <c r="H723" t="s">
        <v>1283</v>
      </c>
      <c r="I723" t="s">
        <v>1733</v>
      </c>
      <c r="J723" t="s">
        <v>1788</v>
      </c>
      <c r="K723" s="21" t="s">
        <v>1789</v>
      </c>
      <c r="L723" s="21" t="s">
        <v>1737</v>
      </c>
      <c r="M723" t="s">
        <v>1738</v>
      </c>
      <c r="N723" t="s">
        <v>42</v>
      </c>
      <c r="R723" t="s">
        <v>1739</v>
      </c>
      <c r="S723" t="s">
        <v>1788</v>
      </c>
      <c r="T723" t="s">
        <v>1249</v>
      </c>
      <c r="U723" t="s">
        <v>1473</v>
      </c>
      <c r="V723" t="s">
        <v>1740</v>
      </c>
      <c r="W723" t="s">
        <v>1790</v>
      </c>
    </row>
    <row r="724" spans="1:23" ht="15" customHeight="1" x14ac:dyDescent="0.3">
      <c r="A724" t="s">
        <v>8</v>
      </c>
      <c r="B724">
        <v>82</v>
      </c>
      <c r="C724" t="s">
        <v>477</v>
      </c>
      <c r="D724" t="s">
        <v>1733</v>
      </c>
      <c r="E724" t="s">
        <v>34</v>
      </c>
      <c r="F724" t="s">
        <v>1734</v>
      </c>
      <c r="G724" t="s">
        <v>440</v>
      </c>
      <c r="H724" t="s">
        <v>1283</v>
      </c>
      <c r="I724" t="s">
        <v>1733</v>
      </c>
      <c r="J724" t="s">
        <v>1788</v>
      </c>
      <c r="K724" s="21" t="s">
        <v>1789</v>
      </c>
      <c r="L724" s="21" t="s">
        <v>1737</v>
      </c>
      <c r="M724" t="s">
        <v>1738</v>
      </c>
      <c r="N724" t="s">
        <v>42</v>
      </c>
      <c r="R724" t="s">
        <v>1742</v>
      </c>
      <c r="S724" t="s">
        <v>1788</v>
      </c>
      <c r="T724" t="s">
        <v>1249</v>
      </c>
      <c r="U724" t="s">
        <v>1473</v>
      </c>
      <c r="V724" t="s">
        <v>1740</v>
      </c>
      <c r="W724" t="s">
        <v>1790</v>
      </c>
    </row>
    <row r="725" spans="1:23" ht="15" customHeight="1" x14ac:dyDescent="0.3">
      <c r="A725" t="s">
        <v>8</v>
      </c>
      <c r="B725">
        <v>82</v>
      </c>
      <c r="C725" t="s">
        <v>477</v>
      </c>
      <c r="D725" t="s">
        <v>1733</v>
      </c>
      <c r="E725" t="s">
        <v>34</v>
      </c>
      <c r="F725" t="s">
        <v>1734</v>
      </c>
      <c r="G725" t="s">
        <v>440</v>
      </c>
      <c r="H725" t="s">
        <v>1283</v>
      </c>
      <c r="I725" t="s">
        <v>1733</v>
      </c>
      <c r="J725" t="s">
        <v>1788</v>
      </c>
      <c r="K725" s="21" t="s">
        <v>1789</v>
      </c>
      <c r="L725" s="21" t="s">
        <v>1737</v>
      </c>
      <c r="M725" t="s">
        <v>1738</v>
      </c>
      <c r="N725" t="s">
        <v>42</v>
      </c>
      <c r="R725" t="s">
        <v>1743</v>
      </c>
      <c r="S725" t="s">
        <v>1788</v>
      </c>
      <c r="T725" t="s">
        <v>1249</v>
      </c>
      <c r="U725" t="s">
        <v>1473</v>
      </c>
      <c r="V725" t="s">
        <v>1740</v>
      </c>
      <c r="W725" t="s">
        <v>1790</v>
      </c>
    </row>
    <row r="726" spans="1:23" ht="15" customHeight="1" x14ac:dyDescent="0.3">
      <c r="A726" t="s">
        <v>8</v>
      </c>
      <c r="B726">
        <v>82</v>
      </c>
      <c r="C726" t="s">
        <v>477</v>
      </c>
      <c r="D726" t="s">
        <v>1733</v>
      </c>
      <c r="E726" t="s">
        <v>34</v>
      </c>
      <c r="F726" t="s">
        <v>1734</v>
      </c>
      <c r="G726" t="s">
        <v>440</v>
      </c>
      <c r="H726" t="s">
        <v>1283</v>
      </c>
      <c r="I726" t="s">
        <v>1733</v>
      </c>
      <c r="J726" t="s">
        <v>1788</v>
      </c>
      <c r="K726" s="21" t="s">
        <v>1789</v>
      </c>
      <c r="L726" s="21" t="s">
        <v>1737</v>
      </c>
      <c r="M726" t="s">
        <v>1738</v>
      </c>
      <c r="N726" t="s">
        <v>42</v>
      </c>
      <c r="R726" t="s">
        <v>1744</v>
      </c>
      <c r="S726" t="s">
        <v>1788</v>
      </c>
      <c r="T726" t="s">
        <v>1249</v>
      </c>
      <c r="U726" t="s">
        <v>1473</v>
      </c>
      <c r="V726" t="s">
        <v>1740</v>
      </c>
      <c r="W726" t="s">
        <v>1790</v>
      </c>
    </row>
    <row r="727" spans="1:23" ht="15" customHeight="1" x14ac:dyDescent="0.3">
      <c r="A727" t="s">
        <v>8</v>
      </c>
      <c r="B727">
        <v>82</v>
      </c>
      <c r="C727" t="s">
        <v>477</v>
      </c>
      <c r="D727" t="s">
        <v>1733</v>
      </c>
      <c r="E727" t="s">
        <v>34</v>
      </c>
      <c r="F727" t="s">
        <v>1734</v>
      </c>
      <c r="G727" t="s">
        <v>440</v>
      </c>
      <c r="H727" t="s">
        <v>1283</v>
      </c>
      <c r="I727" t="s">
        <v>1733</v>
      </c>
      <c r="J727" t="s">
        <v>1788</v>
      </c>
      <c r="K727" s="21" t="s">
        <v>1789</v>
      </c>
      <c r="L727" s="21" t="s">
        <v>1737</v>
      </c>
      <c r="M727" t="s">
        <v>1738</v>
      </c>
      <c r="N727" t="s">
        <v>42</v>
      </c>
      <c r="R727" t="s">
        <v>1745</v>
      </c>
      <c r="S727" t="s">
        <v>1788</v>
      </c>
      <c r="T727" t="s">
        <v>1249</v>
      </c>
      <c r="U727" t="s">
        <v>1473</v>
      </c>
      <c r="V727" t="s">
        <v>1740</v>
      </c>
      <c r="W727" t="s">
        <v>1790</v>
      </c>
    </row>
    <row r="728" spans="1:23" ht="15" customHeight="1" x14ac:dyDescent="0.3">
      <c r="A728" t="s">
        <v>8</v>
      </c>
      <c r="B728">
        <v>82</v>
      </c>
      <c r="C728" t="s">
        <v>477</v>
      </c>
      <c r="D728" t="s">
        <v>1733</v>
      </c>
      <c r="E728" t="s">
        <v>34</v>
      </c>
      <c r="F728" t="s">
        <v>1734</v>
      </c>
      <c r="G728" t="s">
        <v>440</v>
      </c>
      <c r="H728" t="s">
        <v>1283</v>
      </c>
      <c r="I728" t="s">
        <v>1733</v>
      </c>
      <c r="J728" t="s">
        <v>1788</v>
      </c>
      <c r="K728" s="21" t="s">
        <v>1789</v>
      </c>
      <c r="L728" s="21" t="s">
        <v>1737</v>
      </c>
      <c r="M728" t="s">
        <v>1738</v>
      </c>
      <c r="N728" t="s">
        <v>42</v>
      </c>
      <c r="R728" t="s">
        <v>1746</v>
      </c>
      <c r="S728" t="s">
        <v>1788</v>
      </c>
      <c r="T728" t="s">
        <v>1249</v>
      </c>
      <c r="U728" t="s">
        <v>1473</v>
      </c>
      <c r="V728" t="s">
        <v>1740</v>
      </c>
      <c r="W728" t="s">
        <v>1790</v>
      </c>
    </row>
    <row r="729" spans="1:23" ht="15" customHeight="1" x14ac:dyDescent="0.3">
      <c r="A729" t="s">
        <v>8</v>
      </c>
      <c r="B729">
        <v>82</v>
      </c>
      <c r="C729" t="s">
        <v>477</v>
      </c>
      <c r="D729" t="s">
        <v>1733</v>
      </c>
      <c r="E729" t="s">
        <v>34</v>
      </c>
      <c r="F729" t="s">
        <v>1734</v>
      </c>
      <c r="G729" t="s">
        <v>440</v>
      </c>
      <c r="H729" t="s">
        <v>1287</v>
      </c>
      <c r="I729" t="s">
        <v>1733</v>
      </c>
      <c r="J729" t="s">
        <v>1791</v>
      </c>
      <c r="K729" s="21" t="s">
        <v>1792</v>
      </c>
      <c r="L729" s="21" t="s">
        <v>1737</v>
      </c>
      <c r="M729" t="s">
        <v>1738</v>
      </c>
      <c r="N729" t="s">
        <v>42</v>
      </c>
      <c r="R729" t="s">
        <v>1739</v>
      </c>
      <c r="S729" t="s">
        <v>1791</v>
      </c>
      <c r="T729" t="s">
        <v>1249</v>
      </c>
      <c r="U729" t="s">
        <v>1467</v>
      </c>
      <c r="V729" t="s">
        <v>1740</v>
      </c>
      <c r="W729" t="s">
        <v>1790</v>
      </c>
    </row>
    <row r="730" spans="1:23" ht="15" customHeight="1" x14ac:dyDescent="0.3">
      <c r="A730" t="s">
        <v>8</v>
      </c>
      <c r="B730">
        <v>82</v>
      </c>
      <c r="C730" t="s">
        <v>477</v>
      </c>
      <c r="D730" t="s">
        <v>1733</v>
      </c>
      <c r="E730" t="s">
        <v>34</v>
      </c>
      <c r="F730" t="s">
        <v>1734</v>
      </c>
      <c r="G730" t="s">
        <v>440</v>
      </c>
      <c r="H730" t="s">
        <v>1287</v>
      </c>
      <c r="I730" t="s">
        <v>1733</v>
      </c>
      <c r="J730" t="s">
        <v>1791</v>
      </c>
      <c r="K730" s="21" t="s">
        <v>1792</v>
      </c>
      <c r="L730" s="21" t="s">
        <v>1737</v>
      </c>
      <c r="M730" t="s">
        <v>1738</v>
      </c>
      <c r="N730" t="s">
        <v>42</v>
      </c>
      <c r="R730" t="s">
        <v>1742</v>
      </c>
      <c r="S730" t="s">
        <v>1791</v>
      </c>
      <c r="T730" t="s">
        <v>1249</v>
      </c>
      <c r="U730" t="s">
        <v>1467</v>
      </c>
      <c r="V730" t="s">
        <v>1740</v>
      </c>
      <c r="W730" t="s">
        <v>1790</v>
      </c>
    </row>
    <row r="731" spans="1:23" ht="15" customHeight="1" x14ac:dyDescent="0.3">
      <c r="A731" t="s">
        <v>8</v>
      </c>
      <c r="B731">
        <v>82</v>
      </c>
      <c r="C731" t="s">
        <v>477</v>
      </c>
      <c r="D731" t="s">
        <v>1733</v>
      </c>
      <c r="E731" t="s">
        <v>34</v>
      </c>
      <c r="F731" t="s">
        <v>1734</v>
      </c>
      <c r="G731" t="s">
        <v>440</v>
      </c>
      <c r="H731" t="s">
        <v>1287</v>
      </c>
      <c r="I731" t="s">
        <v>1733</v>
      </c>
      <c r="J731" t="s">
        <v>1791</v>
      </c>
      <c r="K731" s="21" t="s">
        <v>1792</v>
      </c>
      <c r="L731" s="21" t="s">
        <v>1737</v>
      </c>
      <c r="M731" t="s">
        <v>1738</v>
      </c>
      <c r="N731" t="s">
        <v>42</v>
      </c>
      <c r="R731" t="s">
        <v>1743</v>
      </c>
      <c r="S731" t="s">
        <v>1791</v>
      </c>
      <c r="T731" t="s">
        <v>1249</v>
      </c>
      <c r="U731" t="s">
        <v>1467</v>
      </c>
      <c r="V731" t="s">
        <v>1740</v>
      </c>
      <c r="W731" t="s">
        <v>1790</v>
      </c>
    </row>
    <row r="732" spans="1:23" ht="15" customHeight="1" x14ac:dyDescent="0.3">
      <c r="A732" t="s">
        <v>8</v>
      </c>
      <c r="B732">
        <v>82</v>
      </c>
      <c r="C732" t="s">
        <v>477</v>
      </c>
      <c r="D732" t="s">
        <v>1733</v>
      </c>
      <c r="E732" t="s">
        <v>34</v>
      </c>
      <c r="F732" t="s">
        <v>1734</v>
      </c>
      <c r="G732" t="s">
        <v>440</v>
      </c>
      <c r="H732" t="s">
        <v>1287</v>
      </c>
      <c r="I732" t="s">
        <v>1733</v>
      </c>
      <c r="J732" t="s">
        <v>1791</v>
      </c>
      <c r="K732" s="21" t="s">
        <v>1792</v>
      </c>
      <c r="L732" s="21" t="s">
        <v>1737</v>
      </c>
      <c r="M732" t="s">
        <v>1738</v>
      </c>
      <c r="N732" t="s">
        <v>42</v>
      </c>
      <c r="R732" t="s">
        <v>1744</v>
      </c>
      <c r="S732" t="s">
        <v>1791</v>
      </c>
      <c r="T732" t="s">
        <v>1249</v>
      </c>
      <c r="U732" t="s">
        <v>1467</v>
      </c>
      <c r="V732" t="s">
        <v>1740</v>
      </c>
      <c r="W732" t="s">
        <v>1790</v>
      </c>
    </row>
    <row r="733" spans="1:23" ht="15" customHeight="1" x14ac:dyDescent="0.3">
      <c r="A733" t="s">
        <v>8</v>
      </c>
      <c r="B733">
        <v>82</v>
      </c>
      <c r="C733" t="s">
        <v>477</v>
      </c>
      <c r="D733" t="s">
        <v>1733</v>
      </c>
      <c r="E733" t="s">
        <v>34</v>
      </c>
      <c r="F733" t="s">
        <v>1734</v>
      </c>
      <c r="G733" t="s">
        <v>440</v>
      </c>
      <c r="H733" t="s">
        <v>1287</v>
      </c>
      <c r="I733" t="s">
        <v>1733</v>
      </c>
      <c r="J733" t="s">
        <v>1791</v>
      </c>
      <c r="K733" s="21" t="s">
        <v>1792</v>
      </c>
      <c r="L733" s="21" t="s">
        <v>1737</v>
      </c>
      <c r="M733" t="s">
        <v>1738</v>
      </c>
      <c r="N733" t="s">
        <v>42</v>
      </c>
      <c r="R733" t="s">
        <v>1745</v>
      </c>
      <c r="S733" t="s">
        <v>1791</v>
      </c>
      <c r="T733" t="s">
        <v>1249</v>
      </c>
      <c r="U733" t="s">
        <v>1467</v>
      </c>
      <c r="V733" t="s">
        <v>1740</v>
      </c>
      <c r="W733" t="s">
        <v>1790</v>
      </c>
    </row>
    <row r="734" spans="1:23" ht="15" customHeight="1" x14ac:dyDescent="0.3">
      <c r="A734" t="s">
        <v>8</v>
      </c>
      <c r="B734">
        <v>82</v>
      </c>
      <c r="C734" t="s">
        <v>477</v>
      </c>
      <c r="D734" t="s">
        <v>1733</v>
      </c>
      <c r="E734" t="s">
        <v>34</v>
      </c>
      <c r="F734" t="s">
        <v>1734</v>
      </c>
      <c r="G734" t="s">
        <v>440</v>
      </c>
      <c r="H734" t="s">
        <v>1287</v>
      </c>
      <c r="I734" t="s">
        <v>1733</v>
      </c>
      <c r="J734" t="s">
        <v>1791</v>
      </c>
      <c r="K734" s="21" t="s">
        <v>1792</v>
      </c>
      <c r="L734" s="21" t="s">
        <v>1737</v>
      </c>
      <c r="M734" t="s">
        <v>1738</v>
      </c>
      <c r="N734" t="s">
        <v>42</v>
      </c>
      <c r="R734" t="s">
        <v>1746</v>
      </c>
      <c r="S734" t="s">
        <v>1791</v>
      </c>
      <c r="T734" t="s">
        <v>1249</v>
      </c>
      <c r="U734" t="s">
        <v>1467</v>
      </c>
      <c r="V734" t="s">
        <v>1740</v>
      </c>
      <c r="W734" t="s">
        <v>1790</v>
      </c>
    </row>
    <row r="735" spans="1:23" ht="15" customHeight="1" x14ac:dyDescent="0.3">
      <c r="A735" t="s">
        <v>8</v>
      </c>
      <c r="B735">
        <v>82</v>
      </c>
      <c r="C735" t="s">
        <v>477</v>
      </c>
      <c r="D735" t="s">
        <v>1733</v>
      </c>
      <c r="E735" t="s">
        <v>34</v>
      </c>
      <c r="F735" t="s">
        <v>1734</v>
      </c>
      <c r="G735" t="s">
        <v>440</v>
      </c>
      <c r="H735" t="s">
        <v>1293</v>
      </c>
      <c r="I735" t="s">
        <v>1733</v>
      </c>
      <c r="J735" t="s">
        <v>1793</v>
      </c>
      <c r="K735" s="21" t="s">
        <v>1794</v>
      </c>
      <c r="L735" s="21" t="s">
        <v>1737</v>
      </c>
      <c r="M735" t="s">
        <v>1738</v>
      </c>
      <c r="N735" t="s">
        <v>42</v>
      </c>
      <c r="R735" t="s">
        <v>1739</v>
      </c>
      <c r="S735" t="s">
        <v>1793</v>
      </c>
      <c r="T735" t="s">
        <v>1249</v>
      </c>
      <c r="U735" t="s">
        <v>1795</v>
      </c>
      <c r="V735" t="s">
        <v>1740</v>
      </c>
      <c r="W735" t="s">
        <v>1790</v>
      </c>
    </row>
    <row r="736" spans="1:23" ht="15" customHeight="1" x14ac:dyDescent="0.3">
      <c r="A736" t="s">
        <v>8</v>
      </c>
      <c r="B736">
        <v>82</v>
      </c>
      <c r="C736" t="s">
        <v>477</v>
      </c>
      <c r="D736" t="s">
        <v>1733</v>
      </c>
      <c r="E736" t="s">
        <v>34</v>
      </c>
      <c r="F736" t="s">
        <v>1734</v>
      </c>
      <c r="G736" t="s">
        <v>440</v>
      </c>
      <c r="H736" t="s">
        <v>1293</v>
      </c>
      <c r="I736" t="s">
        <v>1733</v>
      </c>
      <c r="J736" t="s">
        <v>1793</v>
      </c>
      <c r="K736" s="21" t="s">
        <v>1794</v>
      </c>
      <c r="L736" s="21" t="s">
        <v>1737</v>
      </c>
      <c r="M736" t="s">
        <v>1738</v>
      </c>
      <c r="N736" t="s">
        <v>42</v>
      </c>
      <c r="R736" t="s">
        <v>1742</v>
      </c>
      <c r="S736" t="s">
        <v>1793</v>
      </c>
      <c r="T736" t="s">
        <v>1249</v>
      </c>
      <c r="U736" t="s">
        <v>1795</v>
      </c>
      <c r="V736" t="s">
        <v>1740</v>
      </c>
      <c r="W736" t="s">
        <v>1790</v>
      </c>
    </row>
    <row r="737" spans="1:23" ht="15" customHeight="1" x14ac:dyDescent="0.3">
      <c r="A737" t="s">
        <v>8</v>
      </c>
      <c r="B737">
        <v>82</v>
      </c>
      <c r="C737" t="s">
        <v>477</v>
      </c>
      <c r="D737" t="s">
        <v>1733</v>
      </c>
      <c r="E737" t="s">
        <v>34</v>
      </c>
      <c r="F737" t="s">
        <v>1734</v>
      </c>
      <c r="G737" t="s">
        <v>440</v>
      </c>
      <c r="H737" t="s">
        <v>1293</v>
      </c>
      <c r="I737" t="s">
        <v>1733</v>
      </c>
      <c r="J737" t="s">
        <v>1793</v>
      </c>
      <c r="K737" s="21" t="s">
        <v>1794</v>
      </c>
      <c r="L737" s="21" t="s">
        <v>1737</v>
      </c>
      <c r="M737" t="s">
        <v>1738</v>
      </c>
      <c r="N737" t="s">
        <v>42</v>
      </c>
      <c r="R737" t="s">
        <v>1743</v>
      </c>
      <c r="S737" t="s">
        <v>1793</v>
      </c>
      <c r="T737" t="s">
        <v>1249</v>
      </c>
      <c r="U737" t="s">
        <v>1795</v>
      </c>
      <c r="V737" t="s">
        <v>1740</v>
      </c>
      <c r="W737" t="s">
        <v>1790</v>
      </c>
    </row>
    <row r="738" spans="1:23" ht="15" customHeight="1" x14ac:dyDescent="0.3">
      <c r="A738" t="s">
        <v>8</v>
      </c>
      <c r="B738">
        <v>82</v>
      </c>
      <c r="C738" t="s">
        <v>477</v>
      </c>
      <c r="D738" t="s">
        <v>1733</v>
      </c>
      <c r="E738" t="s">
        <v>34</v>
      </c>
      <c r="F738" t="s">
        <v>1734</v>
      </c>
      <c r="G738" t="s">
        <v>440</v>
      </c>
      <c r="H738" t="s">
        <v>1293</v>
      </c>
      <c r="I738" t="s">
        <v>1733</v>
      </c>
      <c r="J738" t="s">
        <v>1793</v>
      </c>
      <c r="K738" s="21" t="s">
        <v>1794</v>
      </c>
      <c r="L738" s="21" t="s">
        <v>1737</v>
      </c>
      <c r="M738" t="s">
        <v>1738</v>
      </c>
      <c r="N738" t="s">
        <v>42</v>
      </c>
      <c r="R738" t="s">
        <v>1744</v>
      </c>
      <c r="S738" t="s">
        <v>1793</v>
      </c>
      <c r="T738" t="s">
        <v>1249</v>
      </c>
      <c r="U738" t="s">
        <v>1795</v>
      </c>
      <c r="V738" t="s">
        <v>1740</v>
      </c>
      <c r="W738" t="s">
        <v>1790</v>
      </c>
    </row>
    <row r="739" spans="1:23" ht="15" customHeight="1" x14ac:dyDescent="0.3">
      <c r="A739" t="s">
        <v>8</v>
      </c>
      <c r="B739">
        <v>82</v>
      </c>
      <c r="C739" t="s">
        <v>477</v>
      </c>
      <c r="D739" t="s">
        <v>1733</v>
      </c>
      <c r="E739" t="s">
        <v>34</v>
      </c>
      <c r="F739" t="s">
        <v>1734</v>
      </c>
      <c r="G739" t="s">
        <v>440</v>
      </c>
      <c r="H739" t="s">
        <v>1293</v>
      </c>
      <c r="I739" t="s">
        <v>1733</v>
      </c>
      <c r="J739" t="s">
        <v>1793</v>
      </c>
      <c r="K739" s="21" t="s">
        <v>1794</v>
      </c>
      <c r="L739" s="21" t="s">
        <v>1737</v>
      </c>
      <c r="M739" t="s">
        <v>1738</v>
      </c>
      <c r="N739" t="s">
        <v>42</v>
      </c>
      <c r="R739" t="s">
        <v>1745</v>
      </c>
      <c r="S739" t="s">
        <v>1793</v>
      </c>
      <c r="T739" t="s">
        <v>1249</v>
      </c>
      <c r="U739" t="s">
        <v>1795</v>
      </c>
      <c r="V739" t="s">
        <v>1740</v>
      </c>
      <c r="W739" t="s">
        <v>1790</v>
      </c>
    </row>
    <row r="740" spans="1:23" ht="15" customHeight="1" x14ac:dyDescent="0.3">
      <c r="A740" t="s">
        <v>8</v>
      </c>
      <c r="B740">
        <v>82</v>
      </c>
      <c r="C740" t="s">
        <v>477</v>
      </c>
      <c r="D740" t="s">
        <v>1733</v>
      </c>
      <c r="E740" t="s">
        <v>34</v>
      </c>
      <c r="F740" t="s">
        <v>1734</v>
      </c>
      <c r="G740" t="s">
        <v>440</v>
      </c>
      <c r="H740" t="s">
        <v>1293</v>
      </c>
      <c r="I740" t="s">
        <v>1733</v>
      </c>
      <c r="J740" t="s">
        <v>1793</v>
      </c>
      <c r="K740" s="21" t="s">
        <v>1794</v>
      </c>
      <c r="L740" s="21" t="s">
        <v>1737</v>
      </c>
      <c r="M740" t="s">
        <v>1738</v>
      </c>
      <c r="N740" t="s">
        <v>42</v>
      </c>
      <c r="R740" t="s">
        <v>1746</v>
      </c>
      <c r="S740" t="s">
        <v>1793</v>
      </c>
      <c r="T740" t="s">
        <v>1249</v>
      </c>
      <c r="U740" t="s">
        <v>1795</v>
      </c>
      <c r="V740" t="s">
        <v>1740</v>
      </c>
      <c r="W740" t="s">
        <v>1790</v>
      </c>
    </row>
    <row r="741" spans="1:23" ht="15" customHeight="1" x14ac:dyDescent="0.3">
      <c r="A741" t="s">
        <v>8</v>
      </c>
      <c r="B741">
        <v>82</v>
      </c>
      <c r="C741" t="s">
        <v>477</v>
      </c>
      <c r="D741" t="s">
        <v>1733</v>
      </c>
      <c r="E741" t="s">
        <v>34</v>
      </c>
      <c r="F741" t="s">
        <v>1734</v>
      </c>
      <c r="G741" t="s">
        <v>440</v>
      </c>
      <c r="H741" t="s">
        <v>1592</v>
      </c>
      <c r="I741" t="s">
        <v>1733</v>
      </c>
      <c r="J741" t="s">
        <v>1796</v>
      </c>
      <c r="K741" s="21" t="s">
        <v>1797</v>
      </c>
      <c r="L741" s="21" t="s">
        <v>1737</v>
      </c>
      <c r="M741" t="s">
        <v>1738</v>
      </c>
      <c r="N741" t="s">
        <v>42</v>
      </c>
      <c r="R741" t="s">
        <v>1739</v>
      </c>
      <c r="S741" t="s">
        <v>1796</v>
      </c>
      <c r="T741" t="s">
        <v>1249</v>
      </c>
      <c r="U741" t="s">
        <v>1470</v>
      </c>
      <c r="V741" t="s">
        <v>1740</v>
      </c>
      <c r="W741" t="s">
        <v>1790</v>
      </c>
    </row>
    <row r="742" spans="1:23" ht="15" customHeight="1" x14ac:dyDescent="0.3">
      <c r="A742" t="s">
        <v>8</v>
      </c>
      <c r="B742">
        <v>82</v>
      </c>
      <c r="C742" t="s">
        <v>477</v>
      </c>
      <c r="D742" t="s">
        <v>1733</v>
      </c>
      <c r="E742" t="s">
        <v>34</v>
      </c>
      <c r="F742" t="s">
        <v>1734</v>
      </c>
      <c r="G742" t="s">
        <v>440</v>
      </c>
      <c r="H742" t="s">
        <v>1592</v>
      </c>
      <c r="I742" t="s">
        <v>1733</v>
      </c>
      <c r="J742" t="s">
        <v>1796</v>
      </c>
      <c r="K742" s="21" t="s">
        <v>1797</v>
      </c>
      <c r="L742" s="21" t="s">
        <v>1737</v>
      </c>
      <c r="M742" t="s">
        <v>1738</v>
      </c>
      <c r="N742" t="s">
        <v>42</v>
      </c>
      <c r="R742" t="s">
        <v>1742</v>
      </c>
      <c r="S742" t="s">
        <v>1796</v>
      </c>
      <c r="T742" t="s">
        <v>1249</v>
      </c>
      <c r="U742" t="s">
        <v>1470</v>
      </c>
      <c r="V742" t="s">
        <v>1740</v>
      </c>
      <c r="W742" t="s">
        <v>1790</v>
      </c>
    </row>
    <row r="743" spans="1:23" ht="15" customHeight="1" x14ac:dyDescent="0.3">
      <c r="A743" t="s">
        <v>8</v>
      </c>
      <c r="B743">
        <v>82</v>
      </c>
      <c r="C743" t="s">
        <v>477</v>
      </c>
      <c r="D743" t="s">
        <v>1733</v>
      </c>
      <c r="E743" t="s">
        <v>34</v>
      </c>
      <c r="F743" t="s">
        <v>1734</v>
      </c>
      <c r="G743" t="s">
        <v>440</v>
      </c>
      <c r="H743" t="s">
        <v>1592</v>
      </c>
      <c r="I743" t="s">
        <v>1733</v>
      </c>
      <c r="J743" t="s">
        <v>1796</v>
      </c>
      <c r="K743" s="21" t="s">
        <v>1797</v>
      </c>
      <c r="L743" s="21" t="s">
        <v>1737</v>
      </c>
      <c r="M743" t="s">
        <v>1738</v>
      </c>
      <c r="N743" t="s">
        <v>42</v>
      </c>
      <c r="R743" t="s">
        <v>1743</v>
      </c>
      <c r="S743" t="s">
        <v>1796</v>
      </c>
      <c r="T743" t="s">
        <v>1249</v>
      </c>
      <c r="U743" t="s">
        <v>1470</v>
      </c>
      <c r="V743" t="s">
        <v>1740</v>
      </c>
      <c r="W743" t="s">
        <v>1790</v>
      </c>
    </row>
    <row r="744" spans="1:23" ht="15" customHeight="1" x14ac:dyDescent="0.3">
      <c r="A744" t="s">
        <v>8</v>
      </c>
      <c r="B744">
        <v>82</v>
      </c>
      <c r="C744" t="s">
        <v>477</v>
      </c>
      <c r="D744" t="s">
        <v>1733</v>
      </c>
      <c r="E744" t="s">
        <v>34</v>
      </c>
      <c r="F744" t="s">
        <v>1734</v>
      </c>
      <c r="G744" t="s">
        <v>440</v>
      </c>
      <c r="H744" t="s">
        <v>1592</v>
      </c>
      <c r="I744" t="s">
        <v>1733</v>
      </c>
      <c r="J744" t="s">
        <v>1796</v>
      </c>
      <c r="K744" s="21" t="s">
        <v>1797</v>
      </c>
      <c r="L744" s="21" t="s">
        <v>1737</v>
      </c>
      <c r="M744" t="s">
        <v>1738</v>
      </c>
      <c r="N744" t="s">
        <v>42</v>
      </c>
      <c r="R744" t="s">
        <v>1744</v>
      </c>
      <c r="S744" t="s">
        <v>1796</v>
      </c>
      <c r="T744" t="s">
        <v>1249</v>
      </c>
      <c r="U744" t="s">
        <v>1470</v>
      </c>
      <c r="V744" t="s">
        <v>1740</v>
      </c>
      <c r="W744" t="s">
        <v>1790</v>
      </c>
    </row>
    <row r="745" spans="1:23" ht="15" customHeight="1" x14ac:dyDescent="0.3">
      <c r="A745" t="s">
        <v>8</v>
      </c>
      <c r="B745">
        <v>82</v>
      </c>
      <c r="C745" t="s">
        <v>477</v>
      </c>
      <c r="D745" t="s">
        <v>1733</v>
      </c>
      <c r="E745" t="s">
        <v>34</v>
      </c>
      <c r="F745" t="s">
        <v>1734</v>
      </c>
      <c r="G745" t="s">
        <v>440</v>
      </c>
      <c r="H745" t="s">
        <v>1592</v>
      </c>
      <c r="I745" t="s">
        <v>1733</v>
      </c>
      <c r="J745" t="s">
        <v>1796</v>
      </c>
      <c r="K745" s="21" t="s">
        <v>1797</v>
      </c>
      <c r="L745" s="21" t="s">
        <v>1737</v>
      </c>
      <c r="M745" t="s">
        <v>1738</v>
      </c>
      <c r="N745" t="s">
        <v>42</v>
      </c>
      <c r="R745" t="s">
        <v>1745</v>
      </c>
      <c r="S745" t="s">
        <v>1796</v>
      </c>
      <c r="T745" t="s">
        <v>1249</v>
      </c>
      <c r="U745" t="s">
        <v>1470</v>
      </c>
      <c r="V745" t="s">
        <v>1740</v>
      </c>
      <c r="W745" t="s">
        <v>1790</v>
      </c>
    </row>
    <row r="746" spans="1:23" ht="15" customHeight="1" x14ac:dyDescent="0.3">
      <c r="A746" t="s">
        <v>8</v>
      </c>
      <c r="B746">
        <v>82</v>
      </c>
      <c r="C746" t="s">
        <v>477</v>
      </c>
      <c r="D746" t="s">
        <v>1733</v>
      </c>
      <c r="E746" t="s">
        <v>34</v>
      </c>
      <c r="F746" t="s">
        <v>1734</v>
      </c>
      <c r="G746" t="s">
        <v>440</v>
      </c>
      <c r="H746" t="s">
        <v>1592</v>
      </c>
      <c r="I746" t="s">
        <v>1733</v>
      </c>
      <c r="J746" t="s">
        <v>1796</v>
      </c>
      <c r="K746" s="21" t="s">
        <v>1797</v>
      </c>
      <c r="L746" s="21" t="s">
        <v>1737</v>
      </c>
      <c r="M746" t="s">
        <v>1738</v>
      </c>
      <c r="N746" t="s">
        <v>42</v>
      </c>
      <c r="R746" t="s">
        <v>1746</v>
      </c>
      <c r="S746" t="s">
        <v>1796</v>
      </c>
      <c r="T746" t="s">
        <v>1249</v>
      </c>
      <c r="U746" t="s">
        <v>1470</v>
      </c>
      <c r="V746" t="s">
        <v>1740</v>
      </c>
      <c r="W746" t="s">
        <v>1790</v>
      </c>
    </row>
    <row r="747" spans="1:23" ht="15" customHeight="1" x14ac:dyDescent="0.3">
      <c r="A747" t="s">
        <v>8</v>
      </c>
      <c r="B747">
        <v>82</v>
      </c>
      <c r="C747" t="s">
        <v>477</v>
      </c>
      <c r="D747" t="s">
        <v>1733</v>
      </c>
      <c r="E747" t="s">
        <v>34</v>
      </c>
      <c r="F747" t="s">
        <v>1734</v>
      </c>
      <c r="G747" t="s">
        <v>440</v>
      </c>
      <c r="H747" t="s">
        <v>1798</v>
      </c>
      <c r="I747" t="s">
        <v>1733</v>
      </c>
      <c r="J747" t="s">
        <v>1799</v>
      </c>
      <c r="K747" s="21" t="s">
        <v>1800</v>
      </c>
      <c r="L747" s="21" t="s">
        <v>1737</v>
      </c>
      <c r="M747" t="s">
        <v>1738</v>
      </c>
      <c r="N747" t="s">
        <v>42</v>
      </c>
      <c r="R747" t="s">
        <v>1739</v>
      </c>
      <c r="S747" t="s">
        <v>1799</v>
      </c>
      <c r="T747" t="s">
        <v>1231</v>
      </c>
      <c r="U747" t="s">
        <v>1801</v>
      </c>
      <c r="V747" t="s">
        <v>1776</v>
      </c>
      <c r="W747" t="s">
        <v>1802</v>
      </c>
    </row>
    <row r="748" spans="1:23" ht="15" customHeight="1" x14ac:dyDescent="0.3">
      <c r="A748" t="s">
        <v>8</v>
      </c>
      <c r="B748">
        <v>82</v>
      </c>
      <c r="C748" t="s">
        <v>477</v>
      </c>
      <c r="D748" t="s">
        <v>1733</v>
      </c>
      <c r="E748" t="s">
        <v>34</v>
      </c>
      <c r="F748" t="s">
        <v>1734</v>
      </c>
      <c r="G748" t="s">
        <v>440</v>
      </c>
      <c r="H748" t="s">
        <v>1798</v>
      </c>
      <c r="I748" t="s">
        <v>1733</v>
      </c>
      <c r="J748" t="s">
        <v>1799</v>
      </c>
      <c r="K748" s="21" t="s">
        <v>1800</v>
      </c>
      <c r="L748" s="21" t="s">
        <v>1737</v>
      </c>
      <c r="M748" t="s">
        <v>1738</v>
      </c>
      <c r="N748" t="s">
        <v>42</v>
      </c>
      <c r="R748" t="s">
        <v>1742</v>
      </c>
      <c r="S748" t="s">
        <v>1799</v>
      </c>
      <c r="T748" t="s">
        <v>1231</v>
      </c>
      <c r="U748" t="s">
        <v>1801</v>
      </c>
      <c r="V748" t="s">
        <v>1776</v>
      </c>
      <c r="W748" t="s">
        <v>1802</v>
      </c>
    </row>
    <row r="749" spans="1:23" ht="15" customHeight="1" x14ac:dyDescent="0.3">
      <c r="A749" t="s">
        <v>8</v>
      </c>
      <c r="B749">
        <v>82</v>
      </c>
      <c r="C749" t="s">
        <v>477</v>
      </c>
      <c r="D749" t="s">
        <v>1733</v>
      </c>
      <c r="E749" t="s">
        <v>34</v>
      </c>
      <c r="F749" t="s">
        <v>1734</v>
      </c>
      <c r="G749" t="s">
        <v>440</v>
      </c>
      <c r="H749" t="s">
        <v>1798</v>
      </c>
      <c r="I749" t="s">
        <v>1733</v>
      </c>
      <c r="J749" t="s">
        <v>1799</v>
      </c>
      <c r="K749" s="21" t="s">
        <v>1800</v>
      </c>
      <c r="L749" s="21" t="s">
        <v>1737</v>
      </c>
      <c r="M749" t="s">
        <v>1738</v>
      </c>
      <c r="N749" t="s">
        <v>42</v>
      </c>
      <c r="R749" t="s">
        <v>1743</v>
      </c>
      <c r="S749" t="s">
        <v>1799</v>
      </c>
      <c r="T749" t="s">
        <v>1231</v>
      </c>
      <c r="U749" t="s">
        <v>1801</v>
      </c>
      <c r="V749" t="s">
        <v>1776</v>
      </c>
      <c r="W749" t="s">
        <v>1802</v>
      </c>
    </row>
    <row r="750" spans="1:23" ht="15" customHeight="1" x14ac:dyDescent="0.3">
      <c r="A750" t="s">
        <v>8</v>
      </c>
      <c r="B750">
        <v>82</v>
      </c>
      <c r="C750" t="s">
        <v>477</v>
      </c>
      <c r="D750" t="s">
        <v>1733</v>
      </c>
      <c r="E750" t="s">
        <v>34</v>
      </c>
      <c r="F750" t="s">
        <v>1734</v>
      </c>
      <c r="G750" t="s">
        <v>440</v>
      </c>
      <c r="H750" t="s">
        <v>1798</v>
      </c>
      <c r="I750" t="s">
        <v>1733</v>
      </c>
      <c r="J750" t="s">
        <v>1799</v>
      </c>
      <c r="K750" s="21" t="s">
        <v>1800</v>
      </c>
      <c r="L750" s="21" t="s">
        <v>1737</v>
      </c>
      <c r="M750" t="s">
        <v>1738</v>
      </c>
      <c r="N750" t="s">
        <v>42</v>
      </c>
      <c r="R750" t="s">
        <v>1744</v>
      </c>
      <c r="S750" t="s">
        <v>1799</v>
      </c>
      <c r="T750" t="s">
        <v>1231</v>
      </c>
      <c r="U750" t="s">
        <v>1801</v>
      </c>
      <c r="V750" t="s">
        <v>1776</v>
      </c>
      <c r="W750" t="s">
        <v>1802</v>
      </c>
    </row>
    <row r="751" spans="1:23" ht="15" customHeight="1" x14ac:dyDescent="0.3">
      <c r="A751" t="s">
        <v>8</v>
      </c>
      <c r="B751">
        <v>82</v>
      </c>
      <c r="C751" t="s">
        <v>477</v>
      </c>
      <c r="D751" t="s">
        <v>1733</v>
      </c>
      <c r="E751" t="s">
        <v>34</v>
      </c>
      <c r="F751" t="s">
        <v>1734</v>
      </c>
      <c r="G751" t="s">
        <v>440</v>
      </c>
      <c r="H751" t="s">
        <v>1798</v>
      </c>
      <c r="I751" t="s">
        <v>1733</v>
      </c>
      <c r="J751" t="s">
        <v>1799</v>
      </c>
      <c r="K751" s="21" t="s">
        <v>1800</v>
      </c>
      <c r="L751" s="21" t="s">
        <v>1737</v>
      </c>
      <c r="M751" t="s">
        <v>1738</v>
      </c>
      <c r="N751" t="s">
        <v>42</v>
      </c>
      <c r="R751" t="s">
        <v>1745</v>
      </c>
      <c r="S751" t="s">
        <v>1799</v>
      </c>
      <c r="T751" t="s">
        <v>1231</v>
      </c>
      <c r="U751" t="s">
        <v>1801</v>
      </c>
      <c r="V751" t="s">
        <v>1776</v>
      </c>
      <c r="W751" t="s">
        <v>1802</v>
      </c>
    </row>
    <row r="752" spans="1:23" ht="15" customHeight="1" x14ac:dyDescent="0.3">
      <c r="A752" t="s">
        <v>8</v>
      </c>
      <c r="B752">
        <v>82</v>
      </c>
      <c r="C752" t="s">
        <v>477</v>
      </c>
      <c r="D752" t="s">
        <v>1733</v>
      </c>
      <c r="E752" t="s">
        <v>34</v>
      </c>
      <c r="F752" t="s">
        <v>1734</v>
      </c>
      <c r="G752" t="s">
        <v>440</v>
      </c>
      <c r="H752" t="s">
        <v>1798</v>
      </c>
      <c r="I752" t="s">
        <v>1733</v>
      </c>
      <c r="J752" t="s">
        <v>1799</v>
      </c>
      <c r="K752" s="21" t="s">
        <v>1800</v>
      </c>
      <c r="L752" s="21" t="s">
        <v>1737</v>
      </c>
      <c r="M752" t="s">
        <v>1738</v>
      </c>
      <c r="N752" t="s">
        <v>42</v>
      </c>
      <c r="R752" t="s">
        <v>1746</v>
      </c>
      <c r="S752" t="s">
        <v>1799</v>
      </c>
      <c r="T752" t="s">
        <v>1231</v>
      </c>
      <c r="U752" t="s">
        <v>1801</v>
      </c>
      <c r="V752" t="s">
        <v>1776</v>
      </c>
      <c r="W752" t="s">
        <v>1802</v>
      </c>
    </row>
    <row r="753" spans="1:23" ht="15" customHeight="1" x14ac:dyDescent="0.3">
      <c r="A753" t="s">
        <v>8</v>
      </c>
      <c r="B753">
        <v>82</v>
      </c>
      <c r="C753" t="s">
        <v>477</v>
      </c>
      <c r="D753" t="s">
        <v>1733</v>
      </c>
      <c r="E753" t="s">
        <v>34</v>
      </c>
      <c r="F753" t="s">
        <v>1734</v>
      </c>
      <c r="G753" t="s">
        <v>440</v>
      </c>
      <c r="H753" t="s">
        <v>1803</v>
      </c>
      <c r="I753" t="s">
        <v>1733</v>
      </c>
      <c r="J753" t="s">
        <v>1804</v>
      </c>
      <c r="K753" s="21" t="s">
        <v>1805</v>
      </c>
      <c r="L753" s="21" t="s">
        <v>1737</v>
      </c>
      <c r="M753" t="s">
        <v>1738</v>
      </c>
      <c r="N753" t="s">
        <v>42</v>
      </c>
      <c r="R753" t="s">
        <v>1739</v>
      </c>
      <c r="S753" t="s">
        <v>1804</v>
      </c>
      <c r="T753" t="s">
        <v>1249</v>
      </c>
      <c r="U753" t="s">
        <v>1467</v>
      </c>
      <c r="V753" t="s">
        <v>1806</v>
      </c>
      <c r="W753" t="s">
        <v>1807</v>
      </c>
    </row>
    <row r="754" spans="1:23" ht="15" customHeight="1" x14ac:dyDescent="0.3">
      <c r="A754" t="s">
        <v>8</v>
      </c>
      <c r="B754">
        <v>82</v>
      </c>
      <c r="C754" t="s">
        <v>477</v>
      </c>
      <c r="D754" t="s">
        <v>1733</v>
      </c>
      <c r="E754" t="s">
        <v>34</v>
      </c>
      <c r="F754" t="s">
        <v>1734</v>
      </c>
      <c r="G754" t="s">
        <v>440</v>
      </c>
      <c r="H754" t="s">
        <v>1803</v>
      </c>
      <c r="I754" t="s">
        <v>1733</v>
      </c>
      <c r="J754" t="s">
        <v>1804</v>
      </c>
      <c r="K754" s="21" t="s">
        <v>1805</v>
      </c>
      <c r="L754" s="21" t="s">
        <v>1737</v>
      </c>
      <c r="M754" t="s">
        <v>1738</v>
      </c>
      <c r="N754" t="s">
        <v>42</v>
      </c>
      <c r="R754" t="s">
        <v>1742</v>
      </c>
      <c r="S754" t="s">
        <v>1804</v>
      </c>
      <c r="T754" t="s">
        <v>1249</v>
      </c>
      <c r="U754" t="s">
        <v>1467</v>
      </c>
      <c r="V754" t="s">
        <v>1806</v>
      </c>
      <c r="W754" t="s">
        <v>1807</v>
      </c>
    </row>
    <row r="755" spans="1:23" ht="15" customHeight="1" x14ac:dyDescent="0.3">
      <c r="A755" t="s">
        <v>8</v>
      </c>
      <c r="B755">
        <v>82</v>
      </c>
      <c r="C755" t="s">
        <v>477</v>
      </c>
      <c r="D755" t="s">
        <v>1733</v>
      </c>
      <c r="E755" t="s">
        <v>34</v>
      </c>
      <c r="F755" t="s">
        <v>1734</v>
      </c>
      <c r="G755" t="s">
        <v>440</v>
      </c>
      <c r="H755" t="s">
        <v>1803</v>
      </c>
      <c r="I755" t="s">
        <v>1733</v>
      </c>
      <c r="J755" t="s">
        <v>1804</v>
      </c>
      <c r="K755" s="21" t="s">
        <v>1805</v>
      </c>
      <c r="L755" s="21" t="s">
        <v>1737</v>
      </c>
      <c r="M755" t="s">
        <v>1738</v>
      </c>
      <c r="N755" t="s">
        <v>42</v>
      </c>
      <c r="R755" t="s">
        <v>1743</v>
      </c>
      <c r="S755" t="s">
        <v>1804</v>
      </c>
      <c r="T755" t="s">
        <v>1249</v>
      </c>
      <c r="U755" t="s">
        <v>1467</v>
      </c>
      <c r="V755" t="s">
        <v>1806</v>
      </c>
      <c r="W755" t="s">
        <v>1807</v>
      </c>
    </row>
    <row r="756" spans="1:23" ht="15" customHeight="1" x14ac:dyDescent="0.3">
      <c r="A756" t="s">
        <v>8</v>
      </c>
      <c r="B756">
        <v>82</v>
      </c>
      <c r="C756" t="s">
        <v>477</v>
      </c>
      <c r="D756" t="s">
        <v>1733</v>
      </c>
      <c r="E756" t="s">
        <v>34</v>
      </c>
      <c r="F756" t="s">
        <v>1734</v>
      </c>
      <c r="G756" t="s">
        <v>440</v>
      </c>
      <c r="H756" t="s">
        <v>1803</v>
      </c>
      <c r="I756" t="s">
        <v>1733</v>
      </c>
      <c r="J756" t="s">
        <v>1804</v>
      </c>
      <c r="K756" s="21" t="s">
        <v>1805</v>
      </c>
      <c r="L756" s="21" t="s">
        <v>1737</v>
      </c>
      <c r="M756" t="s">
        <v>1738</v>
      </c>
      <c r="N756" t="s">
        <v>42</v>
      </c>
      <c r="R756" t="s">
        <v>1744</v>
      </c>
      <c r="S756" t="s">
        <v>1804</v>
      </c>
      <c r="T756" t="s">
        <v>1249</v>
      </c>
      <c r="U756" t="s">
        <v>1467</v>
      </c>
      <c r="V756" t="s">
        <v>1806</v>
      </c>
      <c r="W756" t="s">
        <v>1807</v>
      </c>
    </row>
    <row r="757" spans="1:23" ht="15" customHeight="1" x14ac:dyDescent="0.3">
      <c r="A757" t="s">
        <v>8</v>
      </c>
      <c r="B757">
        <v>82</v>
      </c>
      <c r="C757" t="s">
        <v>477</v>
      </c>
      <c r="D757" t="s">
        <v>1733</v>
      </c>
      <c r="E757" t="s">
        <v>34</v>
      </c>
      <c r="F757" t="s">
        <v>1734</v>
      </c>
      <c r="G757" t="s">
        <v>440</v>
      </c>
      <c r="H757" t="s">
        <v>1803</v>
      </c>
      <c r="I757" t="s">
        <v>1733</v>
      </c>
      <c r="J757" t="s">
        <v>1804</v>
      </c>
      <c r="K757" s="21" t="s">
        <v>1805</v>
      </c>
      <c r="L757" s="21" t="s">
        <v>1737</v>
      </c>
      <c r="M757" t="s">
        <v>1738</v>
      </c>
      <c r="N757" t="s">
        <v>42</v>
      </c>
      <c r="R757" t="s">
        <v>1745</v>
      </c>
      <c r="S757" t="s">
        <v>1804</v>
      </c>
      <c r="T757" t="s">
        <v>1249</v>
      </c>
      <c r="U757" t="s">
        <v>1467</v>
      </c>
      <c r="V757" t="s">
        <v>1806</v>
      </c>
      <c r="W757" t="s">
        <v>1807</v>
      </c>
    </row>
    <row r="758" spans="1:23" ht="15" customHeight="1" x14ac:dyDescent="0.3">
      <c r="A758" t="s">
        <v>8</v>
      </c>
      <c r="B758">
        <v>82</v>
      </c>
      <c r="C758" t="s">
        <v>477</v>
      </c>
      <c r="D758" t="s">
        <v>1733</v>
      </c>
      <c r="E758" t="s">
        <v>34</v>
      </c>
      <c r="F758" t="s">
        <v>1734</v>
      </c>
      <c r="G758" t="s">
        <v>440</v>
      </c>
      <c r="H758" t="s">
        <v>1803</v>
      </c>
      <c r="I758" t="s">
        <v>1733</v>
      </c>
      <c r="J758" t="s">
        <v>1804</v>
      </c>
      <c r="K758" s="21" t="s">
        <v>1805</v>
      </c>
      <c r="L758" s="21" t="s">
        <v>1737</v>
      </c>
      <c r="M758" t="s">
        <v>1738</v>
      </c>
      <c r="N758" t="s">
        <v>42</v>
      </c>
      <c r="R758" t="s">
        <v>1746</v>
      </c>
      <c r="S758" t="s">
        <v>1804</v>
      </c>
      <c r="T758" t="s">
        <v>1249</v>
      </c>
      <c r="U758" t="s">
        <v>1467</v>
      </c>
      <c r="V758" t="s">
        <v>1806</v>
      </c>
      <c r="W758" t="s">
        <v>1807</v>
      </c>
    </row>
    <row r="759" spans="1:23" ht="15" customHeight="1" x14ac:dyDescent="0.3">
      <c r="A759" t="s">
        <v>8</v>
      </c>
      <c r="B759">
        <v>83</v>
      </c>
      <c r="C759" t="s">
        <v>477</v>
      </c>
      <c r="D759" t="s">
        <v>1808</v>
      </c>
      <c r="E759" t="s">
        <v>399</v>
      </c>
      <c r="F759" t="s">
        <v>1809</v>
      </c>
      <c r="G759" t="s">
        <v>36</v>
      </c>
      <c r="H759" t="s">
        <v>1808</v>
      </c>
      <c r="I759" t="s">
        <v>1808</v>
      </c>
      <c r="J759" t="s">
        <v>1810</v>
      </c>
      <c r="K759" t="s">
        <v>1811</v>
      </c>
      <c r="L759" t="s">
        <v>1811</v>
      </c>
      <c r="M759" t="s">
        <v>404</v>
      </c>
      <c r="N759" t="s">
        <v>405</v>
      </c>
      <c r="R759" t="s">
        <v>1812</v>
      </c>
      <c r="S759" t="s">
        <v>1810</v>
      </c>
      <c r="T759" t="s">
        <v>1544</v>
      </c>
      <c r="U759" t="s">
        <v>1501</v>
      </c>
      <c r="V759" t="s">
        <v>1813</v>
      </c>
      <c r="W759" t="s">
        <v>1814</v>
      </c>
    </row>
    <row r="760" spans="1:23" ht="15" customHeight="1" x14ac:dyDescent="0.3">
      <c r="A760" t="s">
        <v>8</v>
      </c>
      <c r="B760">
        <v>84</v>
      </c>
      <c r="C760" t="s">
        <v>477</v>
      </c>
      <c r="D760" t="s">
        <v>478</v>
      </c>
      <c r="E760" t="s">
        <v>34</v>
      </c>
      <c r="F760" t="s">
        <v>479</v>
      </c>
      <c r="G760" t="s">
        <v>36</v>
      </c>
      <c r="H760" t="s">
        <v>37</v>
      </c>
      <c r="I760" t="s">
        <v>478</v>
      </c>
      <c r="J760" t="s">
        <v>480</v>
      </c>
      <c r="K760" t="s">
        <v>481</v>
      </c>
      <c r="L760" s="21" t="s">
        <v>482</v>
      </c>
      <c r="M760" t="s">
        <v>483</v>
      </c>
      <c r="N760" t="s">
        <v>159</v>
      </c>
      <c r="R760" t="s">
        <v>1815</v>
      </c>
      <c r="S760" t="s">
        <v>480</v>
      </c>
      <c r="T760" t="s">
        <v>45</v>
      </c>
      <c r="U760" t="s">
        <v>46</v>
      </c>
      <c r="V760" t="s">
        <v>486</v>
      </c>
      <c r="W760" t="s">
        <v>487</v>
      </c>
    </row>
    <row r="761" spans="1:23" ht="15" customHeight="1" x14ac:dyDescent="0.3">
      <c r="A761" t="s">
        <v>8</v>
      </c>
      <c r="B761">
        <v>84</v>
      </c>
      <c r="C761" t="s">
        <v>477</v>
      </c>
      <c r="D761" t="s">
        <v>478</v>
      </c>
      <c r="E761" t="s">
        <v>34</v>
      </c>
      <c r="F761" t="s">
        <v>479</v>
      </c>
      <c r="G761" t="s">
        <v>36</v>
      </c>
      <c r="H761" t="s">
        <v>37</v>
      </c>
      <c r="I761" t="s">
        <v>478</v>
      </c>
      <c r="J761" t="s">
        <v>480</v>
      </c>
      <c r="K761" t="s">
        <v>481</v>
      </c>
      <c r="L761" s="21" t="s">
        <v>482</v>
      </c>
      <c r="M761" t="s">
        <v>483</v>
      </c>
      <c r="N761" t="s">
        <v>159</v>
      </c>
      <c r="R761" t="s">
        <v>1816</v>
      </c>
      <c r="S761" t="s">
        <v>480</v>
      </c>
      <c r="T761" t="s">
        <v>45</v>
      </c>
      <c r="U761" t="s">
        <v>46</v>
      </c>
      <c r="V761" t="s">
        <v>486</v>
      </c>
      <c r="W761" t="s">
        <v>487</v>
      </c>
    </row>
    <row r="762" spans="1:23" ht="15" customHeight="1" x14ac:dyDescent="0.3">
      <c r="A762" t="s">
        <v>8</v>
      </c>
      <c r="B762">
        <v>84</v>
      </c>
      <c r="C762" t="s">
        <v>477</v>
      </c>
      <c r="D762" t="s">
        <v>478</v>
      </c>
      <c r="E762" t="s">
        <v>34</v>
      </c>
      <c r="F762" t="s">
        <v>479</v>
      </c>
      <c r="G762" t="s">
        <v>36</v>
      </c>
      <c r="H762" t="s">
        <v>37</v>
      </c>
      <c r="I762" t="s">
        <v>478</v>
      </c>
      <c r="J762" t="s">
        <v>480</v>
      </c>
      <c r="K762" t="s">
        <v>481</v>
      </c>
      <c r="L762" s="21" t="s">
        <v>482</v>
      </c>
      <c r="M762" t="s">
        <v>483</v>
      </c>
      <c r="N762" t="s">
        <v>159</v>
      </c>
      <c r="R762" t="s">
        <v>1817</v>
      </c>
      <c r="S762" t="s">
        <v>480</v>
      </c>
      <c r="T762" t="s">
        <v>45</v>
      </c>
      <c r="U762" t="s">
        <v>46</v>
      </c>
      <c r="V762" t="s">
        <v>486</v>
      </c>
      <c r="W762" t="s">
        <v>487</v>
      </c>
    </row>
    <row r="763" spans="1:23" ht="15" customHeight="1" x14ac:dyDescent="0.3">
      <c r="A763" t="s">
        <v>8</v>
      </c>
      <c r="B763">
        <v>84</v>
      </c>
      <c r="C763" t="s">
        <v>477</v>
      </c>
      <c r="D763" t="s">
        <v>478</v>
      </c>
      <c r="E763" t="s">
        <v>34</v>
      </c>
      <c r="F763" t="s">
        <v>479</v>
      </c>
      <c r="G763" t="s">
        <v>36</v>
      </c>
      <c r="H763" t="s">
        <v>37</v>
      </c>
      <c r="I763" t="s">
        <v>478</v>
      </c>
      <c r="J763" t="s">
        <v>480</v>
      </c>
      <c r="K763" t="s">
        <v>481</v>
      </c>
      <c r="L763" s="21" t="s">
        <v>482</v>
      </c>
      <c r="M763" t="s">
        <v>483</v>
      </c>
      <c r="N763" t="s">
        <v>159</v>
      </c>
      <c r="R763" t="s">
        <v>1818</v>
      </c>
      <c r="S763" t="s">
        <v>480</v>
      </c>
      <c r="T763" t="s">
        <v>45</v>
      </c>
      <c r="U763" t="s">
        <v>46</v>
      </c>
      <c r="V763" t="s">
        <v>486</v>
      </c>
      <c r="W763" t="s">
        <v>487</v>
      </c>
    </row>
    <row r="764" spans="1:23" ht="15" customHeight="1" x14ac:dyDescent="0.3">
      <c r="A764" t="s">
        <v>8</v>
      </c>
      <c r="B764">
        <v>84</v>
      </c>
      <c r="C764" t="s">
        <v>477</v>
      </c>
      <c r="D764" t="s">
        <v>478</v>
      </c>
      <c r="E764" t="s">
        <v>34</v>
      </c>
      <c r="F764" t="s">
        <v>479</v>
      </c>
      <c r="G764" t="s">
        <v>36</v>
      </c>
      <c r="H764" t="s">
        <v>37</v>
      </c>
      <c r="I764" t="s">
        <v>478</v>
      </c>
      <c r="J764" t="s">
        <v>480</v>
      </c>
      <c r="K764" t="s">
        <v>481</v>
      </c>
      <c r="L764" s="21" t="s">
        <v>482</v>
      </c>
      <c r="M764" t="s">
        <v>483</v>
      </c>
      <c r="N764" t="s">
        <v>159</v>
      </c>
      <c r="R764" t="s">
        <v>1819</v>
      </c>
      <c r="S764" t="s">
        <v>480</v>
      </c>
      <c r="T764" t="s">
        <v>45</v>
      </c>
      <c r="U764" t="s">
        <v>46</v>
      </c>
      <c r="V764" t="s">
        <v>486</v>
      </c>
      <c r="W764" t="s">
        <v>487</v>
      </c>
    </row>
    <row r="765" spans="1:23" ht="15" customHeight="1" x14ac:dyDescent="0.3">
      <c r="A765" t="s">
        <v>8</v>
      </c>
      <c r="B765">
        <v>84</v>
      </c>
      <c r="C765" t="s">
        <v>477</v>
      </c>
      <c r="D765" t="s">
        <v>478</v>
      </c>
      <c r="E765" t="s">
        <v>34</v>
      </c>
      <c r="F765" t="s">
        <v>479</v>
      </c>
      <c r="G765" t="s">
        <v>36</v>
      </c>
      <c r="H765" t="s">
        <v>37</v>
      </c>
      <c r="I765" t="s">
        <v>478</v>
      </c>
      <c r="J765" t="s">
        <v>480</v>
      </c>
      <c r="K765" t="s">
        <v>481</v>
      </c>
      <c r="L765" s="21" t="s">
        <v>482</v>
      </c>
      <c r="M765" t="s">
        <v>483</v>
      </c>
      <c r="N765" t="s">
        <v>159</v>
      </c>
      <c r="R765" t="s">
        <v>1820</v>
      </c>
      <c r="S765" t="s">
        <v>480</v>
      </c>
      <c r="T765" t="s">
        <v>45</v>
      </c>
      <c r="U765" t="s">
        <v>46</v>
      </c>
      <c r="V765" t="s">
        <v>486</v>
      </c>
      <c r="W765" t="s">
        <v>487</v>
      </c>
    </row>
    <row r="766" spans="1:23" ht="15" customHeight="1" x14ac:dyDescent="0.3">
      <c r="A766" t="s">
        <v>8</v>
      </c>
      <c r="B766">
        <v>84</v>
      </c>
      <c r="C766" t="s">
        <v>477</v>
      </c>
      <c r="D766" t="s">
        <v>478</v>
      </c>
      <c r="E766" t="s">
        <v>34</v>
      </c>
      <c r="F766" t="s">
        <v>479</v>
      </c>
      <c r="G766" t="s">
        <v>36</v>
      </c>
      <c r="H766" t="s">
        <v>52</v>
      </c>
      <c r="I766" t="s">
        <v>478</v>
      </c>
      <c r="J766" t="s">
        <v>488</v>
      </c>
      <c r="K766" s="21" t="s">
        <v>489</v>
      </c>
      <c r="L766" s="21" t="s">
        <v>482</v>
      </c>
      <c r="M766" t="s">
        <v>483</v>
      </c>
      <c r="N766" t="s">
        <v>159</v>
      </c>
      <c r="R766" t="s">
        <v>1815</v>
      </c>
      <c r="S766" t="s">
        <v>488</v>
      </c>
      <c r="T766" t="s">
        <v>45</v>
      </c>
      <c r="U766" t="s">
        <v>46</v>
      </c>
      <c r="V766" t="s">
        <v>486</v>
      </c>
      <c r="W766" t="s">
        <v>490</v>
      </c>
    </row>
    <row r="767" spans="1:23" ht="15" customHeight="1" x14ac:dyDescent="0.3">
      <c r="A767" t="s">
        <v>8</v>
      </c>
      <c r="B767">
        <v>84</v>
      </c>
      <c r="C767" t="s">
        <v>477</v>
      </c>
      <c r="D767" t="s">
        <v>478</v>
      </c>
      <c r="E767" t="s">
        <v>34</v>
      </c>
      <c r="F767" t="s">
        <v>479</v>
      </c>
      <c r="G767" t="s">
        <v>36</v>
      </c>
      <c r="H767" t="s">
        <v>52</v>
      </c>
      <c r="I767" t="s">
        <v>478</v>
      </c>
      <c r="J767" t="s">
        <v>488</v>
      </c>
      <c r="K767" s="21" t="s">
        <v>489</v>
      </c>
      <c r="L767" s="21" t="s">
        <v>482</v>
      </c>
      <c r="M767" t="s">
        <v>483</v>
      </c>
      <c r="N767" t="s">
        <v>159</v>
      </c>
      <c r="R767" t="s">
        <v>1816</v>
      </c>
      <c r="S767" t="s">
        <v>488</v>
      </c>
      <c r="T767" t="s">
        <v>45</v>
      </c>
      <c r="U767" t="s">
        <v>46</v>
      </c>
      <c r="V767" t="s">
        <v>486</v>
      </c>
      <c r="W767" t="s">
        <v>490</v>
      </c>
    </row>
    <row r="768" spans="1:23" ht="15" customHeight="1" x14ac:dyDescent="0.3">
      <c r="A768" t="s">
        <v>8</v>
      </c>
      <c r="B768">
        <v>84</v>
      </c>
      <c r="C768" t="s">
        <v>477</v>
      </c>
      <c r="D768" t="s">
        <v>478</v>
      </c>
      <c r="E768" t="s">
        <v>34</v>
      </c>
      <c r="F768" t="s">
        <v>479</v>
      </c>
      <c r="G768" t="s">
        <v>36</v>
      </c>
      <c r="H768" t="s">
        <v>52</v>
      </c>
      <c r="I768" t="s">
        <v>478</v>
      </c>
      <c r="J768" t="s">
        <v>488</v>
      </c>
      <c r="K768" s="21" t="s">
        <v>489</v>
      </c>
      <c r="L768" s="21" t="s">
        <v>482</v>
      </c>
      <c r="M768" t="s">
        <v>483</v>
      </c>
      <c r="N768" t="s">
        <v>159</v>
      </c>
      <c r="R768" t="s">
        <v>1817</v>
      </c>
      <c r="S768" t="s">
        <v>488</v>
      </c>
      <c r="T768" t="s">
        <v>45</v>
      </c>
      <c r="U768" t="s">
        <v>46</v>
      </c>
      <c r="V768" t="s">
        <v>486</v>
      </c>
      <c r="W768" t="s">
        <v>490</v>
      </c>
    </row>
    <row r="769" spans="1:23" ht="15" customHeight="1" x14ac:dyDescent="0.3">
      <c r="A769" t="s">
        <v>8</v>
      </c>
      <c r="B769">
        <v>84</v>
      </c>
      <c r="C769" t="s">
        <v>477</v>
      </c>
      <c r="D769" t="s">
        <v>478</v>
      </c>
      <c r="E769" t="s">
        <v>34</v>
      </c>
      <c r="F769" t="s">
        <v>479</v>
      </c>
      <c r="G769" t="s">
        <v>36</v>
      </c>
      <c r="H769" t="s">
        <v>52</v>
      </c>
      <c r="I769" t="s">
        <v>478</v>
      </c>
      <c r="J769" t="s">
        <v>488</v>
      </c>
      <c r="K769" s="21" t="s">
        <v>489</v>
      </c>
      <c r="L769" s="21" t="s">
        <v>482</v>
      </c>
      <c r="M769" t="s">
        <v>483</v>
      </c>
      <c r="N769" t="s">
        <v>159</v>
      </c>
      <c r="R769" t="s">
        <v>1818</v>
      </c>
      <c r="S769" t="s">
        <v>488</v>
      </c>
      <c r="T769" t="s">
        <v>45</v>
      </c>
      <c r="U769" t="s">
        <v>46</v>
      </c>
      <c r="V769" t="s">
        <v>486</v>
      </c>
      <c r="W769" t="s">
        <v>490</v>
      </c>
    </row>
    <row r="770" spans="1:23" ht="15" customHeight="1" x14ac:dyDescent="0.3">
      <c r="A770" t="s">
        <v>8</v>
      </c>
      <c r="B770">
        <v>84</v>
      </c>
      <c r="C770" t="s">
        <v>477</v>
      </c>
      <c r="D770" t="s">
        <v>478</v>
      </c>
      <c r="E770" t="s">
        <v>34</v>
      </c>
      <c r="F770" t="s">
        <v>479</v>
      </c>
      <c r="G770" t="s">
        <v>36</v>
      </c>
      <c r="H770" t="s">
        <v>52</v>
      </c>
      <c r="I770" t="s">
        <v>478</v>
      </c>
      <c r="J770" t="s">
        <v>488</v>
      </c>
      <c r="K770" s="21" t="s">
        <v>489</v>
      </c>
      <c r="L770" s="21" t="s">
        <v>482</v>
      </c>
      <c r="M770" t="s">
        <v>483</v>
      </c>
      <c r="N770" t="s">
        <v>159</v>
      </c>
      <c r="R770" t="s">
        <v>1819</v>
      </c>
      <c r="S770" t="s">
        <v>488</v>
      </c>
      <c r="T770" t="s">
        <v>45</v>
      </c>
      <c r="U770" t="s">
        <v>46</v>
      </c>
      <c r="V770" t="s">
        <v>486</v>
      </c>
      <c r="W770" t="s">
        <v>490</v>
      </c>
    </row>
    <row r="771" spans="1:23" ht="15" customHeight="1" x14ac:dyDescent="0.3">
      <c r="A771" t="s">
        <v>8</v>
      </c>
      <c r="B771">
        <v>84</v>
      </c>
      <c r="C771" t="s">
        <v>477</v>
      </c>
      <c r="D771" t="s">
        <v>478</v>
      </c>
      <c r="E771" t="s">
        <v>34</v>
      </c>
      <c r="F771" t="s">
        <v>479</v>
      </c>
      <c r="G771" t="s">
        <v>36</v>
      </c>
      <c r="H771" t="s">
        <v>52</v>
      </c>
      <c r="I771" t="s">
        <v>478</v>
      </c>
      <c r="J771" t="s">
        <v>488</v>
      </c>
      <c r="K771" s="21" t="s">
        <v>489</v>
      </c>
      <c r="L771" s="21" t="s">
        <v>482</v>
      </c>
      <c r="M771" t="s">
        <v>483</v>
      </c>
      <c r="N771" t="s">
        <v>159</v>
      </c>
      <c r="R771" t="s">
        <v>1820</v>
      </c>
      <c r="S771" t="s">
        <v>488</v>
      </c>
      <c r="T771" t="s">
        <v>45</v>
      </c>
      <c r="U771" t="s">
        <v>46</v>
      </c>
      <c r="V771" t="s">
        <v>486</v>
      </c>
      <c r="W771" t="s">
        <v>490</v>
      </c>
    </row>
    <row r="772" spans="1:23" ht="15" customHeight="1" x14ac:dyDescent="0.3">
      <c r="A772" t="s">
        <v>8</v>
      </c>
      <c r="B772">
        <v>84</v>
      </c>
      <c r="C772" t="s">
        <v>477</v>
      </c>
      <c r="D772" t="s">
        <v>478</v>
      </c>
      <c r="E772" t="s">
        <v>34</v>
      </c>
      <c r="F772" t="s">
        <v>479</v>
      </c>
      <c r="G772" t="s">
        <v>36</v>
      </c>
      <c r="H772" t="s">
        <v>57</v>
      </c>
      <c r="I772" t="s">
        <v>478</v>
      </c>
      <c r="J772" t="s">
        <v>491</v>
      </c>
      <c r="K772" s="21" t="s">
        <v>492</v>
      </c>
      <c r="L772" s="21" t="s">
        <v>482</v>
      </c>
      <c r="M772" t="s">
        <v>483</v>
      </c>
      <c r="N772" t="s">
        <v>159</v>
      </c>
      <c r="R772" t="s">
        <v>1815</v>
      </c>
      <c r="S772" t="s">
        <v>491</v>
      </c>
      <c r="T772" t="s">
        <v>45</v>
      </c>
      <c r="U772" t="s">
        <v>46</v>
      </c>
      <c r="V772" t="s">
        <v>486</v>
      </c>
      <c r="W772" t="s">
        <v>493</v>
      </c>
    </row>
    <row r="773" spans="1:23" ht="15" customHeight="1" x14ac:dyDescent="0.3">
      <c r="A773" t="s">
        <v>8</v>
      </c>
      <c r="B773">
        <v>84</v>
      </c>
      <c r="C773" t="s">
        <v>477</v>
      </c>
      <c r="D773" t="s">
        <v>478</v>
      </c>
      <c r="E773" t="s">
        <v>34</v>
      </c>
      <c r="F773" t="s">
        <v>479</v>
      </c>
      <c r="G773" t="s">
        <v>36</v>
      </c>
      <c r="H773" t="s">
        <v>57</v>
      </c>
      <c r="I773" t="s">
        <v>478</v>
      </c>
      <c r="J773" t="s">
        <v>491</v>
      </c>
      <c r="K773" s="21" t="s">
        <v>492</v>
      </c>
      <c r="L773" s="21" t="s">
        <v>482</v>
      </c>
      <c r="M773" t="s">
        <v>483</v>
      </c>
      <c r="N773" t="s">
        <v>159</v>
      </c>
      <c r="R773" t="s">
        <v>1816</v>
      </c>
      <c r="S773" t="s">
        <v>491</v>
      </c>
      <c r="T773" t="s">
        <v>45</v>
      </c>
      <c r="U773" t="s">
        <v>46</v>
      </c>
      <c r="V773" t="s">
        <v>486</v>
      </c>
      <c r="W773" t="s">
        <v>493</v>
      </c>
    </row>
    <row r="774" spans="1:23" ht="15" customHeight="1" x14ac:dyDescent="0.3">
      <c r="A774" t="s">
        <v>8</v>
      </c>
      <c r="B774">
        <v>84</v>
      </c>
      <c r="C774" t="s">
        <v>477</v>
      </c>
      <c r="D774" t="s">
        <v>478</v>
      </c>
      <c r="E774" t="s">
        <v>34</v>
      </c>
      <c r="F774" t="s">
        <v>479</v>
      </c>
      <c r="G774" t="s">
        <v>36</v>
      </c>
      <c r="H774" t="s">
        <v>57</v>
      </c>
      <c r="I774" t="s">
        <v>478</v>
      </c>
      <c r="J774" t="s">
        <v>491</v>
      </c>
      <c r="K774" s="21" t="s">
        <v>492</v>
      </c>
      <c r="L774" s="21" t="s">
        <v>482</v>
      </c>
      <c r="M774" t="s">
        <v>483</v>
      </c>
      <c r="N774" t="s">
        <v>159</v>
      </c>
      <c r="R774" t="s">
        <v>1817</v>
      </c>
      <c r="S774" t="s">
        <v>491</v>
      </c>
      <c r="T774" t="s">
        <v>45</v>
      </c>
      <c r="U774" t="s">
        <v>46</v>
      </c>
      <c r="V774" t="s">
        <v>486</v>
      </c>
      <c r="W774" t="s">
        <v>493</v>
      </c>
    </row>
    <row r="775" spans="1:23" ht="15" customHeight="1" x14ac:dyDescent="0.3">
      <c r="A775" t="s">
        <v>8</v>
      </c>
      <c r="B775">
        <v>84</v>
      </c>
      <c r="C775" t="s">
        <v>477</v>
      </c>
      <c r="D775" t="s">
        <v>478</v>
      </c>
      <c r="E775" t="s">
        <v>34</v>
      </c>
      <c r="F775" t="s">
        <v>479</v>
      </c>
      <c r="G775" t="s">
        <v>36</v>
      </c>
      <c r="H775" t="s">
        <v>57</v>
      </c>
      <c r="I775" t="s">
        <v>478</v>
      </c>
      <c r="J775" t="s">
        <v>491</v>
      </c>
      <c r="K775" s="21" t="s">
        <v>492</v>
      </c>
      <c r="L775" s="21" t="s">
        <v>482</v>
      </c>
      <c r="M775" t="s">
        <v>483</v>
      </c>
      <c r="N775" t="s">
        <v>159</v>
      </c>
      <c r="R775" t="s">
        <v>1818</v>
      </c>
      <c r="S775" t="s">
        <v>491</v>
      </c>
      <c r="T775" t="s">
        <v>45</v>
      </c>
      <c r="U775" t="s">
        <v>46</v>
      </c>
      <c r="V775" t="s">
        <v>486</v>
      </c>
      <c r="W775" t="s">
        <v>493</v>
      </c>
    </row>
    <row r="776" spans="1:23" ht="15" customHeight="1" x14ac:dyDescent="0.3">
      <c r="A776" t="s">
        <v>8</v>
      </c>
      <c r="B776">
        <v>84</v>
      </c>
      <c r="C776" t="s">
        <v>477</v>
      </c>
      <c r="D776" t="s">
        <v>478</v>
      </c>
      <c r="E776" t="s">
        <v>34</v>
      </c>
      <c r="F776" t="s">
        <v>479</v>
      </c>
      <c r="G776" t="s">
        <v>36</v>
      </c>
      <c r="H776" t="s">
        <v>57</v>
      </c>
      <c r="I776" t="s">
        <v>478</v>
      </c>
      <c r="J776" t="s">
        <v>491</v>
      </c>
      <c r="K776" s="21" t="s">
        <v>492</v>
      </c>
      <c r="L776" s="21" t="s">
        <v>482</v>
      </c>
      <c r="M776" t="s">
        <v>483</v>
      </c>
      <c r="N776" t="s">
        <v>159</v>
      </c>
      <c r="R776" t="s">
        <v>1819</v>
      </c>
      <c r="S776" t="s">
        <v>491</v>
      </c>
      <c r="T776" t="s">
        <v>45</v>
      </c>
      <c r="U776" t="s">
        <v>46</v>
      </c>
      <c r="V776" t="s">
        <v>486</v>
      </c>
      <c r="W776" t="s">
        <v>493</v>
      </c>
    </row>
    <row r="777" spans="1:23" ht="15" customHeight="1" x14ac:dyDescent="0.3">
      <c r="A777" t="s">
        <v>8</v>
      </c>
      <c r="B777">
        <v>84</v>
      </c>
      <c r="C777" t="s">
        <v>477</v>
      </c>
      <c r="D777" t="s">
        <v>478</v>
      </c>
      <c r="E777" t="s">
        <v>34</v>
      </c>
      <c r="F777" t="s">
        <v>479</v>
      </c>
      <c r="G777" t="s">
        <v>36</v>
      </c>
      <c r="H777" t="s">
        <v>57</v>
      </c>
      <c r="I777" t="s">
        <v>478</v>
      </c>
      <c r="J777" t="s">
        <v>491</v>
      </c>
      <c r="K777" s="21" t="s">
        <v>492</v>
      </c>
      <c r="L777" s="21" t="s">
        <v>482</v>
      </c>
      <c r="M777" t="s">
        <v>483</v>
      </c>
      <c r="N777" t="s">
        <v>159</v>
      </c>
      <c r="R777" t="s">
        <v>1820</v>
      </c>
      <c r="S777" t="s">
        <v>491</v>
      </c>
      <c r="T777" t="s">
        <v>45</v>
      </c>
      <c r="U777" t="s">
        <v>46</v>
      </c>
      <c r="V777" t="s">
        <v>486</v>
      </c>
      <c r="W777" t="s">
        <v>493</v>
      </c>
    </row>
    <row r="778" spans="1:23" ht="15" customHeight="1" x14ac:dyDescent="0.3">
      <c r="A778" t="s">
        <v>8</v>
      </c>
      <c r="B778">
        <v>84</v>
      </c>
      <c r="C778" t="s">
        <v>477</v>
      </c>
      <c r="D778" t="s">
        <v>478</v>
      </c>
      <c r="E778" t="s">
        <v>34</v>
      </c>
      <c r="F778" t="s">
        <v>479</v>
      </c>
      <c r="G778" t="s">
        <v>36</v>
      </c>
      <c r="H778" t="s">
        <v>49</v>
      </c>
      <c r="I778" t="s">
        <v>478</v>
      </c>
      <c r="J778" t="s">
        <v>494</v>
      </c>
      <c r="K778" s="21" t="s">
        <v>495</v>
      </c>
      <c r="L778" s="21" t="s">
        <v>482</v>
      </c>
      <c r="M778" t="s">
        <v>483</v>
      </c>
      <c r="N778" t="s">
        <v>159</v>
      </c>
      <c r="R778" t="s">
        <v>1815</v>
      </c>
      <c r="S778" t="s">
        <v>494</v>
      </c>
      <c r="T778" t="s">
        <v>45</v>
      </c>
      <c r="U778" t="s">
        <v>46</v>
      </c>
      <c r="V778" t="s">
        <v>486</v>
      </c>
      <c r="W778" t="s">
        <v>496</v>
      </c>
    </row>
    <row r="779" spans="1:23" ht="15" customHeight="1" x14ac:dyDescent="0.3">
      <c r="A779" t="s">
        <v>8</v>
      </c>
      <c r="B779">
        <v>84</v>
      </c>
      <c r="C779" t="s">
        <v>477</v>
      </c>
      <c r="D779" t="s">
        <v>478</v>
      </c>
      <c r="E779" t="s">
        <v>34</v>
      </c>
      <c r="F779" t="s">
        <v>479</v>
      </c>
      <c r="G779" t="s">
        <v>36</v>
      </c>
      <c r="H779" t="s">
        <v>49</v>
      </c>
      <c r="I779" t="s">
        <v>478</v>
      </c>
      <c r="J779" t="s">
        <v>494</v>
      </c>
      <c r="K779" s="21" t="s">
        <v>495</v>
      </c>
      <c r="L779" s="21" t="s">
        <v>482</v>
      </c>
      <c r="M779" t="s">
        <v>483</v>
      </c>
      <c r="N779" t="s">
        <v>159</v>
      </c>
      <c r="R779" t="s">
        <v>1816</v>
      </c>
      <c r="S779" t="s">
        <v>494</v>
      </c>
      <c r="T779" t="s">
        <v>45</v>
      </c>
      <c r="U779" t="s">
        <v>46</v>
      </c>
      <c r="V779" t="s">
        <v>486</v>
      </c>
      <c r="W779" t="s">
        <v>496</v>
      </c>
    </row>
    <row r="780" spans="1:23" ht="15" customHeight="1" x14ac:dyDescent="0.3">
      <c r="A780" t="s">
        <v>8</v>
      </c>
      <c r="B780">
        <v>84</v>
      </c>
      <c r="C780" t="s">
        <v>477</v>
      </c>
      <c r="D780" t="s">
        <v>478</v>
      </c>
      <c r="E780" t="s">
        <v>34</v>
      </c>
      <c r="F780" t="s">
        <v>479</v>
      </c>
      <c r="G780" t="s">
        <v>36</v>
      </c>
      <c r="H780" t="s">
        <v>49</v>
      </c>
      <c r="I780" t="s">
        <v>478</v>
      </c>
      <c r="J780" t="s">
        <v>494</v>
      </c>
      <c r="K780" s="21" t="s">
        <v>495</v>
      </c>
      <c r="L780" s="21" t="s">
        <v>482</v>
      </c>
      <c r="M780" t="s">
        <v>483</v>
      </c>
      <c r="N780" t="s">
        <v>159</v>
      </c>
      <c r="R780" t="s">
        <v>1817</v>
      </c>
      <c r="S780" t="s">
        <v>494</v>
      </c>
      <c r="T780" t="s">
        <v>45</v>
      </c>
      <c r="U780" t="s">
        <v>46</v>
      </c>
      <c r="V780" t="s">
        <v>486</v>
      </c>
      <c r="W780" t="s">
        <v>496</v>
      </c>
    </row>
    <row r="781" spans="1:23" ht="15" customHeight="1" x14ac:dyDescent="0.3">
      <c r="A781" t="s">
        <v>8</v>
      </c>
      <c r="B781">
        <v>84</v>
      </c>
      <c r="C781" t="s">
        <v>477</v>
      </c>
      <c r="D781" t="s">
        <v>478</v>
      </c>
      <c r="E781" t="s">
        <v>34</v>
      </c>
      <c r="F781" t="s">
        <v>479</v>
      </c>
      <c r="G781" t="s">
        <v>36</v>
      </c>
      <c r="H781" t="s">
        <v>49</v>
      </c>
      <c r="I781" t="s">
        <v>478</v>
      </c>
      <c r="J781" t="s">
        <v>494</v>
      </c>
      <c r="K781" s="21" t="s">
        <v>495</v>
      </c>
      <c r="L781" s="21" t="s">
        <v>482</v>
      </c>
      <c r="M781" t="s">
        <v>483</v>
      </c>
      <c r="N781" t="s">
        <v>159</v>
      </c>
      <c r="R781" t="s">
        <v>1818</v>
      </c>
      <c r="S781" t="s">
        <v>494</v>
      </c>
      <c r="T781" t="s">
        <v>45</v>
      </c>
      <c r="U781" t="s">
        <v>46</v>
      </c>
      <c r="V781" t="s">
        <v>486</v>
      </c>
      <c r="W781" t="s">
        <v>496</v>
      </c>
    </row>
    <row r="782" spans="1:23" ht="15" customHeight="1" x14ac:dyDescent="0.3">
      <c r="A782" t="s">
        <v>8</v>
      </c>
      <c r="B782">
        <v>84</v>
      </c>
      <c r="C782" t="s">
        <v>477</v>
      </c>
      <c r="D782" t="s">
        <v>478</v>
      </c>
      <c r="E782" t="s">
        <v>34</v>
      </c>
      <c r="F782" t="s">
        <v>479</v>
      </c>
      <c r="G782" t="s">
        <v>36</v>
      </c>
      <c r="H782" t="s">
        <v>49</v>
      </c>
      <c r="I782" t="s">
        <v>478</v>
      </c>
      <c r="J782" t="s">
        <v>494</v>
      </c>
      <c r="K782" s="21" t="s">
        <v>495</v>
      </c>
      <c r="L782" s="21" t="s">
        <v>482</v>
      </c>
      <c r="M782" t="s">
        <v>483</v>
      </c>
      <c r="N782" t="s">
        <v>159</v>
      </c>
      <c r="R782" t="s">
        <v>1819</v>
      </c>
      <c r="S782" t="s">
        <v>494</v>
      </c>
      <c r="T782" t="s">
        <v>45</v>
      </c>
      <c r="U782" t="s">
        <v>46</v>
      </c>
      <c r="V782" t="s">
        <v>486</v>
      </c>
      <c r="W782" t="s">
        <v>496</v>
      </c>
    </row>
    <row r="783" spans="1:23" ht="15" customHeight="1" x14ac:dyDescent="0.3">
      <c r="A783" t="s">
        <v>8</v>
      </c>
      <c r="B783">
        <v>84</v>
      </c>
      <c r="C783" t="s">
        <v>477</v>
      </c>
      <c r="D783" t="s">
        <v>478</v>
      </c>
      <c r="E783" t="s">
        <v>34</v>
      </c>
      <c r="F783" t="s">
        <v>479</v>
      </c>
      <c r="G783" t="s">
        <v>36</v>
      </c>
      <c r="H783" t="s">
        <v>49</v>
      </c>
      <c r="I783" t="s">
        <v>478</v>
      </c>
      <c r="J783" t="s">
        <v>494</v>
      </c>
      <c r="K783" s="21" t="s">
        <v>495</v>
      </c>
      <c r="L783" s="21" t="s">
        <v>482</v>
      </c>
      <c r="M783" t="s">
        <v>483</v>
      </c>
      <c r="N783" t="s">
        <v>159</v>
      </c>
      <c r="R783" t="s">
        <v>1820</v>
      </c>
      <c r="S783" t="s">
        <v>494</v>
      </c>
      <c r="T783" t="s">
        <v>45</v>
      </c>
      <c r="U783" t="s">
        <v>46</v>
      </c>
      <c r="V783" t="s">
        <v>486</v>
      </c>
      <c r="W783" t="s">
        <v>496</v>
      </c>
    </row>
    <row r="784" spans="1:23" ht="15" customHeight="1" x14ac:dyDescent="0.3">
      <c r="A784" t="s">
        <v>8</v>
      </c>
      <c r="B784">
        <v>84</v>
      </c>
      <c r="C784" t="s">
        <v>477</v>
      </c>
      <c r="D784" t="s">
        <v>478</v>
      </c>
      <c r="E784" t="s">
        <v>34</v>
      </c>
      <c r="F784" t="s">
        <v>479</v>
      </c>
      <c r="G784" t="s">
        <v>36</v>
      </c>
      <c r="H784" t="s">
        <v>87</v>
      </c>
      <c r="I784" t="s">
        <v>478</v>
      </c>
      <c r="J784" t="s">
        <v>497</v>
      </c>
      <c r="K784" s="21" t="s">
        <v>498</v>
      </c>
      <c r="L784" s="21" t="s">
        <v>482</v>
      </c>
      <c r="M784" t="s">
        <v>483</v>
      </c>
      <c r="N784" t="s">
        <v>159</v>
      </c>
      <c r="R784" t="s">
        <v>1815</v>
      </c>
      <c r="S784" t="s">
        <v>497</v>
      </c>
      <c r="T784" t="s">
        <v>45</v>
      </c>
      <c r="U784" t="s">
        <v>46</v>
      </c>
      <c r="V784" t="s">
        <v>486</v>
      </c>
      <c r="W784" t="s">
        <v>499</v>
      </c>
    </row>
    <row r="785" spans="1:23" ht="15" customHeight="1" x14ac:dyDescent="0.3">
      <c r="A785" t="s">
        <v>8</v>
      </c>
      <c r="B785">
        <v>84</v>
      </c>
      <c r="C785" t="s">
        <v>477</v>
      </c>
      <c r="D785" t="s">
        <v>478</v>
      </c>
      <c r="E785" t="s">
        <v>34</v>
      </c>
      <c r="F785" t="s">
        <v>479</v>
      </c>
      <c r="G785" t="s">
        <v>36</v>
      </c>
      <c r="H785" t="s">
        <v>87</v>
      </c>
      <c r="I785" t="s">
        <v>478</v>
      </c>
      <c r="J785" t="s">
        <v>497</v>
      </c>
      <c r="K785" s="21" t="s">
        <v>498</v>
      </c>
      <c r="L785" s="21" t="s">
        <v>482</v>
      </c>
      <c r="M785" t="s">
        <v>483</v>
      </c>
      <c r="N785" t="s">
        <v>159</v>
      </c>
      <c r="R785" t="s">
        <v>1816</v>
      </c>
      <c r="S785" t="s">
        <v>497</v>
      </c>
      <c r="T785" t="s">
        <v>45</v>
      </c>
      <c r="U785" t="s">
        <v>46</v>
      </c>
      <c r="V785" t="s">
        <v>486</v>
      </c>
      <c r="W785" t="s">
        <v>499</v>
      </c>
    </row>
    <row r="786" spans="1:23" ht="15" customHeight="1" x14ac:dyDescent="0.3">
      <c r="A786" t="s">
        <v>8</v>
      </c>
      <c r="B786">
        <v>84</v>
      </c>
      <c r="C786" t="s">
        <v>477</v>
      </c>
      <c r="D786" t="s">
        <v>478</v>
      </c>
      <c r="E786" t="s">
        <v>34</v>
      </c>
      <c r="F786" t="s">
        <v>479</v>
      </c>
      <c r="G786" t="s">
        <v>36</v>
      </c>
      <c r="H786" t="s">
        <v>87</v>
      </c>
      <c r="I786" t="s">
        <v>478</v>
      </c>
      <c r="J786" t="s">
        <v>497</v>
      </c>
      <c r="K786" s="21" t="s">
        <v>498</v>
      </c>
      <c r="L786" s="21" t="s">
        <v>482</v>
      </c>
      <c r="M786" t="s">
        <v>483</v>
      </c>
      <c r="N786" t="s">
        <v>159</v>
      </c>
      <c r="R786" t="s">
        <v>1817</v>
      </c>
      <c r="S786" t="s">
        <v>497</v>
      </c>
      <c r="T786" t="s">
        <v>45</v>
      </c>
      <c r="U786" t="s">
        <v>46</v>
      </c>
      <c r="V786" t="s">
        <v>486</v>
      </c>
      <c r="W786" t="s">
        <v>499</v>
      </c>
    </row>
    <row r="787" spans="1:23" ht="15" customHeight="1" x14ac:dyDescent="0.3">
      <c r="A787" t="s">
        <v>8</v>
      </c>
      <c r="B787">
        <v>84</v>
      </c>
      <c r="C787" t="s">
        <v>477</v>
      </c>
      <c r="D787" t="s">
        <v>478</v>
      </c>
      <c r="E787" t="s">
        <v>34</v>
      </c>
      <c r="F787" t="s">
        <v>479</v>
      </c>
      <c r="G787" t="s">
        <v>36</v>
      </c>
      <c r="H787" t="s">
        <v>87</v>
      </c>
      <c r="I787" t="s">
        <v>478</v>
      </c>
      <c r="J787" t="s">
        <v>497</v>
      </c>
      <c r="K787" s="21" t="s">
        <v>498</v>
      </c>
      <c r="L787" s="21" t="s">
        <v>482</v>
      </c>
      <c r="M787" t="s">
        <v>483</v>
      </c>
      <c r="N787" t="s">
        <v>159</v>
      </c>
      <c r="R787" t="s">
        <v>1818</v>
      </c>
      <c r="S787" t="s">
        <v>497</v>
      </c>
      <c r="T787" t="s">
        <v>45</v>
      </c>
      <c r="U787" t="s">
        <v>46</v>
      </c>
      <c r="V787" t="s">
        <v>486</v>
      </c>
      <c r="W787" t="s">
        <v>499</v>
      </c>
    </row>
    <row r="788" spans="1:23" ht="15" customHeight="1" x14ac:dyDescent="0.3">
      <c r="A788" t="s">
        <v>8</v>
      </c>
      <c r="B788">
        <v>84</v>
      </c>
      <c r="C788" t="s">
        <v>477</v>
      </c>
      <c r="D788" t="s">
        <v>478</v>
      </c>
      <c r="E788" t="s">
        <v>34</v>
      </c>
      <c r="F788" t="s">
        <v>479</v>
      </c>
      <c r="G788" t="s">
        <v>36</v>
      </c>
      <c r="H788" t="s">
        <v>87</v>
      </c>
      <c r="I788" t="s">
        <v>478</v>
      </c>
      <c r="J788" t="s">
        <v>497</v>
      </c>
      <c r="K788" s="21" t="s">
        <v>498</v>
      </c>
      <c r="L788" s="21" t="s">
        <v>482</v>
      </c>
      <c r="M788" t="s">
        <v>483</v>
      </c>
      <c r="N788" t="s">
        <v>159</v>
      </c>
      <c r="R788" t="s">
        <v>1819</v>
      </c>
      <c r="S788" t="s">
        <v>497</v>
      </c>
      <c r="T788" t="s">
        <v>45</v>
      </c>
      <c r="U788" t="s">
        <v>46</v>
      </c>
      <c r="V788" t="s">
        <v>486</v>
      </c>
      <c r="W788" t="s">
        <v>499</v>
      </c>
    </row>
    <row r="789" spans="1:23" ht="15" customHeight="1" x14ac:dyDescent="0.3">
      <c r="A789" t="s">
        <v>8</v>
      </c>
      <c r="B789">
        <v>84</v>
      </c>
      <c r="C789" t="s">
        <v>477</v>
      </c>
      <c r="D789" t="s">
        <v>478</v>
      </c>
      <c r="E789" t="s">
        <v>34</v>
      </c>
      <c r="F789" t="s">
        <v>479</v>
      </c>
      <c r="G789" t="s">
        <v>36</v>
      </c>
      <c r="H789" t="s">
        <v>87</v>
      </c>
      <c r="I789" t="s">
        <v>478</v>
      </c>
      <c r="J789" t="s">
        <v>497</v>
      </c>
      <c r="K789" s="21" t="s">
        <v>498</v>
      </c>
      <c r="L789" s="21" t="s">
        <v>482</v>
      </c>
      <c r="M789" t="s">
        <v>483</v>
      </c>
      <c r="N789" t="s">
        <v>159</v>
      </c>
      <c r="R789" t="s">
        <v>1820</v>
      </c>
      <c r="S789" t="s">
        <v>497</v>
      </c>
      <c r="T789" t="s">
        <v>45</v>
      </c>
      <c r="U789" t="s">
        <v>46</v>
      </c>
      <c r="V789" t="s">
        <v>486</v>
      </c>
      <c r="W789" t="s">
        <v>499</v>
      </c>
    </row>
    <row r="790" spans="1:23" ht="15" customHeight="1" x14ac:dyDescent="0.3">
      <c r="A790" t="s">
        <v>8</v>
      </c>
      <c r="B790">
        <v>84</v>
      </c>
      <c r="C790" t="s">
        <v>477</v>
      </c>
      <c r="D790" t="s">
        <v>478</v>
      </c>
      <c r="E790" t="s">
        <v>34</v>
      </c>
      <c r="F790" t="s">
        <v>479</v>
      </c>
      <c r="G790" t="s">
        <v>36</v>
      </c>
      <c r="H790" t="s">
        <v>421</v>
      </c>
      <c r="I790" t="s">
        <v>478</v>
      </c>
      <c r="J790" t="s">
        <v>500</v>
      </c>
      <c r="K790" s="21" t="s">
        <v>501</v>
      </c>
      <c r="L790" s="21" t="s">
        <v>482</v>
      </c>
      <c r="M790" t="s">
        <v>483</v>
      </c>
      <c r="N790" t="s">
        <v>159</v>
      </c>
      <c r="R790" t="s">
        <v>1815</v>
      </c>
      <c r="S790" t="s">
        <v>500</v>
      </c>
      <c r="T790" t="s">
        <v>45</v>
      </c>
      <c r="U790" t="s">
        <v>46</v>
      </c>
      <c r="V790" t="s">
        <v>486</v>
      </c>
      <c r="W790" t="s">
        <v>502</v>
      </c>
    </row>
    <row r="791" spans="1:23" ht="15" customHeight="1" x14ac:dyDescent="0.3">
      <c r="A791" t="s">
        <v>8</v>
      </c>
      <c r="B791">
        <v>84</v>
      </c>
      <c r="C791" t="s">
        <v>477</v>
      </c>
      <c r="D791" t="s">
        <v>478</v>
      </c>
      <c r="E791" t="s">
        <v>34</v>
      </c>
      <c r="F791" t="s">
        <v>479</v>
      </c>
      <c r="G791" t="s">
        <v>36</v>
      </c>
      <c r="H791" t="s">
        <v>421</v>
      </c>
      <c r="I791" t="s">
        <v>478</v>
      </c>
      <c r="J791" t="s">
        <v>500</v>
      </c>
      <c r="K791" s="21" t="s">
        <v>501</v>
      </c>
      <c r="L791" s="21" t="s">
        <v>482</v>
      </c>
      <c r="M791" t="s">
        <v>483</v>
      </c>
      <c r="N791" t="s">
        <v>159</v>
      </c>
      <c r="R791" t="s">
        <v>1816</v>
      </c>
      <c r="S791" t="s">
        <v>500</v>
      </c>
      <c r="T791" t="s">
        <v>45</v>
      </c>
      <c r="U791" t="s">
        <v>46</v>
      </c>
      <c r="V791" t="s">
        <v>486</v>
      </c>
      <c r="W791" t="s">
        <v>502</v>
      </c>
    </row>
    <row r="792" spans="1:23" ht="15" customHeight="1" x14ac:dyDescent="0.3">
      <c r="A792" t="s">
        <v>8</v>
      </c>
      <c r="B792">
        <v>84</v>
      </c>
      <c r="C792" t="s">
        <v>477</v>
      </c>
      <c r="D792" t="s">
        <v>478</v>
      </c>
      <c r="E792" t="s">
        <v>34</v>
      </c>
      <c r="F792" t="s">
        <v>479</v>
      </c>
      <c r="G792" t="s">
        <v>36</v>
      </c>
      <c r="H792" t="s">
        <v>421</v>
      </c>
      <c r="I792" t="s">
        <v>478</v>
      </c>
      <c r="J792" t="s">
        <v>500</v>
      </c>
      <c r="K792" s="21" t="s">
        <v>501</v>
      </c>
      <c r="L792" s="21" t="s">
        <v>482</v>
      </c>
      <c r="M792" t="s">
        <v>483</v>
      </c>
      <c r="N792" t="s">
        <v>159</v>
      </c>
      <c r="R792" t="s">
        <v>1817</v>
      </c>
      <c r="S792" t="s">
        <v>500</v>
      </c>
      <c r="T792" t="s">
        <v>45</v>
      </c>
      <c r="U792" t="s">
        <v>46</v>
      </c>
      <c r="V792" t="s">
        <v>486</v>
      </c>
      <c r="W792" t="s">
        <v>502</v>
      </c>
    </row>
    <row r="793" spans="1:23" ht="15" customHeight="1" x14ac:dyDescent="0.3">
      <c r="A793" t="s">
        <v>8</v>
      </c>
      <c r="B793">
        <v>84</v>
      </c>
      <c r="C793" t="s">
        <v>477</v>
      </c>
      <c r="D793" t="s">
        <v>478</v>
      </c>
      <c r="E793" t="s">
        <v>34</v>
      </c>
      <c r="F793" t="s">
        <v>479</v>
      </c>
      <c r="G793" t="s">
        <v>36</v>
      </c>
      <c r="H793" t="s">
        <v>421</v>
      </c>
      <c r="I793" t="s">
        <v>478</v>
      </c>
      <c r="J793" t="s">
        <v>500</v>
      </c>
      <c r="K793" s="21" t="s">
        <v>501</v>
      </c>
      <c r="L793" s="21" t="s">
        <v>482</v>
      </c>
      <c r="M793" t="s">
        <v>483</v>
      </c>
      <c r="N793" t="s">
        <v>159</v>
      </c>
      <c r="R793" t="s">
        <v>1818</v>
      </c>
      <c r="S793" t="s">
        <v>500</v>
      </c>
      <c r="T793" t="s">
        <v>45</v>
      </c>
      <c r="U793" t="s">
        <v>46</v>
      </c>
      <c r="V793" t="s">
        <v>486</v>
      </c>
      <c r="W793" t="s">
        <v>502</v>
      </c>
    </row>
    <row r="794" spans="1:23" ht="15" customHeight="1" x14ac:dyDescent="0.3">
      <c r="A794" t="s">
        <v>8</v>
      </c>
      <c r="B794">
        <v>84</v>
      </c>
      <c r="C794" t="s">
        <v>477</v>
      </c>
      <c r="D794" t="s">
        <v>478</v>
      </c>
      <c r="E794" t="s">
        <v>34</v>
      </c>
      <c r="F794" t="s">
        <v>479</v>
      </c>
      <c r="G794" t="s">
        <v>36</v>
      </c>
      <c r="H794" t="s">
        <v>421</v>
      </c>
      <c r="I794" t="s">
        <v>478</v>
      </c>
      <c r="J794" t="s">
        <v>500</v>
      </c>
      <c r="K794" s="21" t="s">
        <v>501</v>
      </c>
      <c r="L794" s="21" t="s">
        <v>482</v>
      </c>
      <c r="M794" t="s">
        <v>483</v>
      </c>
      <c r="N794" t="s">
        <v>159</v>
      </c>
      <c r="R794" t="s">
        <v>1819</v>
      </c>
      <c r="S794" t="s">
        <v>500</v>
      </c>
      <c r="T794" t="s">
        <v>45</v>
      </c>
      <c r="U794" t="s">
        <v>46</v>
      </c>
      <c r="V794" t="s">
        <v>486</v>
      </c>
      <c r="W794" t="s">
        <v>502</v>
      </c>
    </row>
    <row r="795" spans="1:23" ht="15" customHeight="1" x14ac:dyDescent="0.3">
      <c r="A795" t="s">
        <v>8</v>
      </c>
      <c r="B795">
        <v>84</v>
      </c>
      <c r="C795" t="s">
        <v>477</v>
      </c>
      <c r="D795" t="s">
        <v>478</v>
      </c>
      <c r="E795" t="s">
        <v>34</v>
      </c>
      <c r="F795" t="s">
        <v>479</v>
      </c>
      <c r="G795" t="s">
        <v>36</v>
      </c>
      <c r="H795" t="s">
        <v>421</v>
      </c>
      <c r="I795" t="s">
        <v>478</v>
      </c>
      <c r="J795" t="s">
        <v>500</v>
      </c>
      <c r="K795" s="21" t="s">
        <v>501</v>
      </c>
      <c r="L795" s="21" t="s">
        <v>482</v>
      </c>
      <c r="M795" t="s">
        <v>483</v>
      </c>
      <c r="N795" t="s">
        <v>159</v>
      </c>
      <c r="R795" t="s">
        <v>1820</v>
      </c>
      <c r="S795" t="s">
        <v>500</v>
      </c>
      <c r="T795" t="s">
        <v>45</v>
      </c>
      <c r="U795" t="s">
        <v>46</v>
      </c>
      <c r="V795" t="s">
        <v>486</v>
      </c>
      <c r="W795" t="s">
        <v>502</v>
      </c>
    </row>
    <row r="796" spans="1:23" ht="15" customHeight="1" x14ac:dyDescent="0.3">
      <c r="A796" t="s">
        <v>8</v>
      </c>
      <c r="B796">
        <v>84</v>
      </c>
      <c r="C796" t="s">
        <v>477</v>
      </c>
      <c r="D796" t="s">
        <v>478</v>
      </c>
      <c r="E796" t="s">
        <v>34</v>
      </c>
      <c r="F796" t="s">
        <v>479</v>
      </c>
      <c r="G796" t="s">
        <v>36</v>
      </c>
      <c r="H796" t="s">
        <v>182</v>
      </c>
      <c r="I796" t="s">
        <v>478</v>
      </c>
      <c r="J796" t="s">
        <v>1821</v>
      </c>
      <c r="K796" s="21" t="s">
        <v>1822</v>
      </c>
      <c r="L796" s="21" t="s">
        <v>482</v>
      </c>
      <c r="M796" t="s">
        <v>483</v>
      </c>
      <c r="N796" t="s">
        <v>159</v>
      </c>
      <c r="R796" t="s">
        <v>1815</v>
      </c>
      <c r="S796" t="s">
        <v>1821</v>
      </c>
      <c r="T796" t="s">
        <v>45</v>
      </c>
      <c r="U796" t="s">
        <v>1486</v>
      </c>
      <c r="V796" t="s">
        <v>486</v>
      </c>
      <c r="W796" t="s">
        <v>1823</v>
      </c>
    </row>
    <row r="797" spans="1:23" ht="15" customHeight="1" x14ac:dyDescent="0.3">
      <c r="A797" t="s">
        <v>8</v>
      </c>
      <c r="B797">
        <v>84</v>
      </c>
      <c r="C797" t="s">
        <v>477</v>
      </c>
      <c r="D797" t="s">
        <v>478</v>
      </c>
      <c r="E797" t="s">
        <v>34</v>
      </c>
      <c r="F797" t="s">
        <v>479</v>
      </c>
      <c r="G797" t="s">
        <v>36</v>
      </c>
      <c r="H797" t="s">
        <v>182</v>
      </c>
      <c r="I797" t="s">
        <v>478</v>
      </c>
      <c r="J797" t="s">
        <v>1821</v>
      </c>
      <c r="K797" s="21" t="s">
        <v>1822</v>
      </c>
      <c r="L797" s="21" t="s">
        <v>482</v>
      </c>
      <c r="M797" t="s">
        <v>483</v>
      </c>
      <c r="N797" t="s">
        <v>159</v>
      </c>
      <c r="R797" t="s">
        <v>1816</v>
      </c>
      <c r="S797" t="s">
        <v>1821</v>
      </c>
      <c r="T797" t="s">
        <v>45</v>
      </c>
      <c r="U797" t="s">
        <v>1486</v>
      </c>
      <c r="V797" t="s">
        <v>486</v>
      </c>
      <c r="W797" t="s">
        <v>1823</v>
      </c>
    </row>
    <row r="798" spans="1:23" ht="15" customHeight="1" x14ac:dyDescent="0.3">
      <c r="A798" t="s">
        <v>8</v>
      </c>
      <c r="B798">
        <v>84</v>
      </c>
      <c r="C798" t="s">
        <v>477</v>
      </c>
      <c r="D798" t="s">
        <v>478</v>
      </c>
      <c r="E798" t="s">
        <v>34</v>
      </c>
      <c r="F798" t="s">
        <v>479</v>
      </c>
      <c r="G798" t="s">
        <v>36</v>
      </c>
      <c r="H798" t="s">
        <v>182</v>
      </c>
      <c r="I798" t="s">
        <v>478</v>
      </c>
      <c r="J798" t="s">
        <v>1821</v>
      </c>
      <c r="K798" s="21" t="s">
        <v>1822</v>
      </c>
      <c r="L798" s="21" t="s">
        <v>482</v>
      </c>
      <c r="M798" t="s">
        <v>483</v>
      </c>
      <c r="N798" t="s">
        <v>159</v>
      </c>
      <c r="R798" t="s">
        <v>1817</v>
      </c>
      <c r="S798" t="s">
        <v>1821</v>
      </c>
      <c r="T798" t="s">
        <v>45</v>
      </c>
      <c r="U798" t="s">
        <v>1486</v>
      </c>
      <c r="V798" t="s">
        <v>486</v>
      </c>
      <c r="W798" t="s">
        <v>1823</v>
      </c>
    </row>
    <row r="799" spans="1:23" ht="15" customHeight="1" x14ac:dyDescent="0.3">
      <c r="A799" t="s">
        <v>8</v>
      </c>
      <c r="B799">
        <v>84</v>
      </c>
      <c r="C799" t="s">
        <v>477</v>
      </c>
      <c r="D799" t="s">
        <v>478</v>
      </c>
      <c r="E799" t="s">
        <v>34</v>
      </c>
      <c r="F799" t="s">
        <v>479</v>
      </c>
      <c r="G799" t="s">
        <v>36</v>
      </c>
      <c r="H799" t="s">
        <v>182</v>
      </c>
      <c r="I799" t="s">
        <v>478</v>
      </c>
      <c r="J799" t="s">
        <v>1821</v>
      </c>
      <c r="K799" s="21" t="s">
        <v>1822</v>
      </c>
      <c r="L799" s="21" t="s">
        <v>482</v>
      </c>
      <c r="M799" t="s">
        <v>483</v>
      </c>
      <c r="N799" t="s">
        <v>159</v>
      </c>
      <c r="R799" t="s">
        <v>1818</v>
      </c>
      <c r="S799" t="s">
        <v>1821</v>
      </c>
      <c r="T799" t="s">
        <v>45</v>
      </c>
      <c r="U799" t="s">
        <v>1486</v>
      </c>
      <c r="V799" t="s">
        <v>486</v>
      </c>
      <c r="W799" t="s">
        <v>1823</v>
      </c>
    </row>
    <row r="800" spans="1:23" ht="15" customHeight="1" x14ac:dyDescent="0.3">
      <c r="A800" t="s">
        <v>8</v>
      </c>
      <c r="B800">
        <v>84</v>
      </c>
      <c r="C800" t="s">
        <v>477</v>
      </c>
      <c r="D800" t="s">
        <v>478</v>
      </c>
      <c r="E800" t="s">
        <v>34</v>
      </c>
      <c r="F800" t="s">
        <v>479</v>
      </c>
      <c r="G800" t="s">
        <v>36</v>
      </c>
      <c r="H800" t="s">
        <v>182</v>
      </c>
      <c r="I800" t="s">
        <v>478</v>
      </c>
      <c r="J800" t="s">
        <v>1821</v>
      </c>
      <c r="K800" s="21" t="s">
        <v>1822</v>
      </c>
      <c r="L800" s="21" t="s">
        <v>482</v>
      </c>
      <c r="M800" t="s">
        <v>483</v>
      </c>
      <c r="N800" t="s">
        <v>159</v>
      </c>
      <c r="R800" t="s">
        <v>1819</v>
      </c>
      <c r="S800" t="s">
        <v>1821</v>
      </c>
      <c r="T800" t="s">
        <v>45</v>
      </c>
      <c r="U800" t="s">
        <v>1486</v>
      </c>
      <c r="V800" t="s">
        <v>486</v>
      </c>
      <c r="W800" t="s">
        <v>1823</v>
      </c>
    </row>
    <row r="801" spans="1:23" ht="15" customHeight="1" x14ac:dyDescent="0.3">
      <c r="A801" t="s">
        <v>8</v>
      </c>
      <c r="B801">
        <v>84</v>
      </c>
      <c r="C801" t="s">
        <v>477</v>
      </c>
      <c r="D801" t="s">
        <v>478</v>
      </c>
      <c r="E801" t="s">
        <v>34</v>
      </c>
      <c r="F801" t="s">
        <v>479</v>
      </c>
      <c r="G801" t="s">
        <v>36</v>
      </c>
      <c r="H801" t="s">
        <v>182</v>
      </c>
      <c r="I801" t="s">
        <v>478</v>
      </c>
      <c r="J801" t="s">
        <v>1821</v>
      </c>
      <c r="K801" s="21" t="s">
        <v>1822</v>
      </c>
      <c r="L801" s="21" t="s">
        <v>482</v>
      </c>
      <c r="M801" t="s">
        <v>483</v>
      </c>
      <c r="N801" t="s">
        <v>159</v>
      </c>
      <c r="R801" t="s">
        <v>1820</v>
      </c>
      <c r="S801" t="s">
        <v>1821</v>
      </c>
      <c r="T801" t="s">
        <v>45</v>
      </c>
      <c r="U801" t="s">
        <v>1486</v>
      </c>
      <c r="V801" t="s">
        <v>486</v>
      </c>
      <c r="W801" t="s">
        <v>1823</v>
      </c>
    </row>
    <row r="802" spans="1:23" ht="15" customHeight="1" x14ac:dyDescent="0.3">
      <c r="A802" t="s">
        <v>8</v>
      </c>
      <c r="B802">
        <v>84</v>
      </c>
      <c r="C802" t="s">
        <v>477</v>
      </c>
      <c r="D802" t="s">
        <v>478</v>
      </c>
      <c r="E802" t="s">
        <v>34</v>
      </c>
      <c r="F802" t="s">
        <v>479</v>
      </c>
      <c r="G802" t="s">
        <v>36</v>
      </c>
      <c r="H802" t="s">
        <v>1242</v>
      </c>
      <c r="I802" t="s">
        <v>478</v>
      </c>
      <c r="J802" t="s">
        <v>1824</v>
      </c>
      <c r="K802" s="21" t="s">
        <v>1825</v>
      </c>
      <c r="L802" s="21" t="s">
        <v>482</v>
      </c>
      <c r="M802" t="s">
        <v>483</v>
      </c>
      <c r="N802" t="s">
        <v>159</v>
      </c>
      <c r="R802" t="s">
        <v>1815</v>
      </c>
      <c r="S802" t="s">
        <v>1824</v>
      </c>
      <c r="T802" t="s">
        <v>45</v>
      </c>
      <c r="U802" t="s">
        <v>1428</v>
      </c>
      <c r="V802" t="s">
        <v>486</v>
      </c>
      <c r="W802" t="s">
        <v>1826</v>
      </c>
    </row>
    <row r="803" spans="1:23" ht="15" customHeight="1" x14ac:dyDescent="0.3">
      <c r="A803" t="s">
        <v>8</v>
      </c>
      <c r="B803">
        <v>84</v>
      </c>
      <c r="C803" t="s">
        <v>477</v>
      </c>
      <c r="D803" t="s">
        <v>478</v>
      </c>
      <c r="E803" t="s">
        <v>34</v>
      </c>
      <c r="F803" t="s">
        <v>479</v>
      </c>
      <c r="G803" t="s">
        <v>36</v>
      </c>
      <c r="H803" t="s">
        <v>1242</v>
      </c>
      <c r="I803" t="s">
        <v>478</v>
      </c>
      <c r="J803" t="s">
        <v>1824</v>
      </c>
      <c r="K803" s="21" t="s">
        <v>1825</v>
      </c>
      <c r="L803" s="21" t="s">
        <v>482</v>
      </c>
      <c r="M803" t="s">
        <v>483</v>
      </c>
      <c r="N803" t="s">
        <v>159</v>
      </c>
      <c r="R803" t="s">
        <v>1816</v>
      </c>
      <c r="S803" t="s">
        <v>1824</v>
      </c>
      <c r="T803" t="s">
        <v>45</v>
      </c>
      <c r="U803" t="s">
        <v>1428</v>
      </c>
      <c r="V803" t="s">
        <v>486</v>
      </c>
      <c r="W803" t="s">
        <v>1826</v>
      </c>
    </row>
    <row r="804" spans="1:23" ht="15" customHeight="1" x14ac:dyDescent="0.3">
      <c r="A804" t="s">
        <v>8</v>
      </c>
      <c r="B804">
        <v>84</v>
      </c>
      <c r="C804" t="s">
        <v>477</v>
      </c>
      <c r="D804" t="s">
        <v>478</v>
      </c>
      <c r="E804" t="s">
        <v>34</v>
      </c>
      <c r="F804" t="s">
        <v>479</v>
      </c>
      <c r="G804" t="s">
        <v>36</v>
      </c>
      <c r="H804" t="s">
        <v>1242</v>
      </c>
      <c r="I804" t="s">
        <v>478</v>
      </c>
      <c r="J804" t="s">
        <v>1824</v>
      </c>
      <c r="K804" s="21" t="s">
        <v>1825</v>
      </c>
      <c r="L804" s="21" t="s">
        <v>482</v>
      </c>
      <c r="M804" t="s">
        <v>483</v>
      </c>
      <c r="N804" t="s">
        <v>159</v>
      </c>
      <c r="R804" t="s">
        <v>1817</v>
      </c>
      <c r="S804" t="s">
        <v>1824</v>
      </c>
      <c r="T804" t="s">
        <v>45</v>
      </c>
      <c r="U804" t="s">
        <v>1428</v>
      </c>
      <c r="V804" t="s">
        <v>486</v>
      </c>
      <c r="W804" t="s">
        <v>1826</v>
      </c>
    </row>
    <row r="805" spans="1:23" ht="15" customHeight="1" x14ac:dyDescent="0.3">
      <c r="A805" t="s">
        <v>8</v>
      </c>
      <c r="B805">
        <v>84</v>
      </c>
      <c r="C805" t="s">
        <v>477</v>
      </c>
      <c r="D805" t="s">
        <v>478</v>
      </c>
      <c r="E805" t="s">
        <v>34</v>
      </c>
      <c r="F805" t="s">
        <v>479</v>
      </c>
      <c r="G805" t="s">
        <v>36</v>
      </c>
      <c r="H805" t="s">
        <v>1242</v>
      </c>
      <c r="I805" t="s">
        <v>478</v>
      </c>
      <c r="J805" t="s">
        <v>1824</v>
      </c>
      <c r="K805" s="21" t="s">
        <v>1825</v>
      </c>
      <c r="L805" s="21" t="s">
        <v>482</v>
      </c>
      <c r="M805" t="s">
        <v>483</v>
      </c>
      <c r="N805" t="s">
        <v>159</v>
      </c>
      <c r="R805" t="s">
        <v>1818</v>
      </c>
      <c r="S805" t="s">
        <v>1824</v>
      </c>
      <c r="T805" t="s">
        <v>45</v>
      </c>
      <c r="U805" t="s">
        <v>1428</v>
      </c>
      <c r="V805" t="s">
        <v>486</v>
      </c>
      <c r="W805" t="s">
        <v>1826</v>
      </c>
    </row>
    <row r="806" spans="1:23" ht="15" customHeight="1" x14ac:dyDescent="0.3">
      <c r="A806" t="s">
        <v>8</v>
      </c>
      <c r="B806">
        <v>84</v>
      </c>
      <c r="C806" t="s">
        <v>477</v>
      </c>
      <c r="D806" t="s">
        <v>478</v>
      </c>
      <c r="E806" t="s">
        <v>34</v>
      </c>
      <c r="F806" t="s">
        <v>479</v>
      </c>
      <c r="G806" t="s">
        <v>36</v>
      </c>
      <c r="H806" t="s">
        <v>1242</v>
      </c>
      <c r="I806" t="s">
        <v>478</v>
      </c>
      <c r="J806" t="s">
        <v>1824</v>
      </c>
      <c r="K806" s="21" t="s">
        <v>1825</v>
      </c>
      <c r="L806" s="21" t="s">
        <v>482</v>
      </c>
      <c r="M806" t="s">
        <v>483</v>
      </c>
      <c r="N806" t="s">
        <v>159</v>
      </c>
      <c r="R806" t="s">
        <v>1819</v>
      </c>
      <c r="S806" t="s">
        <v>1824</v>
      </c>
      <c r="T806" t="s">
        <v>45</v>
      </c>
      <c r="U806" t="s">
        <v>1428</v>
      </c>
      <c r="V806" t="s">
        <v>486</v>
      </c>
      <c r="W806" t="s">
        <v>1826</v>
      </c>
    </row>
    <row r="807" spans="1:23" ht="15" customHeight="1" x14ac:dyDescent="0.3">
      <c r="A807" t="s">
        <v>8</v>
      </c>
      <c r="B807">
        <v>84</v>
      </c>
      <c r="C807" t="s">
        <v>477</v>
      </c>
      <c r="D807" t="s">
        <v>478</v>
      </c>
      <c r="E807" t="s">
        <v>34</v>
      </c>
      <c r="F807" t="s">
        <v>479</v>
      </c>
      <c r="G807" t="s">
        <v>36</v>
      </c>
      <c r="H807" t="s">
        <v>1242</v>
      </c>
      <c r="I807" t="s">
        <v>478</v>
      </c>
      <c r="J807" t="s">
        <v>1824</v>
      </c>
      <c r="K807" s="21" t="s">
        <v>1825</v>
      </c>
      <c r="L807" s="21" t="s">
        <v>482</v>
      </c>
      <c r="M807" t="s">
        <v>483</v>
      </c>
      <c r="N807" t="s">
        <v>159</v>
      </c>
      <c r="R807" t="s">
        <v>1820</v>
      </c>
      <c r="S807" t="s">
        <v>1824</v>
      </c>
      <c r="T807" t="s">
        <v>45</v>
      </c>
      <c r="U807" t="s">
        <v>1428</v>
      </c>
      <c r="V807" t="s">
        <v>486</v>
      </c>
      <c r="W807" t="s">
        <v>1826</v>
      </c>
    </row>
    <row r="808" spans="1:23" ht="15" customHeight="1" x14ac:dyDescent="0.3">
      <c r="A808" t="s">
        <v>8</v>
      </c>
      <c r="B808">
        <v>84</v>
      </c>
      <c r="C808" t="s">
        <v>477</v>
      </c>
      <c r="D808" t="s">
        <v>478</v>
      </c>
      <c r="E808" t="s">
        <v>34</v>
      </c>
      <c r="F808" t="s">
        <v>479</v>
      </c>
      <c r="G808" t="s">
        <v>36</v>
      </c>
      <c r="H808" t="s">
        <v>425</v>
      </c>
      <c r="I808" t="s">
        <v>478</v>
      </c>
      <c r="J808" t="s">
        <v>1827</v>
      </c>
      <c r="K808" s="21" t="s">
        <v>1828</v>
      </c>
      <c r="L808" s="21" t="s">
        <v>482</v>
      </c>
      <c r="M808" t="s">
        <v>483</v>
      </c>
      <c r="N808" t="s">
        <v>159</v>
      </c>
      <c r="R808" t="s">
        <v>1815</v>
      </c>
      <c r="S808" t="s">
        <v>1827</v>
      </c>
      <c r="T808" t="s">
        <v>45</v>
      </c>
      <c r="U808" t="s">
        <v>1437</v>
      </c>
      <c r="V808" t="s">
        <v>486</v>
      </c>
      <c r="W808" t="s">
        <v>1829</v>
      </c>
    </row>
    <row r="809" spans="1:23" ht="15" customHeight="1" x14ac:dyDescent="0.3">
      <c r="A809" t="s">
        <v>8</v>
      </c>
      <c r="B809">
        <v>84</v>
      </c>
      <c r="C809" t="s">
        <v>477</v>
      </c>
      <c r="D809" t="s">
        <v>478</v>
      </c>
      <c r="E809" t="s">
        <v>34</v>
      </c>
      <c r="F809" t="s">
        <v>479</v>
      </c>
      <c r="G809" t="s">
        <v>36</v>
      </c>
      <c r="H809" t="s">
        <v>425</v>
      </c>
      <c r="I809" t="s">
        <v>478</v>
      </c>
      <c r="J809" t="s">
        <v>1827</v>
      </c>
      <c r="K809" s="21" t="s">
        <v>1828</v>
      </c>
      <c r="L809" s="21" t="s">
        <v>482</v>
      </c>
      <c r="M809" t="s">
        <v>483</v>
      </c>
      <c r="N809" t="s">
        <v>159</v>
      </c>
      <c r="R809" t="s">
        <v>1816</v>
      </c>
      <c r="S809" t="s">
        <v>1827</v>
      </c>
      <c r="T809" t="s">
        <v>45</v>
      </c>
      <c r="U809" t="s">
        <v>1437</v>
      </c>
      <c r="V809" t="s">
        <v>486</v>
      </c>
      <c r="W809" t="s">
        <v>1829</v>
      </c>
    </row>
    <row r="810" spans="1:23" ht="15" customHeight="1" x14ac:dyDescent="0.3">
      <c r="A810" t="s">
        <v>8</v>
      </c>
      <c r="B810">
        <v>84</v>
      </c>
      <c r="C810" t="s">
        <v>477</v>
      </c>
      <c r="D810" t="s">
        <v>478</v>
      </c>
      <c r="E810" t="s">
        <v>34</v>
      </c>
      <c r="F810" t="s">
        <v>479</v>
      </c>
      <c r="G810" t="s">
        <v>36</v>
      </c>
      <c r="H810" t="s">
        <v>425</v>
      </c>
      <c r="I810" t="s">
        <v>478</v>
      </c>
      <c r="J810" t="s">
        <v>1827</v>
      </c>
      <c r="K810" s="21" t="s">
        <v>1828</v>
      </c>
      <c r="L810" s="21" t="s">
        <v>482</v>
      </c>
      <c r="M810" t="s">
        <v>483</v>
      </c>
      <c r="N810" t="s">
        <v>159</v>
      </c>
      <c r="R810" t="s">
        <v>1817</v>
      </c>
      <c r="S810" t="s">
        <v>1827</v>
      </c>
      <c r="T810" t="s">
        <v>45</v>
      </c>
      <c r="U810" t="s">
        <v>1437</v>
      </c>
      <c r="V810" t="s">
        <v>486</v>
      </c>
      <c r="W810" t="s">
        <v>1829</v>
      </c>
    </row>
    <row r="811" spans="1:23" ht="15" customHeight="1" x14ac:dyDescent="0.3">
      <c r="A811" t="s">
        <v>8</v>
      </c>
      <c r="B811">
        <v>84</v>
      </c>
      <c r="C811" t="s">
        <v>477</v>
      </c>
      <c r="D811" t="s">
        <v>478</v>
      </c>
      <c r="E811" t="s">
        <v>34</v>
      </c>
      <c r="F811" t="s">
        <v>479</v>
      </c>
      <c r="G811" t="s">
        <v>36</v>
      </c>
      <c r="H811" t="s">
        <v>425</v>
      </c>
      <c r="I811" t="s">
        <v>478</v>
      </c>
      <c r="J811" t="s">
        <v>1827</v>
      </c>
      <c r="K811" s="21" t="s">
        <v>1828</v>
      </c>
      <c r="L811" s="21" t="s">
        <v>482</v>
      </c>
      <c r="M811" t="s">
        <v>483</v>
      </c>
      <c r="N811" t="s">
        <v>159</v>
      </c>
      <c r="R811" t="s">
        <v>1818</v>
      </c>
      <c r="S811" t="s">
        <v>1827</v>
      </c>
      <c r="T811" t="s">
        <v>45</v>
      </c>
      <c r="U811" t="s">
        <v>1437</v>
      </c>
      <c r="V811" t="s">
        <v>486</v>
      </c>
      <c r="W811" t="s">
        <v>1829</v>
      </c>
    </row>
    <row r="812" spans="1:23" ht="15" customHeight="1" x14ac:dyDescent="0.3">
      <c r="A812" t="s">
        <v>8</v>
      </c>
      <c r="B812">
        <v>84</v>
      </c>
      <c r="C812" t="s">
        <v>477</v>
      </c>
      <c r="D812" t="s">
        <v>478</v>
      </c>
      <c r="E812" t="s">
        <v>34</v>
      </c>
      <c r="F812" t="s">
        <v>479</v>
      </c>
      <c r="G812" t="s">
        <v>36</v>
      </c>
      <c r="H812" t="s">
        <v>425</v>
      </c>
      <c r="I812" t="s">
        <v>478</v>
      </c>
      <c r="J812" t="s">
        <v>1827</v>
      </c>
      <c r="K812" s="21" t="s">
        <v>1828</v>
      </c>
      <c r="L812" s="21" t="s">
        <v>482</v>
      </c>
      <c r="M812" t="s">
        <v>483</v>
      </c>
      <c r="N812" t="s">
        <v>159</v>
      </c>
      <c r="R812" t="s">
        <v>1819</v>
      </c>
      <c r="S812" t="s">
        <v>1827</v>
      </c>
      <c r="T812" t="s">
        <v>45</v>
      </c>
      <c r="U812" t="s">
        <v>1437</v>
      </c>
      <c r="V812" t="s">
        <v>486</v>
      </c>
      <c r="W812" t="s">
        <v>1829</v>
      </c>
    </row>
    <row r="813" spans="1:23" ht="15" customHeight="1" x14ac:dyDescent="0.3">
      <c r="A813" t="s">
        <v>8</v>
      </c>
      <c r="B813">
        <v>84</v>
      </c>
      <c r="C813" t="s">
        <v>477</v>
      </c>
      <c r="D813" t="s">
        <v>478</v>
      </c>
      <c r="E813" t="s">
        <v>34</v>
      </c>
      <c r="F813" t="s">
        <v>479</v>
      </c>
      <c r="G813" t="s">
        <v>36</v>
      </c>
      <c r="H813" t="s">
        <v>425</v>
      </c>
      <c r="I813" t="s">
        <v>478</v>
      </c>
      <c r="J813" t="s">
        <v>1827</v>
      </c>
      <c r="K813" s="21" t="s">
        <v>1828</v>
      </c>
      <c r="L813" s="21" t="s">
        <v>482</v>
      </c>
      <c r="M813" t="s">
        <v>483</v>
      </c>
      <c r="N813" t="s">
        <v>159</v>
      </c>
      <c r="R813" t="s">
        <v>1820</v>
      </c>
      <c r="S813" t="s">
        <v>1827</v>
      </c>
      <c r="T813" t="s">
        <v>45</v>
      </c>
      <c r="U813" t="s">
        <v>1437</v>
      </c>
      <c r="V813" t="s">
        <v>486</v>
      </c>
      <c r="W813" t="s">
        <v>1829</v>
      </c>
    </row>
    <row r="814" spans="1:23" ht="15" customHeight="1" x14ac:dyDescent="0.3">
      <c r="A814" t="s">
        <v>8</v>
      </c>
      <c r="B814">
        <v>84</v>
      </c>
      <c r="C814" t="s">
        <v>477</v>
      </c>
      <c r="D814" t="s">
        <v>478</v>
      </c>
      <c r="E814" t="s">
        <v>34</v>
      </c>
      <c r="F814" t="s">
        <v>479</v>
      </c>
      <c r="G814" t="s">
        <v>36</v>
      </c>
      <c r="H814" t="s">
        <v>996</v>
      </c>
      <c r="I814" t="s">
        <v>478</v>
      </c>
      <c r="J814" t="s">
        <v>1830</v>
      </c>
      <c r="K814" s="21" t="s">
        <v>1831</v>
      </c>
      <c r="L814" s="21" t="s">
        <v>482</v>
      </c>
      <c r="M814" t="s">
        <v>483</v>
      </c>
      <c r="N814" t="s">
        <v>159</v>
      </c>
      <c r="R814" t="s">
        <v>1815</v>
      </c>
      <c r="S814" t="s">
        <v>1830</v>
      </c>
      <c r="T814" t="s">
        <v>45</v>
      </c>
      <c r="U814" t="s">
        <v>1416</v>
      </c>
      <c r="V814" t="s">
        <v>486</v>
      </c>
      <c r="W814" t="s">
        <v>1832</v>
      </c>
    </row>
    <row r="815" spans="1:23" ht="15" customHeight="1" x14ac:dyDescent="0.3">
      <c r="A815" t="s">
        <v>8</v>
      </c>
      <c r="B815">
        <v>84</v>
      </c>
      <c r="C815" t="s">
        <v>477</v>
      </c>
      <c r="D815" t="s">
        <v>478</v>
      </c>
      <c r="E815" t="s">
        <v>34</v>
      </c>
      <c r="F815" t="s">
        <v>479</v>
      </c>
      <c r="G815" t="s">
        <v>36</v>
      </c>
      <c r="H815" t="s">
        <v>996</v>
      </c>
      <c r="I815" t="s">
        <v>478</v>
      </c>
      <c r="J815" t="s">
        <v>1830</v>
      </c>
      <c r="K815" s="21" t="s">
        <v>1831</v>
      </c>
      <c r="L815" s="21" t="s">
        <v>482</v>
      </c>
      <c r="M815" t="s">
        <v>483</v>
      </c>
      <c r="N815" t="s">
        <v>159</v>
      </c>
      <c r="R815" t="s">
        <v>1816</v>
      </c>
      <c r="S815" t="s">
        <v>1830</v>
      </c>
      <c r="T815" t="s">
        <v>45</v>
      </c>
      <c r="U815" t="s">
        <v>1416</v>
      </c>
      <c r="V815" t="s">
        <v>486</v>
      </c>
      <c r="W815" t="s">
        <v>1832</v>
      </c>
    </row>
    <row r="816" spans="1:23" ht="15" customHeight="1" x14ac:dyDescent="0.3">
      <c r="A816" t="s">
        <v>8</v>
      </c>
      <c r="B816">
        <v>84</v>
      </c>
      <c r="C816" t="s">
        <v>477</v>
      </c>
      <c r="D816" t="s">
        <v>478</v>
      </c>
      <c r="E816" t="s">
        <v>34</v>
      </c>
      <c r="F816" t="s">
        <v>479</v>
      </c>
      <c r="G816" t="s">
        <v>36</v>
      </c>
      <c r="H816" t="s">
        <v>996</v>
      </c>
      <c r="I816" t="s">
        <v>478</v>
      </c>
      <c r="J816" t="s">
        <v>1830</v>
      </c>
      <c r="K816" s="21" t="s">
        <v>1831</v>
      </c>
      <c r="L816" s="21" t="s">
        <v>482</v>
      </c>
      <c r="M816" t="s">
        <v>483</v>
      </c>
      <c r="N816" t="s">
        <v>159</v>
      </c>
      <c r="R816" t="s">
        <v>1817</v>
      </c>
      <c r="S816" t="s">
        <v>1830</v>
      </c>
      <c r="T816" t="s">
        <v>45</v>
      </c>
      <c r="U816" t="s">
        <v>1416</v>
      </c>
      <c r="V816" t="s">
        <v>486</v>
      </c>
      <c r="W816" t="s">
        <v>1832</v>
      </c>
    </row>
    <row r="817" spans="1:23" ht="15" customHeight="1" x14ac:dyDescent="0.3">
      <c r="A817" t="s">
        <v>8</v>
      </c>
      <c r="B817">
        <v>84</v>
      </c>
      <c r="C817" t="s">
        <v>477</v>
      </c>
      <c r="D817" t="s">
        <v>478</v>
      </c>
      <c r="E817" t="s">
        <v>34</v>
      </c>
      <c r="F817" t="s">
        <v>479</v>
      </c>
      <c r="G817" t="s">
        <v>36</v>
      </c>
      <c r="H817" t="s">
        <v>996</v>
      </c>
      <c r="I817" t="s">
        <v>478</v>
      </c>
      <c r="J817" t="s">
        <v>1830</v>
      </c>
      <c r="K817" s="21" t="s">
        <v>1831</v>
      </c>
      <c r="L817" s="21" t="s">
        <v>482</v>
      </c>
      <c r="M817" t="s">
        <v>483</v>
      </c>
      <c r="N817" t="s">
        <v>159</v>
      </c>
      <c r="R817" t="s">
        <v>1818</v>
      </c>
      <c r="S817" t="s">
        <v>1830</v>
      </c>
      <c r="T817" t="s">
        <v>45</v>
      </c>
      <c r="U817" t="s">
        <v>1416</v>
      </c>
      <c r="V817" t="s">
        <v>486</v>
      </c>
      <c r="W817" t="s">
        <v>1832</v>
      </c>
    </row>
    <row r="818" spans="1:23" ht="15" customHeight="1" x14ac:dyDescent="0.3">
      <c r="A818" t="s">
        <v>8</v>
      </c>
      <c r="B818">
        <v>84</v>
      </c>
      <c r="C818" t="s">
        <v>477</v>
      </c>
      <c r="D818" t="s">
        <v>478</v>
      </c>
      <c r="E818" t="s">
        <v>34</v>
      </c>
      <c r="F818" t="s">
        <v>479</v>
      </c>
      <c r="G818" t="s">
        <v>36</v>
      </c>
      <c r="H818" t="s">
        <v>996</v>
      </c>
      <c r="I818" t="s">
        <v>478</v>
      </c>
      <c r="J818" t="s">
        <v>1830</v>
      </c>
      <c r="K818" s="21" t="s">
        <v>1831</v>
      </c>
      <c r="L818" s="21" t="s">
        <v>482</v>
      </c>
      <c r="M818" t="s">
        <v>483</v>
      </c>
      <c r="N818" t="s">
        <v>159</v>
      </c>
      <c r="R818" t="s">
        <v>1819</v>
      </c>
      <c r="S818" t="s">
        <v>1830</v>
      </c>
      <c r="T818" t="s">
        <v>45</v>
      </c>
      <c r="U818" t="s">
        <v>1416</v>
      </c>
      <c r="V818" t="s">
        <v>486</v>
      </c>
      <c r="W818" t="s">
        <v>1832</v>
      </c>
    </row>
    <row r="819" spans="1:23" ht="15" customHeight="1" x14ac:dyDescent="0.3">
      <c r="A819" t="s">
        <v>8</v>
      </c>
      <c r="B819">
        <v>84</v>
      </c>
      <c r="C819" t="s">
        <v>477</v>
      </c>
      <c r="D819" t="s">
        <v>478</v>
      </c>
      <c r="E819" t="s">
        <v>34</v>
      </c>
      <c r="F819" t="s">
        <v>479</v>
      </c>
      <c r="G819" t="s">
        <v>36</v>
      </c>
      <c r="H819" t="s">
        <v>996</v>
      </c>
      <c r="I819" t="s">
        <v>478</v>
      </c>
      <c r="J819" t="s">
        <v>1830</v>
      </c>
      <c r="K819" s="21" t="s">
        <v>1831</v>
      </c>
      <c r="L819" s="21" t="s">
        <v>482</v>
      </c>
      <c r="M819" t="s">
        <v>483</v>
      </c>
      <c r="N819" t="s">
        <v>159</v>
      </c>
      <c r="R819" t="s">
        <v>1820</v>
      </c>
      <c r="S819" t="s">
        <v>1830</v>
      </c>
      <c r="T819" t="s">
        <v>45</v>
      </c>
      <c r="U819" t="s">
        <v>1416</v>
      </c>
      <c r="V819" t="s">
        <v>486</v>
      </c>
      <c r="W819" t="s">
        <v>1832</v>
      </c>
    </row>
    <row r="820" spans="1:23" ht="15" customHeight="1" x14ac:dyDescent="0.3">
      <c r="A820" t="s">
        <v>8</v>
      </c>
      <c r="B820">
        <v>84</v>
      </c>
      <c r="C820" t="s">
        <v>477</v>
      </c>
      <c r="D820" t="s">
        <v>478</v>
      </c>
      <c r="E820" t="s">
        <v>34</v>
      </c>
      <c r="F820" t="s">
        <v>479</v>
      </c>
      <c r="G820" t="s">
        <v>36</v>
      </c>
      <c r="H820" t="s">
        <v>1000</v>
      </c>
      <c r="I820" t="s">
        <v>478</v>
      </c>
      <c r="J820" t="s">
        <v>1833</v>
      </c>
      <c r="K820" s="21" t="s">
        <v>1834</v>
      </c>
      <c r="L820" s="21" t="s">
        <v>482</v>
      </c>
      <c r="M820" t="s">
        <v>483</v>
      </c>
      <c r="N820" t="s">
        <v>159</v>
      </c>
      <c r="R820" t="s">
        <v>1815</v>
      </c>
      <c r="S820" t="s">
        <v>1833</v>
      </c>
      <c r="T820" t="s">
        <v>1544</v>
      </c>
      <c r="U820" t="s">
        <v>1501</v>
      </c>
      <c r="V820" t="s">
        <v>486</v>
      </c>
      <c r="W820" t="s">
        <v>1835</v>
      </c>
    </row>
    <row r="821" spans="1:23" ht="15" customHeight="1" x14ac:dyDescent="0.3">
      <c r="A821" t="s">
        <v>8</v>
      </c>
      <c r="B821">
        <v>84</v>
      </c>
      <c r="C821" t="s">
        <v>477</v>
      </c>
      <c r="D821" t="s">
        <v>478</v>
      </c>
      <c r="E821" t="s">
        <v>34</v>
      </c>
      <c r="F821" t="s">
        <v>479</v>
      </c>
      <c r="G821" t="s">
        <v>36</v>
      </c>
      <c r="H821" t="s">
        <v>1000</v>
      </c>
      <c r="I821" t="s">
        <v>478</v>
      </c>
      <c r="J821" t="s">
        <v>1833</v>
      </c>
      <c r="K821" s="21" t="s">
        <v>1834</v>
      </c>
      <c r="L821" s="21" t="s">
        <v>482</v>
      </c>
      <c r="M821" t="s">
        <v>483</v>
      </c>
      <c r="N821" t="s">
        <v>159</v>
      </c>
      <c r="R821" t="s">
        <v>1816</v>
      </c>
      <c r="S821" t="s">
        <v>1833</v>
      </c>
      <c r="T821" t="s">
        <v>1544</v>
      </c>
      <c r="U821" t="s">
        <v>1501</v>
      </c>
      <c r="V821" t="s">
        <v>486</v>
      </c>
      <c r="W821" t="s">
        <v>1835</v>
      </c>
    </row>
    <row r="822" spans="1:23" ht="15" customHeight="1" x14ac:dyDescent="0.3">
      <c r="A822" t="s">
        <v>8</v>
      </c>
      <c r="B822">
        <v>84</v>
      </c>
      <c r="C822" t="s">
        <v>477</v>
      </c>
      <c r="D822" t="s">
        <v>478</v>
      </c>
      <c r="E822" t="s">
        <v>34</v>
      </c>
      <c r="F822" t="s">
        <v>479</v>
      </c>
      <c r="G822" t="s">
        <v>36</v>
      </c>
      <c r="H822" t="s">
        <v>1000</v>
      </c>
      <c r="I822" t="s">
        <v>478</v>
      </c>
      <c r="J822" t="s">
        <v>1833</v>
      </c>
      <c r="K822" s="21" t="s">
        <v>1834</v>
      </c>
      <c r="L822" s="21" t="s">
        <v>482</v>
      </c>
      <c r="M822" t="s">
        <v>483</v>
      </c>
      <c r="N822" t="s">
        <v>159</v>
      </c>
      <c r="R822" t="s">
        <v>1817</v>
      </c>
      <c r="S822" t="s">
        <v>1833</v>
      </c>
      <c r="T822" t="s">
        <v>1544</v>
      </c>
      <c r="U822" t="s">
        <v>1501</v>
      </c>
      <c r="V822" t="s">
        <v>486</v>
      </c>
      <c r="W822" t="s">
        <v>1835</v>
      </c>
    </row>
    <row r="823" spans="1:23" ht="15" customHeight="1" x14ac:dyDescent="0.3">
      <c r="A823" t="s">
        <v>8</v>
      </c>
      <c r="B823">
        <v>84</v>
      </c>
      <c r="C823" t="s">
        <v>477</v>
      </c>
      <c r="D823" t="s">
        <v>478</v>
      </c>
      <c r="E823" t="s">
        <v>34</v>
      </c>
      <c r="F823" t="s">
        <v>479</v>
      </c>
      <c r="G823" t="s">
        <v>36</v>
      </c>
      <c r="H823" t="s">
        <v>1000</v>
      </c>
      <c r="I823" t="s">
        <v>478</v>
      </c>
      <c r="J823" t="s">
        <v>1833</v>
      </c>
      <c r="K823" s="21" t="s">
        <v>1834</v>
      </c>
      <c r="L823" s="21" t="s">
        <v>482</v>
      </c>
      <c r="M823" t="s">
        <v>483</v>
      </c>
      <c r="N823" t="s">
        <v>159</v>
      </c>
      <c r="R823" t="s">
        <v>1818</v>
      </c>
      <c r="S823" t="s">
        <v>1833</v>
      </c>
      <c r="T823" t="s">
        <v>1544</v>
      </c>
      <c r="U823" t="s">
        <v>1501</v>
      </c>
      <c r="V823" t="s">
        <v>486</v>
      </c>
      <c r="W823" t="s">
        <v>1835</v>
      </c>
    </row>
    <row r="824" spans="1:23" ht="15" customHeight="1" x14ac:dyDescent="0.3">
      <c r="A824" t="s">
        <v>8</v>
      </c>
      <c r="B824">
        <v>84</v>
      </c>
      <c r="C824" t="s">
        <v>477</v>
      </c>
      <c r="D824" t="s">
        <v>478</v>
      </c>
      <c r="E824" t="s">
        <v>34</v>
      </c>
      <c r="F824" t="s">
        <v>479</v>
      </c>
      <c r="G824" t="s">
        <v>36</v>
      </c>
      <c r="H824" t="s">
        <v>1000</v>
      </c>
      <c r="I824" t="s">
        <v>478</v>
      </c>
      <c r="J824" t="s">
        <v>1833</v>
      </c>
      <c r="K824" s="21" t="s">
        <v>1834</v>
      </c>
      <c r="L824" s="21" t="s">
        <v>482</v>
      </c>
      <c r="M824" t="s">
        <v>483</v>
      </c>
      <c r="N824" t="s">
        <v>159</v>
      </c>
      <c r="R824" t="s">
        <v>1819</v>
      </c>
      <c r="S824" t="s">
        <v>1833</v>
      </c>
      <c r="T824" t="s">
        <v>1544</v>
      </c>
      <c r="U824" t="s">
        <v>1501</v>
      </c>
      <c r="V824" t="s">
        <v>486</v>
      </c>
      <c r="W824" t="s">
        <v>1835</v>
      </c>
    </row>
    <row r="825" spans="1:23" ht="15" customHeight="1" x14ac:dyDescent="0.3">
      <c r="A825" t="s">
        <v>8</v>
      </c>
      <c r="B825">
        <v>84</v>
      </c>
      <c r="C825" t="s">
        <v>477</v>
      </c>
      <c r="D825" t="s">
        <v>478</v>
      </c>
      <c r="E825" t="s">
        <v>34</v>
      </c>
      <c r="F825" t="s">
        <v>479</v>
      </c>
      <c r="G825" t="s">
        <v>36</v>
      </c>
      <c r="H825" t="s">
        <v>1000</v>
      </c>
      <c r="I825" t="s">
        <v>478</v>
      </c>
      <c r="J825" t="s">
        <v>1833</v>
      </c>
      <c r="K825" s="21" t="s">
        <v>1834</v>
      </c>
      <c r="L825" s="21" t="s">
        <v>482</v>
      </c>
      <c r="M825" t="s">
        <v>483</v>
      </c>
      <c r="N825" t="s">
        <v>159</v>
      </c>
      <c r="R825" t="s">
        <v>1820</v>
      </c>
      <c r="S825" t="s">
        <v>1833</v>
      </c>
      <c r="T825" t="s">
        <v>1544</v>
      </c>
      <c r="U825" t="s">
        <v>1501</v>
      </c>
      <c r="V825" t="s">
        <v>486</v>
      </c>
      <c r="W825" t="s">
        <v>1835</v>
      </c>
    </row>
    <row r="826" spans="1:23" ht="15" customHeight="1" x14ac:dyDescent="0.3">
      <c r="A826" t="s">
        <v>8</v>
      </c>
      <c r="B826">
        <v>84</v>
      </c>
      <c r="C826" t="s">
        <v>477</v>
      </c>
      <c r="D826" t="s">
        <v>478</v>
      </c>
      <c r="E826" t="s">
        <v>34</v>
      </c>
      <c r="F826" t="s">
        <v>479</v>
      </c>
      <c r="G826" t="s">
        <v>36</v>
      </c>
      <c r="H826" t="s">
        <v>1272</v>
      </c>
      <c r="I826" t="s">
        <v>478</v>
      </c>
      <c r="J826" t="s">
        <v>1836</v>
      </c>
      <c r="K826" s="21" t="s">
        <v>1837</v>
      </c>
      <c r="L826" s="21" t="s">
        <v>482</v>
      </c>
      <c r="M826" t="s">
        <v>483</v>
      </c>
      <c r="N826" t="s">
        <v>159</v>
      </c>
      <c r="R826" t="s">
        <v>1815</v>
      </c>
      <c r="S826" t="s">
        <v>1836</v>
      </c>
      <c r="T826" t="s">
        <v>1544</v>
      </c>
      <c r="U826" t="s">
        <v>1511</v>
      </c>
      <c r="V826" t="s">
        <v>486</v>
      </c>
      <c r="W826" t="s">
        <v>1838</v>
      </c>
    </row>
    <row r="827" spans="1:23" ht="15" customHeight="1" x14ac:dyDescent="0.3">
      <c r="A827" t="s">
        <v>8</v>
      </c>
      <c r="B827">
        <v>84</v>
      </c>
      <c r="C827" t="s">
        <v>477</v>
      </c>
      <c r="D827" t="s">
        <v>478</v>
      </c>
      <c r="E827" t="s">
        <v>34</v>
      </c>
      <c r="F827" t="s">
        <v>479</v>
      </c>
      <c r="G827" t="s">
        <v>36</v>
      </c>
      <c r="H827" t="s">
        <v>1272</v>
      </c>
      <c r="I827" t="s">
        <v>478</v>
      </c>
      <c r="J827" t="s">
        <v>1836</v>
      </c>
      <c r="K827" s="21" t="s">
        <v>1837</v>
      </c>
      <c r="L827" s="21" t="s">
        <v>482</v>
      </c>
      <c r="M827" t="s">
        <v>483</v>
      </c>
      <c r="N827" t="s">
        <v>159</v>
      </c>
      <c r="R827" t="s">
        <v>1816</v>
      </c>
      <c r="S827" t="s">
        <v>1836</v>
      </c>
      <c r="T827" t="s">
        <v>1544</v>
      </c>
      <c r="U827" t="s">
        <v>1511</v>
      </c>
      <c r="V827" t="s">
        <v>486</v>
      </c>
      <c r="W827" t="s">
        <v>1838</v>
      </c>
    </row>
    <row r="828" spans="1:23" ht="15" customHeight="1" x14ac:dyDescent="0.3">
      <c r="A828" t="s">
        <v>8</v>
      </c>
      <c r="B828">
        <v>84</v>
      </c>
      <c r="C828" t="s">
        <v>477</v>
      </c>
      <c r="D828" t="s">
        <v>478</v>
      </c>
      <c r="E828" t="s">
        <v>34</v>
      </c>
      <c r="F828" t="s">
        <v>479</v>
      </c>
      <c r="G828" t="s">
        <v>36</v>
      </c>
      <c r="H828" t="s">
        <v>1272</v>
      </c>
      <c r="I828" t="s">
        <v>478</v>
      </c>
      <c r="J828" t="s">
        <v>1836</v>
      </c>
      <c r="K828" s="21" t="s">
        <v>1837</v>
      </c>
      <c r="L828" s="21" t="s">
        <v>482</v>
      </c>
      <c r="M828" t="s">
        <v>483</v>
      </c>
      <c r="N828" t="s">
        <v>159</v>
      </c>
      <c r="R828" t="s">
        <v>1817</v>
      </c>
      <c r="S828" t="s">
        <v>1836</v>
      </c>
      <c r="T828" t="s">
        <v>1544</v>
      </c>
      <c r="U828" t="s">
        <v>1511</v>
      </c>
      <c r="V828" t="s">
        <v>486</v>
      </c>
      <c r="W828" t="s">
        <v>1838</v>
      </c>
    </row>
    <row r="829" spans="1:23" ht="15" customHeight="1" x14ac:dyDescent="0.3">
      <c r="A829" t="s">
        <v>8</v>
      </c>
      <c r="B829">
        <v>84</v>
      </c>
      <c r="C829" t="s">
        <v>477</v>
      </c>
      <c r="D829" t="s">
        <v>478</v>
      </c>
      <c r="E829" t="s">
        <v>34</v>
      </c>
      <c r="F829" t="s">
        <v>479</v>
      </c>
      <c r="G829" t="s">
        <v>36</v>
      </c>
      <c r="H829" t="s">
        <v>1272</v>
      </c>
      <c r="I829" t="s">
        <v>478</v>
      </c>
      <c r="J829" t="s">
        <v>1836</v>
      </c>
      <c r="K829" s="21" t="s">
        <v>1837</v>
      </c>
      <c r="L829" s="21" t="s">
        <v>482</v>
      </c>
      <c r="M829" t="s">
        <v>483</v>
      </c>
      <c r="N829" t="s">
        <v>159</v>
      </c>
      <c r="R829" t="s">
        <v>1818</v>
      </c>
      <c r="S829" t="s">
        <v>1836</v>
      </c>
      <c r="T829" t="s">
        <v>1544</v>
      </c>
      <c r="U829" t="s">
        <v>1511</v>
      </c>
      <c r="V829" t="s">
        <v>486</v>
      </c>
      <c r="W829" t="s">
        <v>1838</v>
      </c>
    </row>
    <row r="830" spans="1:23" ht="15" customHeight="1" x14ac:dyDescent="0.3">
      <c r="A830" t="s">
        <v>8</v>
      </c>
      <c r="B830">
        <v>84</v>
      </c>
      <c r="C830" t="s">
        <v>477</v>
      </c>
      <c r="D830" t="s">
        <v>478</v>
      </c>
      <c r="E830" t="s">
        <v>34</v>
      </c>
      <c r="F830" t="s">
        <v>479</v>
      </c>
      <c r="G830" t="s">
        <v>36</v>
      </c>
      <c r="H830" t="s">
        <v>1272</v>
      </c>
      <c r="I830" t="s">
        <v>478</v>
      </c>
      <c r="J830" t="s">
        <v>1836</v>
      </c>
      <c r="K830" s="21" t="s">
        <v>1837</v>
      </c>
      <c r="L830" s="21" t="s">
        <v>482</v>
      </c>
      <c r="M830" t="s">
        <v>483</v>
      </c>
      <c r="N830" t="s">
        <v>159</v>
      </c>
      <c r="R830" t="s">
        <v>1819</v>
      </c>
      <c r="S830" t="s">
        <v>1836</v>
      </c>
      <c r="T830" t="s">
        <v>1544</v>
      </c>
      <c r="U830" t="s">
        <v>1511</v>
      </c>
      <c r="V830" t="s">
        <v>486</v>
      </c>
      <c r="W830" t="s">
        <v>1838</v>
      </c>
    </row>
    <row r="831" spans="1:23" ht="15" customHeight="1" x14ac:dyDescent="0.3">
      <c r="A831" t="s">
        <v>8</v>
      </c>
      <c r="B831">
        <v>84</v>
      </c>
      <c r="C831" t="s">
        <v>477</v>
      </c>
      <c r="D831" t="s">
        <v>478</v>
      </c>
      <c r="E831" t="s">
        <v>34</v>
      </c>
      <c r="F831" t="s">
        <v>479</v>
      </c>
      <c r="G831" t="s">
        <v>36</v>
      </c>
      <c r="H831" t="s">
        <v>1272</v>
      </c>
      <c r="I831" t="s">
        <v>478</v>
      </c>
      <c r="J831" t="s">
        <v>1836</v>
      </c>
      <c r="K831" s="21" t="s">
        <v>1837</v>
      </c>
      <c r="L831" s="21" t="s">
        <v>482</v>
      </c>
      <c r="M831" t="s">
        <v>483</v>
      </c>
      <c r="N831" t="s">
        <v>159</v>
      </c>
      <c r="R831" t="s">
        <v>1820</v>
      </c>
      <c r="S831" t="s">
        <v>1836</v>
      </c>
      <c r="T831" t="s">
        <v>1544</v>
      </c>
      <c r="U831" t="s">
        <v>1511</v>
      </c>
      <c r="V831" t="s">
        <v>486</v>
      </c>
      <c r="W831" t="s">
        <v>1838</v>
      </c>
    </row>
    <row r="832" spans="1:23" ht="15" customHeight="1" x14ac:dyDescent="0.3">
      <c r="A832" t="s">
        <v>8</v>
      </c>
      <c r="B832">
        <v>84</v>
      </c>
      <c r="C832" t="s">
        <v>477</v>
      </c>
      <c r="D832" t="s">
        <v>478</v>
      </c>
      <c r="E832" t="s">
        <v>34</v>
      </c>
      <c r="F832" t="s">
        <v>479</v>
      </c>
      <c r="G832" t="s">
        <v>36</v>
      </c>
      <c r="H832" t="s">
        <v>1276</v>
      </c>
      <c r="I832" t="s">
        <v>478</v>
      </c>
      <c r="J832" t="s">
        <v>1839</v>
      </c>
      <c r="K832" s="21" t="s">
        <v>1840</v>
      </c>
      <c r="L832" s="21" t="s">
        <v>482</v>
      </c>
      <c r="M832" t="s">
        <v>483</v>
      </c>
      <c r="N832" t="s">
        <v>159</v>
      </c>
      <c r="R832" t="s">
        <v>1815</v>
      </c>
      <c r="S832" t="s">
        <v>1839</v>
      </c>
      <c r="T832" t="s">
        <v>1249</v>
      </c>
      <c r="U832" t="s">
        <v>1473</v>
      </c>
      <c r="V832" t="s">
        <v>486</v>
      </c>
      <c r="W832" t="s">
        <v>1841</v>
      </c>
    </row>
    <row r="833" spans="1:23" ht="15" customHeight="1" x14ac:dyDescent="0.3">
      <c r="A833" t="s">
        <v>8</v>
      </c>
      <c r="B833">
        <v>84</v>
      </c>
      <c r="C833" t="s">
        <v>477</v>
      </c>
      <c r="D833" t="s">
        <v>478</v>
      </c>
      <c r="E833" t="s">
        <v>34</v>
      </c>
      <c r="F833" t="s">
        <v>479</v>
      </c>
      <c r="G833" t="s">
        <v>36</v>
      </c>
      <c r="H833" t="s">
        <v>1276</v>
      </c>
      <c r="I833" t="s">
        <v>478</v>
      </c>
      <c r="J833" t="s">
        <v>1839</v>
      </c>
      <c r="K833" s="21" t="s">
        <v>1840</v>
      </c>
      <c r="L833" s="21" t="s">
        <v>482</v>
      </c>
      <c r="M833" t="s">
        <v>483</v>
      </c>
      <c r="N833" t="s">
        <v>159</v>
      </c>
      <c r="R833" t="s">
        <v>1816</v>
      </c>
      <c r="S833" t="s">
        <v>1839</v>
      </c>
      <c r="T833" t="s">
        <v>1249</v>
      </c>
      <c r="U833" t="s">
        <v>1473</v>
      </c>
      <c r="V833" t="s">
        <v>486</v>
      </c>
      <c r="W833" t="s">
        <v>1841</v>
      </c>
    </row>
    <row r="834" spans="1:23" ht="15" customHeight="1" x14ac:dyDescent="0.3">
      <c r="A834" t="s">
        <v>8</v>
      </c>
      <c r="B834">
        <v>84</v>
      </c>
      <c r="C834" t="s">
        <v>477</v>
      </c>
      <c r="D834" t="s">
        <v>478</v>
      </c>
      <c r="E834" t="s">
        <v>34</v>
      </c>
      <c r="F834" t="s">
        <v>479</v>
      </c>
      <c r="G834" t="s">
        <v>36</v>
      </c>
      <c r="H834" t="s">
        <v>1276</v>
      </c>
      <c r="I834" t="s">
        <v>478</v>
      </c>
      <c r="J834" t="s">
        <v>1839</v>
      </c>
      <c r="K834" s="21" t="s">
        <v>1840</v>
      </c>
      <c r="L834" s="21" t="s">
        <v>482</v>
      </c>
      <c r="M834" t="s">
        <v>483</v>
      </c>
      <c r="N834" t="s">
        <v>159</v>
      </c>
      <c r="R834" t="s">
        <v>1817</v>
      </c>
      <c r="S834" t="s">
        <v>1839</v>
      </c>
      <c r="T834" t="s">
        <v>1249</v>
      </c>
      <c r="U834" t="s">
        <v>1473</v>
      </c>
      <c r="V834" t="s">
        <v>486</v>
      </c>
      <c r="W834" t="s">
        <v>1841</v>
      </c>
    </row>
    <row r="835" spans="1:23" ht="15" customHeight="1" x14ac:dyDescent="0.3">
      <c r="A835" t="s">
        <v>8</v>
      </c>
      <c r="B835">
        <v>84</v>
      </c>
      <c r="C835" t="s">
        <v>477</v>
      </c>
      <c r="D835" t="s">
        <v>478</v>
      </c>
      <c r="E835" t="s">
        <v>34</v>
      </c>
      <c r="F835" t="s">
        <v>479</v>
      </c>
      <c r="G835" t="s">
        <v>36</v>
      </c>
      <c r="H835" t="s">
        <v>1276</v>
      </c>
      <c r="I835" t="s">
        <v>478</v>
      </c>
      <c r="J835" t="s">
        <v>1839</v>
      </c>
      <c r="K835" s="21" t="s">
        <v>1840</v>
      </c>
      <c r="L835" s="21" t="s">
        <v>482</v>
      </c>
      <c r="M835" t="s">
        <v>483</v>
      </c>
      <c r="N835" t="s">
        <v>159</v>
      </c>
      <c r="R835" t="s">
        <v>1818</v>
      </c>
      <c r="S835" t="s">
        <v>1839</v>
      </c>
      <c r="T835" t="s">
        <v>1249</v>
      </c>
      <c r="U835" t="s">
        <v>1473</v>
      </c>
      <c r="V835" t="s">
        <v>486</v>
      </c>
      <c r="W835" t="s">
        <v>1841</v>
      </c>
    </row>
    <row r="836" spans="1:23" ht="15" customHeight="1" x14ac:dyDescent="0.3">
      <c r="A836" t="s">
        <v>8</v>
      </c>
      <c r="B836">
        <v>84</v>
      </c>
      <c r="C836" t="s">
        <v>477</v>
      </c>
      <c r="D836" t="s">
        <v>478</v>
      </c>
      <c r="E836" t="s">
        <v>34</v>
      </c>
      <c r="F836" t="s">
        <v>479</v>
      </c>
      <c r="G836" t="s">
        <v>36</v>
      </c>
      <c r="H836" t="s">
        <v>1276</v>
      </c>
      <c r="I836" t="s">
        <v>478</v>
      </c>
      <c r="J836" t="s">
        <v>1839</v>
      </c>
      <c r="K836" s="21" t="s">
        <v>1840</v>
      </c>
      <c r="L836" s="21" t="s">
        <v>482</v>
      </c>
      <c r="M836" t="s">
        <v>483</v>
      </c>
      <c r="N836" t="s">
        <v>159</v>
      </c>
      <c r="R836" t="s">
        <v>1819</v>
      </c>
      <c r="S836" t="s">
        <v>1839</v>
      </c>
      <c r="T836" t="s">
        <v>1249</v>
      </c>
      <c r="U836" t="s">
        <v>1473</v>
      </c>
      <c r="V836" t="s">
        <v>486</v>
      </c>
      <c r="W836" t="s">
        <v>1841</v>
      </c>
    </row>
    <row r="837" spans="1:23" ht="15" customHeight="1" x14ac:dyDescent="0.3">
      <c r="A837" t="s">
        <v>8</v>
      </c>
      <c r="B837">
        <v>84</v>
      </c>
      <c r="C837" t="s">
        <v>477</v>
      </c>
      <c r="D837" t="s">
        <v>478</v>
      </c>
      <c r="E837" t="s">
        <v>34</v>
      </c>
      <c r="F837" t="s">
        <v>479</v>
      </c>
      <c r="G837" t="s">
        <v>36</v>
      </c>
      <c r="H837" t="s">
        <v>1276</v>
      </c>
      <c r="I837" t="s">
        <v>478</v>
      </c>
      <c r="J837" t="s">
        <v>1839</v>
      </c>
      <c r="K837" s="21" t="s">
        <v>1840</v>
      </c>
      <c r="L837" s="21" t="s">
        <v>482</v>
      </c>
      <c r="M837" t="s">
        <v>483</v>
      </c>
      <c r="N837" t="s">
        <v>159</v>
      </c>
      <c r="R837" t="s">
        <v>1820</v>
      </c>
      <c r="S837" t="s">
        <v>1839</v>
      </c>
      <c r="T837" t="s">
        <v>1249</v>
      </c>
      <c r="U837" t="s">
        <v>1473</v>
      </c>
      <c r="V837" t="s">
        <v>486</v>
      </c>
      <c r="W837" t="s">
        <v>1841</v>
      </c>
    </row>
    <row r="838" spans="1:23" ht="15" customHeight="1" x14ac:dyDescent="0.3">
      <c r="A838" t="s">
        <v>8</v>
      </c>
      <c r="B838">
        <v>85</v>
      </c>
      <c r="C838" t="s">
        <v>477</v>
      </c>
      <c r="D838" t="s">
        <v>503</v>
      </c>
      <c r="E838" t="s">
        <v>34</v>
      </c>
      <c r="F838" t="s">
        <v>505</v>
      </c>
      <c r="G838" t="s">
        <v>440</v>
      </c>
      <c r="H838" t="s">
        <v>37</v>
      </c>
      <c r="I838" t="s">
        <v>503</v>
      </c>
      <c r="J838" t="s">
        <v>507</v>
      </c>
      <c r="K838" t="s">
        <v>508</v>
      </c>
      <c r="L838" s="21" t="s">
        <v>509</v>
      </c>
      <c r="M838" t="s">
        <v>510</v>
      </c>
      <c r="N838" t="s">
        <v>159</v>
      </c>
      <c r="R838" t="s">
        <v>1842</v>
      </c>
      <c r="S838" t="s">
        <v>507</v>
      </c>
      <c r="T838" t="s">
        <v>45</v>
      </c>
      <c r="U838" t="s">
        <v>46</v>
      </c>
      <c r="V838" t="s">
        <v>513</v>
      </c>
      <c r="W838" t="s">
        <v>514</v>
      </c>
    </row>
    <row r="839" spans="1:23" ht="15" customHeight="1" x14ac:dyDescent="0.3">
      <c r="A839" t="s">
        <v>8</v>
      </c>
      <c r="B839">
        <v>85</v>
      </c>
      <c r="C839" t="s">
        <v>477</v>
      </c>
      <c r="D839" t="s">
        <v>503</v>
      </c>
      <c r="E839" t="s">
        <v>34</v>
      </c>
      <c r="F839" t="s">
        <v>505</v>
      </c>
      <c r="G839" t="s">
        <v>440</v>
      </c>
      <c r="H839" t="s">
        <v>37</v>
      </c>
      <c r="I839" t="s">
        <v>503</v>
      </c>
      <c r="J839" t="s">
        <v>507</v>
      </c>
      <c r="K839" t="s">
        <v>508</v>
      </c>
      <c r="L839" s="21" t="s">
        <v>509</v>
      </c>
      <c r="M839" t="s">
        <v>510</v>
      </c>
      <c r="N839" t="s">
        <v>159</v>
      </c>
      <c r="R839" t="s">
        <v>1843</v>
      </c>
      <c r="S839" t="s">
        <v>507</v>
      </c>
      <c r="T839" t="s">
        <v>45</v>
      </c>
      <c r="U839" t="s">
        <v>46</v>
      </c>
      <c r="V839" t="s">
        <v>513</v>
      </c>
      <c r="W839" t="s">
        <v>514</v>
      </c>
    </row>
    <row r="840" spans="1:23" ht="15" customHeight="1" x14ac:dyDescent="0.3">
      <c r="A840" t="s">
        <v>8</v>
      </c>
      <c r="B840">
        <v>85</v>
      </c>
      <c r="C840" t="s">
        <v>477</v>
      </c>
      <c r="D840" t="s">
        <v>503</v>
      </c>
      <c r="E840" t="s">
        <v>34</v>
      </c>
      <c r="F840" t="s">
        <v>505</v>
      </c>
      <c r="G840" t="s">
        <v>440</v>
      </c>
      <c r="H840" t="s">
        <v>37</v>
      </c>
      <c r="I840" t="s">
        <v>503</v>
      </c>
      <c r="J840" t="s">
        <v>507</v>
      </c>
      <c r="K840" t="s">
        <v>508</v>
      </c>
      <c r="L840" s="21" t="s">
        <v>509</v>
      </c>
      <c r="M840" t="s">
        <v>510</v>
      </c>
      <c r="N840" t="s">
        <v>159</v>
      </c>
      <c r="R840" t="s">
        <v>1844</v>
      </c>
      <c r="S840" t="s">
        <v>507</v>
      </c>
      <c r="T840" t="s">
        <v>45</v>
      </c>
      <c r="U840" t="s">
        <v>46</v>
      </c>
      <c r="V840" t="s">
        <v>513</v>
      </c>
      <c r="W840" t="s">
        <v>514</v>
      </c>
    </row>
    <row r="841" spans="1:23" ht="15" customHeight="1" x14ac:dyDescent="0.3">
      <c r="A841" t="s">
        <v>8</v>
      </c>
      <c r="B841">
        <v>85</v>
      </c>
      <c r="C841" t="s">
        <v>477</v>
      </c>
      <c r="D841" t="s">
        <v>503</v>
      </c>
      <c r="E841" t="s">
        <v>34</v>
      </c>
      <c r="F841" t="s">
        <v>505</v>
      </c>
      <c r="G841" t="s">
        <v>440</v>
      </c>
      <c r="H841" t="s">
        <v>37</v>
      </c>
      <c r="I841" t="s">
        <v>503</v>
      </c>
      <c r="J841" t="s">
        <v>507</v>
      </c>
      <c r="K841" t="s">
        <v>508</v>
      </c>
      <c r="L841" s="21" t="s">
        <v>509</v>
      </c>
      <c r="M841" t="s">
        <v>510</v>
      </c>
      <c r="N841" t="s">
        <v>159</v>
      </c>
      <c r="R841" t="s">
        <v>1845</v>
      </c>
      <c r="S841" t="s">
        <v>507</v>
      </c>
      <c r="T841" t="s">
        <v>45</v>
      </c>
      <c r="U841" t="s">
        <v>46</v>
      </c>
      <c r="V841" t="s">
        <v>513</v>
      </c>
      <c r="W841" t="s">
        <v>514</v>
      </c>
    </row>
    <row r="842" spans="1:23" ht="15" customHeight="1" x14ac:dyDescent="0.3">
      <c r="A842" t="s">
        <v>8</v>
      </c>
      <c r="B842">
        <v>85</v>
      </c>
      <c r="C842" t="s">
        <v>477</v>
      </c>
      <c r="D842" t="s">
        <v>503</v>
      </c>
      <c r="E842" t="s">
        <v>34</v>
      </c>
      <c r="F842" t="s">
        <v>505</v>
      </c>
      <c r="G842" t="s">
        <v>440</v>
      </c>
      <c r="H842" t="s">
        <v>37</v>
      </c>
      <c r="I842" t="s">
        <v>503</v>
      </c>
      <c r="J842" t="s">
        <v>507</v>
      </c>
      <c r="K842" t="s">
        <v>508</v>
      </c>
      <c r="L842" s="21" t="s">
        <v>509</v>
      </c>
      <c r="M842" t="s">
        <v>510</v>
      </c>
      <c r="N842" t="s">
        <v>159</v>
      </c>
      <c r="R842" t="s">
        <v>1846</v>
      </c>
      <c r="S842" t="s">
        <v>507</v>
      </c>
      <c r="T842" t="s">
        <v>45</v>
      </c>
      <c r="U842" t="s">
        <v>46</v>
      </c>
      <c r="V842" t="s">
        <v>513</v>
      </c>
      <c r="W842" t="s">
        <v>514</v>
      </c>
    </row>
    <row r="843" spans="1:23" ht="15" customHeight="1" x14ac:dyDescent="0.3">
      <c r="A843" t="s">
        <v>8</v>
      </c>
      <c r="B843">
        <v>85</v>
      </c>
      <c r="C843" t="s">
        <v>477</v>
      </c>
      <c r="D843" t="s">
        <v>503</v>
      </c>
      <c r="E843" t="s">
        <v>34</v>
      </c>
      <c r="F843" t="s">
        <v>505</v>
      </c>
      <c r="G843" t="s">
        <v>440</v>
      </c>
      <c r="H843" t="s">
        <v>37</v>
      </c>
      <c r="I843" t="s">
        <v>503</v>
      </c>
      <c r="J843" t="s">
        <v>507</v>
      </c>
      <c r="K843" t="s">
        <v>508</v>
      </c>
      <c r="L843" s="21" t="s">
        <v>509</v>
      </c>
      <c r="M843" t="s">
        <v>510</v>
      </c>
      <c r="N843" t="s">
        <v>159</v>
      </c>
      <c r="R843" t="s">
        <v>1847</v>
      </c>
      <c r="S843" t="s">
        <v>507</v>
      </c>
      <c r="T843" t="s">
        <v>45</v>
      </c>
      <c r="U843" t="s">
        <v>46</v>
      </c>
      <c r="V843" t="s">
        <v>513</v>
      </c>
      <c r="W843" t="s">
        <v>514</v>
      </c>
    </row>
    <row r="844" spans="1:23" ht="15" customHeight="1" x14ac:dyDescent="0.3">
      <c r="A844" t="s">
        <v>8</v>
      </c>
      <c r="B844">
        <v>85</v>
      </c>
      <c r="C844" t="s">
        <v>477</v>
      </c>
      <c r="D844" t="s">
        <v>503</v>
      </c>
      <c r="E844" t="s">
        <v>34</v>
      </c>
      <c r="F844" t="s">
        <v>505</v>
      </c>
      <c r="G844" t="s">
        <v>440</v>
      </c>
      <c r="H844" t="s">
        <v>52</v>
      </c>
      <c r="I844" t="s">
        <v>503</v>
      </c>
      <c r="J844" t="s">
        <v>515</v>
      </c>
      <c r="K844" s="21" t="s">
        <v>516</v>
      </c>
      <c r="L844" s="21" t="s">
        <v>509</v>
      </c>
      <c r="M844" t="s">
        <v>510</v>
      </c>
      <c r="N844" t="s">
        <v>159</v>
      </c>
      <c r="R844" t="s">
        <v>1842</v>
      </c>
      <c r="S844" t="s">
        <v>515</v>
      </c>
      <c r="T844" t="s">
        <v>45</v>
      </c>
      <c r="U844" t="s">
        <v>46</v>
      </c>
      <c r="V844" t="s">
        <v>513</v>
      </c>
      <c r="W844" t="s">
        <v>517</v>
      </c>
    </row>
    <row r="845" spans="1:23" ht="15" customHeight="1" x14ac:dyDescent="0.3">
      <c r="A845" t="s">
        <v>8</v>
      </c>
      <c r="B845">
        <v>85</v>
      </c>
      <c r="C845" t="s">
        <v>477</v>
      </c>
      <c r="D845" t="s">
        <v>503</v>
      </c>
      <c r="E845" t="s">
        <v>34</v>
      </c>
      <c r="F845" t="s">
        <v>505</v>
      </c>
      <c r="G845" t="s">
        <v>440</v>
      </c>
      <c r="H845" t="s">
        <v>52</v>
      </c>
      <c r="I845" t="s">
        <v>503</v>
      </c>
      <c r="J845" t="s">
        <v>515</v>
      </c>
      <c r="K845" s="21" t="s">
        <v>516</v>
      </c>
      <c r="L845" s="21" t="s">
        <v>509</v>
      </c>
      <c r="M845" t="s">
        <v>510</v>
      </c>
      <c r="N845" t="s">
        <v>159</v>
      </c>
      <c r="R845" t="s">
        <v>1843</v>
      </c>
      <c r="S845" t="s">
        <v>515</v>
      </c>
      <c r="T845" t="s">
        <v>45</v>
      </c>
      <c r="U845" t="s">
        <v>46</v>
      </c>
      <c r="V845" t="s">
        <v>513</v>
      </c>
      <c r="W845" t="s">
        <v>517</v>
      </c>
    </row>
    <row r="846" spans="1:23" ht="15" customHeight="1" x14ac:dyDescent="0.3">
      <c r="A846" t="s">
        <v>8</v>
      </c>
      <c r="B846">
        <v>85</v>
      </c>
      <c r="C846" t="s">
        <v>477</v>
      </c>
      <c r="D846" t="s">
        <v>503</v>
      </c>
      <c r="E846" t="s">
        <v>34</v>
      </c>
      <c r="F846" t="s">
        <v>505</v>
      </c>
      <c r="G846" t="s">
        <v>440</v>
      </c>
      <c r="H846" t="s">
        <v>52</v>
      </c>
      <c r="I846" t="s">
        <v>503</v>
      </c>
      <c r="J846" t="s">
        <v>515</v>
      </c>
      <c r="K846" s="21" t="s">
        <v>516</v>
      </c>
      <c r="L846" s="21" t="s">
        <v>509</v>
      </c>
      <c r="M846" t="s">
        <v>510</v>
      </c>
      <c r="N846" t="s">
        <v>159</v>
      </c>
      <c r="R846" t="s">
        <v>1844</v>
      </c>
      <c r="S846" t="s">
        <v>515</v>
      </c>
      <c r="T846" t="s">
        <v>45</v>
      </c>
      <c r="U846" t="s">
        <v>46</v>
      </c>
      <c r="V846" t="s">
        <v>513</v>
      </c>
      <c r="W846" t="s">
        <v>517</v>
      </c>
    </row>
    <row r="847" spans="1:23" ht="15" customHeight="1" x14ac:dyDescent="0.3">
      <c r="A847" t="s">
        <v>8</v>
      </c>
      <c r="B847">
        <v>85</v>
      </c>
      <c r="C847" t="s">
        <v>477</v>
      </c>
      <c r="D847" t="s">
        <v>503</v>
      </c>
      <c r="E847" t="s">
        <v>34</v>
      </c>
      <c r="F847" t="s">
        <v>505</v>
      </c>
      <c r="G847" t="s">
        <v>440</v>
      </c>
      <c r="H847" t="s">
        <v>52</v>
      </c>
      <c r="I847" t="s">
        <v>503</v>
      </c>
      <c r="J847" t="s">
        <v>515</v>
      </c>
      <c r="K847" s="21" t="s">
        <v>516</v>
      </c>
      <c r="L847" s="21" t="s">
        <v>509</v>
      </c>
      <c r="M847" t="s">
        <v>510</v>
      </c>
      <c r="N847" t="s">
        <v>159</v>
      </c>
      <c r="R847" t="s">
        <v>1845</v>
      </c>
      <c r="S847" t="s">
        <v>515</v>
      </c>
      <c r="T847" t="s">
        <v>45</v>
      </c>
      <c r="U847" t="s">
        <v>46</v>
      </c>
      <c r="V847" t="s">
        <v>513</v>
      </c>
      <c r="W847" t="s">
        <v>517</v>
      </c>
    </row>
    <row r="848" spans="1:23" ht="15" customHeight="1" x14ac:dyDescent="0.3">
      <c r="A848" t="s">
        <v>8</v>
      </c>
      <c r="B848">
        <v>85</v>
      </c>
      <c r="C848" t="s">
        <v>477</v>
      </c>
      <c r="D848" t="s">
        <v>503</v>
      </c>
      <c r="E848" t="s">
        <v>34</v>
      </c>
      <c r="F848" t="s">
        <v>505</v>
      </c>
      <c r="G848" t="s">
        <v>440</v>
      </c>
      <c r="H848" t="s">
        <v>52</v>
      </c>
      <c r="I848" t="s">
        <v>503</v>
      </c>
      <c r="J848" t="s">
        <v>515</v>
      </c>
      <c r="K848" s="21" t="s">
        <v>516</v>
      </c>
      <c r="L848" s="21" t="s">
        <v>509</v>
      </c>
      <c r="M848" t="s">
        <v>510</v>
      </c>
      <c r="N848" t="s">
        <v>159</v>
      </c>
      <c r="R848" t="s">
        <v>1846</v>
      </c>
      <c r="S848" t="s">
        <v>515</v>
      </c>
      <c r="T848" t="s">
        <v>45</v>
      </c>
      <c r="U848" t="s">
        <v>46</v>
      </c>
      <c r="V848" t="s">
        <v>513</v>
      </c>
      <c r="W848" t="s">
        <v>517</v>
      </c>
    </row>
    <row r="849" spans="1:23" ht="15" customHeight="1" x14ac:dyDescent="0.3">
      <c r="A849" t="s">
        <v>8</v>
      </c>
      <c r="B849">
        <v>85</v>
      </c>
      <c r="C849" t="s">
        <v>477</v>
      </c>
      <c r="D849" t="s">
        <v>503</v>
      </c>
      <c r="E849" t="s">
        <v>34</v>
      </c>
      <c r="F849" t="s">
        <v>505</v>
      </c>
      <c r="G849" t="s">
        <v>440</v>
      </c>
      <c r="H849" t="s">
        <v>52</v>
      </c>
      <c r="I849" t="s">
        <v>503</v>
      </c>
      <c r="J849" t="s">
        <v>515</v>
      </c>
      <c r="K849" s="21" t="s">
        <v>516</v>
      </c>
      <c r="L849" s="21" t="s">
        <v>509</v>
      </c>
      <c r="M849" t="s">
        <v>510</v>
      </c>
      <c r="N849" t="s">
        <v>159</v>
      </c>
      <c r="R849" t="s">
        <v>1847</v>
      </c>
      <c r="S849" t="s">
        <v>515</v>
      </c>
      <c r="T849" t="s">
        <v>45</v>
      </c>
      <c r="U849" t="s">
        <v>46</v>
      </c>
      <c r="V849" t="s">
        <v>513</v>
      </c>
      <c r="W849" t="s">
        <v>517</v>
      </c>
    </row>
    <row r="850" spans="1:23" ht="15" customHeight="1" x14ac:dyDescent="0.3">
      <c r="A850" t="s">
        <v>8</v>
      </c>
      <c r="B850">
        <v>85</v>
      </c>
      <c r="C850" t="s">
        <v>477</v>
      </c>
      <c r="D850" t="s">
        <v>503</v>
      </c>
      <c r="E850" t="s">
        <v>34</v>
      </c>
      <c r="F850" t="s">
        <v>505</v>
      </c>
      <c r="G850" t="s">
        <v>440</v>
      </c>
      <c r="H850" t="s">
        <v>57</v>
      </c>
      <c r="I850" t="s">
        <v>503</v>
      </c>
      <c r="J850" t="s">
        <v>518</v>
      </c>
      <c r="K850" s="21" t="s">
        <v>519</v>
      </c>
      <c r="L850" s="21" t="s">
        <v>509</v>
      </c>
      <c r="M850" t="s">
        <v>510</v>
      </c>
      <c r="N850" t="s">
        <v>159</v>
      </c>
      <c r="R850" t="s">
        <v>1842</v>
      </c>
      <c r="S850" t="s">
        <v>518</v>
      </c>
      <c r="T850" t="s">
        <v>45</v>
      </c>
      <c r="U850" t="s">
        <v>46</v>
      </c>
      <c r="V850" t="s">
        <v>513</v>
      </c>
      <c r="W850" t="s">
        <v>520</v>
      </c>
    </row>
    <row r="851" spans="1:23" ht="15" customHeight="1" x14ac:dyDescent="0.3">
      <c r="A851" t="s">
        <v>8</v>
      </c>
      <c r="B851">
        <v>85</v>
      </c>
      <c r="C851" t="s">
        <v>477</v>
      </c>
      <c r="D851" t="s">
        <v>503</v>
      </c>
      <c r="E851" t="s">
        <v>34</v>
      </c>
      <c r="F851" t="s">
        <v>505</v>
      </c>
      <c r="G851" t="s">
        <v>440</v>
      </c>
      <c r="H851" t="s">
        <v>57</v>
      </c>
      <c r="I851" t="s">
        <v>503</v>
      </c>
      <c r="J851" t="s">
        <v>518</v>
      </c>
      <c r="K851" s="21" t="s">
        <v>519</v>
      </c>
      <c r="L851" s="21" t="s">
        <v>509</v>
      </c>
      <c r="M851" t="s">
        <v>510</v>
      </c>
      <c r="N851" t="s">
        <v>159</v>
      </c>
      <c r="R851" t="s">
        <v>1843</v>
      </c>
      <c r="S851" t="s">
        <v>518</v>
      </c>
      <c r="T851" t="s">
        <v>45</v>
      </c>
      <c r="U851" t="s">
        <v>46</v>
      </c>
      <c r="V851" t="s">
        <v>513</v>
      </c>
      <c r="W851" t="s">
        <v>520</v>
      </c>
    </row>
    <row r="852" spans="1:23" ht="15" customHeight="1" x14ac:dyDescent="0.3">
      <c r="A852" t="s">
        <v>8</v>
      </c>
      <c r="B852">
        <v>85</v>
      </c>
      <c r="C852" t="s">
        <v>477</v>
      </c>
      <c r="D852" t="s">
        <v>503</v>
      </c>
      <c r="E852" t="s">
        <v>34</v>
      </c>
      <c r="F852" t="s">
        <v>505</v>
      </c>
      <c r="G852" t="s">
        <v>440</v>
      </c>
      <c r="H852" t="s">
        <v>57</v>
      </c>
      <c r="I852" t="s">
        <v>503</v>
      </c>
      <c r="J852" t="s">
        <v>518</v>
      </c>
      <c r="K852" s="21" t="s">
        <v>519</v>
      </c>
      <c r="L852" s="21" t="s">
        <v>509</v>
      </c>
      <c r="M852" t="s">
        <v>510</v>
      </c>
      <c r="N852" t="s">
        <v>159</v>
      </c>
      <c r="R852" t="s">
        <v>1844</v>
      </c>
      <c r="S852" t="s">
        <v>518</v>
      </c>
      <c r="T852" t="s">
        <v>45</v>
      </c>
      <c r="U852" t="s">
        <v>46</v>
      </c>
      <c r="V852" t="s">
        <v>513</v>
      </c>
      <c r="W852" t="s">
        <v>520</v>
      </c>
    </row>
    <row r="853" spans="1:23" ht="15" customHeight="1" x14ac:dyDescent="0.3">
      <c r="A853" t="s">
        <v>8</v>
      </c>
      <c r="B853">
        <v>85</v>
      </c>
      <c r="C853" t="s">
        <v>477</v>
      </c>
      <c r="D853" t="s">
        <v>503</v>
      </c>
      <c r="E853" t="s">
        <v>34</v>
      </c>
      <c r="F853" t="s">
        <v>505</v>
      </c>
      <c r="G853" t="s">
        <v>440</v>
      </c>
      <c r="H853" t="s">
        <v>57</v>
      </c>
      <c r="I853" t="s">
        <v>503</v>
      </c>
      <c r="J853" t="s">
        <v>518</v>
      </c>
      <c r="K853" s="21" t="s">
        <v>519</v>
      </c>
      <c r="L853" s="21" t="s">
        <v>509</v>
      </c>
      <c r="M853" t="s">
        <v>510</v>
      </c>
      <c r="N853" t="s">
        <v>159</v>
      </c>
      <c r="R853" t="s">
        <v>1845</v>
      </c>
      <c r="S853" t="s">
        <v>518</v>
      </c>
      <c r="T853" t="s">
        <v>45</v>
      </c>
      <c r="U853" t="s">
        <v>46</v>
      </c>
      <c r="V853" t="s">
        <v>513</v>
      </c>
      <c r="W853" t="s">
        <v>520</v>
      </c>
    </row>
    <row r="854" spans="1:23" ht="15" customHeight="1" x14ac:dyDescent="0.3">
      <c r="A854" t="s">
        <v>8</v>
      </c>
      <c r="B854">
        <v>85</v>
      </c>
      <c r="C854" t="s">
        <v>477</v>
      </c>
      <c r="D854" t="s">
        <v>503</v>
      </c>
      <c r="E854" t="s">
        <v>34</v>
      </c>
      <c r="F854" t="s">
        <v>505</v>
      </c>
      <c r="G854" t="s">
        <v>440</v>
      </c>
      <c r="H854" t="s">
        <v>57</v>
      </c>
      <c r="I854" t="s">
        <v>503</v>
      </c>
      <c r="J854" t="s">
        <v>518</v>
      </c>
      <c r="K854" s="21" t="s">
        <v>519</v>
      </c>
      <c r="L854" s="21" t="s">
        <v>509</v>
      </c>
      <c r="M854" t="s">
        <v>510</v>
      </c>
      <c r="N854" t="s">
        <v>159</v>
      </c>
      <c r="R854" t="s">
        <v>1846</v>
      </c>
      <c r="S854" t="s">
        <v>518</v>
      </c>
      <c r="T854" t="s">
        <v>45</v>
      </c>
      <c r="U854" t="s">
        <v>46</v>
      </c>
      <c r="V854" t="s">
        <v>513</v>
      </c>
      <c r="W854" t="s">
        <v>520</v>
      </c>
    </row>
    <row r="855" spans="1:23" ht="15" customHeight="1" x14ac:dyDescent="0.3">
      <c r="A855" t="s">
        <v>8</v>
      </c>
      <c r="B855">
        <v>85</v>
      </c>
      <c r="C855" t="s">
        <v>477</v>
      </c>
      <c r="D855" t="s">
        <v>503</v>
      </c>
      <c r="E855" t="s">
        <v>34</v>
      </c>
      <c r="F855" t="s">
        <v>505</v>
      </c>
      <c r="G855" t="s">
        <v>440</v>
      </c>
      <c r="H855" t="s">
        <v>57</v>
      </c>
      <c r="I855" t="s">
        <v>503</v>
      </c>
      <c r="J855" t="s">
        <v>518</v>
      </c>
      <c r="K855" s="21" t="s">
        <v>519</v>
      </c>
      <c r="L855" s="21" t="s">
        <v>509</v>
      </c>
      <c r="M855" t="s">
        <v>510</v>
      </c>
      <c r="N855" t="s">
        <v>159</v>
      </c>
      <c r="R855" t="s">
        <v>1847</v>
      </c>
      <c r="S855" t="s">
        <v>518</v>
      </c>
      <c r="T855" t="s">
        <v>45</v>
      </c>
      <c r="U855" t="s">
        <v>46</v>
      </c>
      <c r="V855" t="s">
        <v>513</v>
      </c>
      <c r="W855" t="s">
        <v>520</v>
      </c>
    </row>
    <row r="856" spans="1:23" ht="15" customHeight="1" x14ac:dyDescent="0.3">
      <c r="A856" t="s">
        <v>8</v>
      </c>
      <c r="B856">
        <v>85</v>
      </c>
      <c r="C856" t="s">
        <v>477</v>
      </c>
      <c r="D856" t="s">
        <v>503</v>
      </c>
      <c r="E856" t="s">
        <v>34</v>
      </c>
      <c r="F856" t="s">
        <v>505</v>
      </c>
      <c r="G856" t="s">
        <v>440</v>
      </c>
      <c r="H856" t="s">
        <v>49</v>
      </c>
      <c r="I856" t="s">
        <v>503</v>
      </c>
      <c r="J856" t="s">
        <v>521</v>
      </c>
      <c r="K856" s="21" t="s">
        <v>522</v>
      </c>
      <c r="L856" s="21" t="s">
        <v>509</v>
      </c>
      <c r="M856" t="s">
        <v>510</v>
      </c>
      <c r="N856" t="s">
        <v>159</v>
      </c>
      <c r="R856" t="s">
        <v>1842</v>
      </c>
      <c r="S856" t="s">
        <v>521</v>
      </c>
      <c r="T856" t="s">
        <v>45</v>
      </c>
      <c r="U856" t="s">
        <v>46</v>
      </c>
      <c r="V856" t="s">
        <v>513</v>
      </c>
      <c r="W856" t="s">
        <v>523</v>
      </c>
    </row>
    <row r="857" spans="1:23" ht="15" customHeight="1" x14ac:dyDescent="0.3">
      <c r="A857" t="s">
        <v>8</v>
      </c>
      <c r="B857">
        <v>85</v>
      </c>
      <c r="C857" t="s">
        <v>477</v>
      </c>
      <c r="D857" t="s">
        <v>503</v>
      </c>
      <c r="E857" t="s">
        <v>34</v>
      </c>
      <c r="F857" t="s">
        <v>505</v>
      </c>
      <c r="G857" t="s">
        <v>440</v>
      </c>
      <c r="H857" t="s">
        <v>49</v>
      </c>
      <c r="I857" t="s">
        <v>503</v>
      </c>
      <c r="J857" t="s">
        <v>521</v>
      </c>
      <c r="K857" s="21" t="s">
        <v>522</v>
      </c>
      <c r="L857" s="21" t="s">
        <v>509</v>
      </c>
      <c r="M857" t="s">
        <v>510</v>
      </c>
      <c r="N857" t="s">
        <v>159</v>
      </c>
      <c r="R857" t="s">
        <v>1843</v>
      </c>
      <c r="S857" t="s">
        <v>521</v>
      </c>
      <c r="T857" t="s">
        <v>45</v>
      </c>
      <c r="U857" t="s">
        <v>46</v>
      </c>
      <c r="V857" t="s">
        <v>513</v>
      </c>
      <c r="W857" t="s">
        <v>523</v>
      </c>
    </row>
    <row r="858" spans="1:23" ht="15" customHeight="1" x14ac:dyDescent="0.3">
      <c r="A858" t="s">
        <v>8</v>
      </c>
      <c r="B858">
        <v>85</v>
      </c>
      <c r="C858" t="s">
        <v>477</v>
      </c>
      <c r="D858" t="s">
        <v>503</v>
      </c>
      <c r="E858" t="s">
        <v>34</v>
      </c>
      <c r="F858" t="s">
        <v>505</v>
      </c>
      <c r="G858" t="s">
        <v>440</v>
      </c>
      <c r="H858" t="s">
        <v>49</v>
      </c>
      <c r="I858" t="s">
        <v>503</v>
      </c>
      <c r="J858" t="s">
        <v>521</v>
      </c>
      <c r="K858" s="21" t="s">
        <v>522</v>
      </c>
      <c r="L858" s="21" t="s">
        <v>509</v>
      </c>
      <c r="M858" t="s">
        <v>510</v>
      </c>
      <c r="N858" t="s">
        <v>159</v>
      </c>
      <c r="R858" t="s">
        <v>1844</v>
      </c>
      <c r="S858" t="s">
        <v>521</v>
      </c>
      <c r="T858" t="s">
        <v>45</v>
      </c>
      <c r="U858" t="s">
        <v>46</v>
      </c>
      <c r="V858" t="s">
        <v>513</v>
      </c>
      <c r="W858" t="s">
        <v>523</v>
      </c>
    </row>
    <row r="859" spans="1:23" ht="15" customHeight="1" x14ac:dyDescent="0.3">
      <c r="A859" t="s">
        <v>8</v>
      </c>
      <c r="B859">
        <v>85</v>
      </c>
      <c r="C859" t="s">
        <v>477</v>
      </c>
      <c r="D859" t="s">
        <v>503</v>
      </c>
      <c r="E859" t="s">
        <v>34</v>
      </c>
      <c r="F859" t="s">
        <v>505</v>
      </c>
      <c r="G859" t="s">
        <v>440</v>
      </c>
      <c r="H859" t="s">
        <v>49</v>
      </c>
      <c r="I859" t="s">
        <v>503</v>
      </c>
      <c r="J859" t="s">
        <v>521</v>
      </c>
      <c r="K859" s="21" t="s">
        <v>522</v>
      </c>
      <c r="L859" s="21" t="s">
        <v>509</v>
      </c>
      <c r="M859" t="s">
        <v>510</v>
      </c>
      <c r="N859" t="s">
        <v>159</v>
      </c>
      <c r="R859" t="s">
        <v>1845</v>
      </c>
      <c r="S859" t="s">
        <v>521</v>
      </c>
      <c r="T859" t="s">
        <v>45</v>
      </c>
      <c r="U859" t="s">
        <v>46</v>
      </c>
      <c r="V859" t="s">
        <v>513</v>
      </c>
      <c r="W859" t="s">
        <v>523</v>
      </c>
    </row>
    <row r="860" spans="1:23" ht="15" customHeight="1" x14ac:dyDescent="0.3">
      <c r="A860" t="s">
        <v>8</v>
      </c>
      <c r="B860">
        <v>85</v>
      </c>
      <c r="C860" t="s">
        <v>477</v>
      </c>
      <c r="D860" t="s">
        <v>503</v>
      </c>
      <c r="E860" t="s">
        <v>34</v>
      </c>
      <c r="F860" t="s">
        <v>505</v>
      </c>
      <c r="G860" t="s">
        <v>440</v>
      </c>
      <c r="H860" t="s">
        <v>49</v>
      </c>
      <c r="I860" t="s">
        <v>503</v>
      </c>
      <c r="J860" t="s">
        <v>521</v>
      </c>
      <c r="K860" s="21" t="s">
        <v>522</v>
      </c>
      <c r="L860" s="21" t="s">
        <v>509</v>
      </c>
      <c r="M860" t="s">
        <v>510</v>
      </c>
      <c r="N860" t="s">
        <v>159</v>
      </c>
      <c r="R860" t="s">
        <v>1846</v>
      </c>
      <c r="S860" t="s">
        <v>521</v>
      </c>
      <c r="T860" t="s">
        <v>45</v>
      </c>
      <c r="U860" t="s">
        <v>46</v>
      </c>
      <c r="V860" t="s">
        <v>513</v>
      </c>
      <c r="W860" t="s">
        <v>523</v>
      </c>
    </row>
    <row r="861" spans="1:23" ht="15" customHeight="1" x14ac:dyDescent="0.3">
      <c r="A861" t="s">
        <v>8</v>
      </c>
      <c r="B861">
        <v>85</v>
      </c>
      <c r="C861" t="s">
        <v>477</v>
      </c>
      <c r="D861" t="s">
        <v>503</v>
      </c>
      <c r="E861" t="s">
        <v>34</v>
      </c>
      <c r="F861" t="s">
        <v>505</v>
      </c>
      <c r="G861" t="s">
        <v>440</v>
      </c>
      <c r="H861" t="s">
        <v>49</v>
      </c>
      <c r="I861" t="s">
        <v>503</v>
      </c>
      <c r="J861" t="s">
        <v>521</v>
      </c>
      <c r="K861" s="21" t="s">
        <v>522</v>
      </c>
      <c r="L861" s="21" t="s">
        <v>509</v>
      </c>
      <c r="M861" t="s">
        <v>510</v>
      </c>
      <c r="N861" t="s">
        <v>159</v>
      </c>
      <c r="R861" t="s">
        <v>1847</v>
      </c>
      <c r="S861" t="s">
        <v>521</v>
      </c>
      <c r="T861" t="s">
        <v>45</v>
      </c>
      <c r="U861" t="s">
        <v>46</v>
      </c>
      <c r="V861" t="s">
        <v>513</v>
      </c>
      <c r="W861" t="s">
        <v>523</v>
      </c>
    </row>
    <row r="862" spans="1:23" ht="15" customHeight="1" x14ac:dyDescent="0.3">
      <c r="A862" t="s">
        <v>8</v>
      </c>
      <c r="B862">
        <v>85</v>
      </c>
      <c r="C862" t="s">
        <v>477</v>
      </c>
      <c r="D862" t="s">
        <v>503</v>
      </c>
      <c r="E862" t="s">
        <v>34</v>
      </c>
      <c r="F862" t="s">
        <v>505</v>
      </c>
      <c r="G862" t="s">
        <v>440</v>
      </c>
      <c r="H862" t="s">
        <v>87</v>
      </c>
      <c r="I862" t="s">
        <v>503</v>
      </c>
      <c r="J862" t="s">
        <v>524</v>
      </c>
      <c r="K862" s="21" t="s">
        <v>525</v>
      </c>
      <c r="L862" s="21" t="s">
        <v>509</v>
      </c>
      <c r="M862" t="s">
        <v>510</v>
      </c>
      <c r="N862" t="s">
        <v>159</v>
      </c>
      <c r="R862" t="s">
        <v>1842</v>
      </c>
      <c r="S862" t="s">
        <v>524</v>
      </c>
      <c r="T862" t="s">
        <v>45</v>
      </c>
      <c r="U862" t="s">
        <v>46</v>
      </c>
      <c r="V862" t="s">
        <v>513</v>
      </c>
      <c r="W862" t="s">
        <v>526</v>
      </c>
    </row>
    <row r="863" spans="1:23" ht="15" customHeight="1" x14ac:dyDescent="0.3">
      <c r="A863" t="s">
        <v>8</v>
      </c>
      <c r="B863">
        <v>85</v>
      </c>
      <c r="C863" t="s">
        <v>477</v>
      </c>
      <c r="D863" t="s">
        <v>503</v>
      </c>
      <c r="E863" t="s">
        <v>34</v>
      </c>
      <c r="F863" t="s">
        <v>505</v>
      </c>
      <c r="G863" t="s">
        <v>440</v>
      </c>
      <c r="H863" t="s">
        <v>87</v>
      </c>
      <c r="I863" t="s">
        <v>503</v>
      </c>
      <c r="J863" t="s">
        <v>524</v>
      </c>
      <c r="K863" s="21" t="s">
        <v>525</v>
      </c>
      <c r="L863" s="21" t="s">
        <v>509</v>
      </c>
      <c r="M863" t="s">
        <v>510</v>
      </c>
      <c r="N863" t="s">
        <v>159</v>
      </c>
      <c r="R863" t="s">
        <v>1843</v>
      </c>
      <c r="S863" t="s">
        <v>524</v>
      </c>
      <c r="T863" t="s">
        <v>45</v>
      </c>
      <c r="U863" t="s">
        <v>46</v>
      </c>
      <c r="V863" t="s">
        <v>513</v>
      </c>
      <c r="W863" t="s">
        <v>526</v>
      </c>
    </row>
    <row r="864" spans="1:23" ht="15" customHeight="1" x14ac:dyDescent="0.3">
      <c r="A864" t="s">
        <v>8</v>
      </c>
      <c r="B864">
        <v>85</v>
      </c>
      <c r="C864" t="s">
        <v>477</v>
      </c>
      <c r="D864" t="s">
        <v>503</v>
      </c>
      <c r="E864" t="s">
        <v>34</v>
      </c>
      <c r="F864" t="s">
        <v>505</v>
      </c>
      <c r="G864" t="s">
        <v>440</v>
      </c>
      <c r="H864" t="s">
        <v>87</v>
      </c>
      <c r="I864" t="s">
        <v>503</v>
      </c>
      <c r="J864" t="s">
        <v>524</v>
      </c>
      <c r="K864" s="21" t="s">
        <v>525</v>
      </c>
      <c r="L864" s="21" t="s">
        <v>509</v>
      </c>
      <c r="M864" t="s">
        <v>510</v>
      </c>
      <c r="N864" t="s">
        <v>159</v>
      </c>
      <c r="R864" t="s">
        <v>1844</v>
      </c>
      <c r="S864" t="s">
        <v>524</v>
      </c>
      <c r="T864" t="s">
        <v>45</v>
      </c>
      <c r="U864" t="s">
        <v>46</v>
      </c>
      <c r="V864" t="s">
        <v>513</v>
      </c>
      <c r="W864" t="s">
        <v>526</v>
      </c>
    </row>
    <row r="865" spans="1:23" ht="15" customHeight="1" x14ac:dyDescent="0.3">
      <c r="A865" t="s">
        <v>8</v>
      </c>
      <c r="B865">
        <v>85</v>
      </c>
      <c r="C865" t="s">
        <v>477</v>
      </c>
      <c r="D865" t="s">
        <v>503</v>
      </c>
      <c r="E865" t="s">
        <v>34</v>
      </c>
      <c r="F865" t="s">
        <v>505</v>
      </c>
      <c r="G865" t="s">
        <v>440</v>
      </c>
      <c r="H865" t="s">
        <v>87</v>
      </c>
      <c r="I865" t="s">
        <v>503</v>
      </c>
      <c r="J865" t="s">
        <v>524</v>
      </c>
      <c r="K865" s="21" t="s">
        <v>525</v>
      </c>
      <c r="L865" s="21" t="s">
        <v>509</v>
      </c>
      <c r="M865" t="s">
        <v>510</v>
      </c>
      <c r="N865" t="s">
        <v>159</v>
      </c>
      <c r="R865" t="s">
        <v>1845</v>
      </c>
      <c r="S865" t="s">
        <v>524</v>
      </c>
      <c r="T865" t="s">
        <v>45</v>
      </c>
      <c r="U865" t="s">
        <v>46</v>
      </c>
      <c r="V865" t="s">
        <v>513</v>
      </c>
      <c r="W865" t="s">
        <v>526</v>
      </c>
    </row>
    <row r="866" spans="1:23" ht="15" customHeight="1" x14ac:dyDescent="0.3">
      <c r="A866" t="s">
        <v>8</v>
      </c>
      <c r="B866">
        <v>85</v>
      </c>
      <c r="C866" t="s">
        <v>477</v>
      </c>
      <c r="D866" t="s">
        <v>503</v>
      </c>
      <c r="E866" t="s">
        <v>34</v>
      </c>
      <c r="F866" t="s">
        <v>505</v>
      </c>
      <c r="G866" t="s">
        <v>440</v>
      </c>
      <c r="H866" t="s">
        <v>87</v>
      </c>
      <c r="I866" t="s">
        <v>503</v>
      </c>
      <c r="J866" t="s">
        <v>524</v>
      </c>
      <c r="K866" s="21" t="s">
        <v>525</v>
      </c>
      <c r="L866" s="21" t="s">
        <v>509</v>
      </c>
      <c r="M866" t="s">
        <v>510</v>
      </c>
      <c r="N866" t="s">
        <v>159</v>
      </c>
      <c r="R866" t="s">
        <v>1846</v>
      </c>
      <c r="S866" t="s">
        <v>524</v>
      </c>
      <c r="T866" t="s">
        <v>45</v>
      </c>
      <c r="U866" t="s">
        <v>46</v>
      </c>
      <c r="V866" t="s">
        <v>513</v>
      </c>
      <c r="W866" t="s">
        <v>526</v>
      </c>
    </row>
    <row r="867" spans="1:23" ht="15" customHeight="1" x14ac:dyDescent="0.3">
      <c r="A867" t="s">
        <v>8</v>
      </c>
      <c r="B867">
        <v>85</v>
      </c>
      <c r="C867" t="s">
        <v>477</v>
      </c>
      <c r="D867" t="s">
        <v>503</v>
      </c>
      <c r="E867" t="s">
        <v>34</v>
      </c>
      <c r="F867" t="s">
        <v>505</v>
      </c>
      <c r="G867" t="s">
        <v>440</v>
      </c>
      <c r="H867" t="s">
        <v>87</v>
      </c>
      <c r="I867" t="s">
        <v>503</v>
      </c>
      <c r="J867" t="s">
        <v>524</v>
      </c>
      <c r="K867" s="21" t="s">
        <v>525</v>
      </c>
      <c r="L867" s="21" t="s">
        <v>509</v>
      </c>
      <c r="M867" t="s">
        <v>510</v>
      </c>
      <c r="N867" t="s">
        <v>159</v>
      </c>
      <c r="R867" t="s">
        <v>1847</v>
      </c>
      <c r="S867" t="s">
        <v>524</v>
      </c>
      <c r="T867" t="s">
        <v>45</v>
      </c>
      <c r="U867" t="s">
        <v>46</v>
      </c>
      <c r="V867" t="s">
        <v>513</v>
      </c>
      <c r="W867" t="s">
        <v>526</v>
      </c>
    </row>
    <row r="868" spans="1:23" ht="15" customHeight="1" x14ac:dyDescent="0.3">
      <c r="A868" t="s">
        <v>8</v>
      </c>
      <c r="B868">
        <v>85</v>
      </c>
      <c r="C868" t="s">
        <v>477</v>
      </c>
      <c r="D868" t="s">
        <v>503</v>
      </c>
      <c r="E868" t="s">
        <v>34</v>
      </c>
      <c r="F868" t="s">
        <v>505</v>
      </c>
      <c r="G868" t="s">
        <v>440</v>
      </c>
      <c r="H868" t="s">
        <v>421</v>
      </c>
      <c r="I868" t="s">
        <v>503</v>
      </c>
      <c r="J868" t="s">
        <v>527</v>
      </c>
      <c r="K868" s="21" t="s">
        <v>528</v>
      </c>
      <c r="L868" s="21" t="s">
        <v>509</v>
      </c>
      <c r="M868" t="s">
        <v>510</v>
      </c>
      <c r="N868" t="s">
        <v>159</v>
      </c>
      <c r="R868" t="s">
        <v>1842</v>
      </c>
      <c r="S868" t="s">
        <v>527</v>
      </c>
      <c r="T868" t="s">
        <v>45</v>
      </c>
      <c r="U868" t="s">
        <v>46</v>
      </c>
      <c r="V868" t="s">
        <v>513</v>
      </c>
      <c r="W868" t="s">
        <v>529</v>
      </c>
    </row>
    <row r="869" spans="1:23" ht="15" customHeight="1" x14ac:dyDescent="0.3">
      <c r="A869" t="s">
        <v>8</v>
      </c>
      <c r="B869">
        <v>85</v>
      </c>
      <c r="C869" t="s">
        <v>477</v>
      </c>
      <c r="D869" t="s">
        <v>503</v>
      </c>
      <c r="E869" t="s">
        <v>34</v>
      </c>
      <c r="F869" t="s">
        <v>505</v>
      </c>
      <c r="G869" t="s">
        <v>440</v>
      </c>
      <c r="H869" t="s">
        <v>421</v>
      </c>
      <c r="I869" t="s">
        <v>503</v>
      </c>
      <c r="J869" t="s">
        <v>527</v>
      </c>
      <c r="K869" s="21" t="s">
        <v>528</v>
      </c>
      <c r="L869" s="21" t="s">
        <v>509</v>
      </c>
      <c r="M869" t="s">
        <v>510</v>
      </c>
      <c r="N869" t="s">
        <v>159</v>
      </c>
      <c r="R869" t="s">
        <v>1843</v>
      </c>
      <c r="S869" t="s">
        <v>527</v>
      </c>
      <c r="T869" t="s">
        <v>45</v>
      </c>
      <c r="U869" t="s">
        <v>46</v>
      </c>
      <c r="V869" t="s">
        <v>513</v>
      </c>
      <c r="W869" t="s">
        <v>529</v>
      </c>
    </row>
    <row r="870" spans="1:23" ht="15" customHeight="1" x14ac:dyDescent="0.3">
      <c r="A870" t="s">
        <v>8</v>
      </c>
      <c r="B870">
        <v>85</v>
      </c>
      <c r="C870" t="s">
        <v>477</v>
      </c>
      <c r="D870" t="s">
        <v>503</v>
      </c>
      <c r="E870" t="s">
        <v>34</v>
      </c>
      <c r="F870" t="s">
        <v>505</v>
      </c>
      <c r="G870" t="s">
        <v>440</v>
      </c>
      <c r="H870" t="s">
        <v>421</v>
      </c>
      <c r="I870" t="s">
        <v>503</v>
      </c>
      <c r="J870" t="s">
        <v>527</v>
      </c>
      <c r="K870" s="21" t="s">
        <v>528</v>
      </c>
      <c r="L870" s="21" t="s">
        <v>509</v>
      </c>
      <c r="M870" t="s">
        <v>510</v>
      </c>
      <c r="N870" t="s">
        <v>159</v>
      </c>
      <c r="R870" t="s">
        <v>1844</v>
      </c>
      <c r="S870" t="s">
        <v>527</v>
      </c>
      <c r="T870" t="s">
        <v>45</v>
      </c>
      <c r="U870" t="s">
        <v>46</v>
      </c>
      <c r="V870" t="s">
        <v>513</v>
      </c>
      <c r="W870" t="s">
        <v>529</v>
      </c>
    </row>
    <row r="871" spans="1:23" ht="15" customHeight="1" x14ac:dyDescent="0.3">
      <c r="A871" t="s">
        <v>8</v>
      </c>
      <c r="B871">
        <v>85</v>
      </c>
      <c r="C871" t="s">
        <v>477</v>
      </c>
      <c r="D871" t="s">
        <v>503</v>
      </c>
      <c r="E871" t="s">
        <v>34</v>
      </c>
      <c r="F871" t="s">
        <v>505</v>
      </c>
      <c r="G871" t="s">
        <v>440</v>
      </c>
      <c r="H871" t="s">
        <v>421</v>
      </c>
      <c r="I871" t="s">
        <v>503</v>
      </c>
      <c r="J871" t="s">
        <v>527</v>
      </c>
      <c r="K871" s="21" t="s">
        <v>528</v>
      </c>
      <c r="L871" s="21" t="s">
        <v>509</v>
      </c>
      <c r="M871" t="s">
        <v>510</v>
      </c>
      <c r="N871" t="s">
        <v>159</v>
      </c>
      <c r="R871" t="s">
        <v>1845</v>
      </c>
      <c r="S871" t="s">
        <v>527</v>
      </c>
      <c r="T871" t="s">
        <v>45</v>
      </c>
      <c r="U871" t="s">
        <v>46</v>
      </c>
      <c r="V871" t="s">
        <v>513</v>
      </c>
      <c r="W871" t="s">
        <v>529</v>
      </c>
    </row>
    <row r="872" spans="1:23" ht="15" customHeight="1" x14ac:dyDescent="0.3">
      <c r="A872" t="s">
        <v>8</v>
      </c>
      <c r="B872">
        <v>85</v>
      </c>
      <c r="C872" t="s">
        <v>477</v>
      </c>
      <c r="D872" t="s">
        <v>503</v>
      </c>
      <c r="E872" t="s">
        <v>34</v>
      </c>
      <c r="F872" t="s">
        <v>505</v>
      </c>
      <c r="G872" t="s">
        <v>440</v>
      </c>
      <c r="H872" t="s">
        <v>421</v>
      </c>
      <c r="I872" t="s">
        <v>503</v>
      </c>
      <c r="J872" t="s">
        <v>527</v>
      </c>
      <c r="K872" s="21" t="s">
        <v>528</v>
      </c>
      <c r="L872" s="21" t="s">
        <v>509</v>
      </c>
      <c r="M872" t="s">
        <v>510</v>
      </c>
      <c r="N872" t="s">
        <v>159</v>
      </c>
      <c r="R872" t="s">
        <v>1846</v>
      </c>
      <c r="S872" t="s">
        <v>527</v>
      </c>
      <c r="T872" t="s">
        <v>45</v>
      </c>
      <c r="U872" t="s">
        <v>46</v>
      </c>
      <c r="V872" t="s">
        <v>513</v>
      </c>
      <c r="W872" t="s">
        <v>529</v>
      </c>
    </row>
    <row r="873" spans="1:23" ht="15" customHeight="1" x14ac:dyDescent="0.3">
      <c r="A873" t="s">
        <v>8</v>
      </c>
      <c r="B873">
        <v>85</v>
      </c>
      <c r="C873" t="s">
        <v>477</v>
      </c>
      <c r="D873" t="s">
        <v>503</v>
      </c>
      <c r="E873" t="s">
        <v>34</v>
      </c>
      <c r="F873" t="s">
        <v>505</v>
      </c>
      <c r="G873" t="s">
        <v>440</v>
      </c>
      <c r="H873" t="s">
        <v>421</v>
      </c>
      <c r="I873" t="s">
        <v>503</v>
      </c>
      <c r="J873" t="s">
        <v>527</v>
      </c>
      <c r="K873" s="21" t="s">
        <v>528</v>
      </c>
      <c r="L873" s="21" t="s">
        <v>509</v>
      </c>
      <c r="M873" t="s">
        <v>510</v>
      </c>
      <c r="N873" t="s">
        <v>159</v>
      </c>
      <c r="R873" t="s">
        <v>1847</v>
      </c>
      <c r="S873" t="s">
        <v>527</v>
      </c>
      <c r="T873" t="s">
        <v>45</v>
      </c>
      <c r="U873" t="s">
        <v>46</v>
      </c>
      <c r="V873" t="s">
        <v>513</v>
      </c>
      <c r="W873" t="s">
        <v>529</v>
      </c>
    </row>
    <row r="874" spans="1:23" ht="15" customHeight="1" x14ac:dyDescent="0.3">
      <c r="A874" t="s">
        <v>8</v>
      </c>
      <c r="B874">
        <v>85</v>
      </c>
      <c r="C874" t="s">
        <v>477</v>
      </c>
      <c r="D874" t="s">
        <v>503</v>
      </c>
      <c r="E874" t="s">
        <v>34</v>
      </c>
      <c r="F874" t="s">
        <v>505</v>
      </c>
      <c r="G874" t="s">
        <v>440</v>
      </c>
      <c r="H874" t="s">
        <v>182</v>
      </c>
      <c r="I874" t="s">
        <v>503</v>
      </c>
      <c r="J874" t="s">
        <v>1848</v>
      </c>
      <c r="K874" s="21" t="s">
        <v>1849</v>
      </c>
      <c r="L874" s="21" t="s">
        <v>509</v>
      </c>
      <c r="M874" t="s">
        <v>510</v>
      </c>
      <c r="N874" t="s">
        <v>159</v>
      </c>
      <c r="R874" t="s">
        <v>1842</v>
      </c>
      <c r="S874" t="s">
        <v>1848</v>
      </c>
      <c r="T874" t="s">
        <v>45</v>
      </c>
      <c r="U874" t="s">
        <v>1428</v>
      </c>
      <c r="V874" t="s">
        <v>1850</v>
      </c>
      <c r="W874" t="s">
        <v>1851</v>
      </c>
    </row>
    <row r="875" spans="1:23" ht="15" customHeight="1" x14ac:dyDescent="0.3">
      <c r="A875" t="s">
        <v>8</v>
      </c>
      <c r="B875">
        <v>85</v>
      </c>
      <c r="C875" t="s">
        <v>477</v>
      </c>
      <c r="D875" t="s">
        <v>503</v>
      </c>
      <c r="E875" t="s">
        <v>34</v>
      </c>
      <c r="F875" t="s">
        <v>505</v>
      </c>
      <c r="G875" t="s">
        <v>440</v>
      </c>
      <c r="H875" t="s">
        <v>182</v>
      </c>
      <c r="I875" t="s">
        <v>503</v>
      </c>
      <c r="J875" t="s">
        <v>1848</v>
      </c>
      <c r="K875" s="21" t="s">
        <v>1849</v>
      </c>
      <c r="L875" s="21" t="s">
        <v>509</v>
      </c>
      <c r="M875" t="s">
        <v>510</v>
      </c>
      <c r="N875" t="s">
        <v>159</v>
      </c>
      <c r="R875" t="s">
        <v>1843</v>
      </c>
      <c r="S875" t="s">
        <v>1848</v>
      </c>
      <c r="T875" t="s">
        <v>45</v>
      </c>
      <c r="U875" t="s">
        <v>1428</v>
      </c>
      <c r="V875" t="s">
        <v>1850</v>
      </c>
      <c r="W875" t="s">
        <v>1851</v>
      </c>
    </row>
    <row r="876" spans="1:23" ht="15" customHeight="1" x14ac:dyDescent="0.3">
      <c r="A876" t="s">
        <v>8</v>
      </c>
      <c r="B876">
        <v>85</v>
      </c>
      <c r="C876" t="s">
        <v>477</v>
      </c>
      <c r="D876" t="s">
        <v>503</v>
      </c>
      <c r="E876" t="s">
        <v>34</v>
      </c>
      <c r="F876" t="s">
        <v>505</v>
      </c>
      <c r="G876" t="s">
        <v>440</v>
      </c>
      <c r="H876" t="s">
        <v>182</v>
      </c>
      <c r="I876" t="s">
        <v>503</v>
      </c>
      <c r="J876" t="s">
        <v>1848</v>
      </c>
      <c r="K876" s="21" t="s">
        <v>1849</v>
      </c>
      <c r="L876" s="21" t="s">
        <v>509</v>
      </c>
      <c r="M876" t="s">
        <v>510</v>
      </c>
      <c r="N876" t="s">
        <v>159</v>
      </c>
      <c r="R876" t="s">
        <v>1844</v>
      </c>
      <c r="S876" t="s">
        <v>1848</v>
      </c>
      <c r="T876" t="s">
        <v>45</v>
      </c>
      <c r="U876" t="s">
        <v>1428</v>
      </c>
      <c r="V876" t="s">
        <v>1850</v>
      </c>
      <c r="W876" t="s">
        <v>1851</v>
      </c>
    </row>
    <row r="877" spans="1:23" ht="15" customHeight="1" x14ac:dyDescent="0.3">
      <c r="A877" t="s">
        <v>8</v>
      </c>
      <c r="B877">
        <v>85</v>
      </c>
      <c r="C877" t="s">
        <v>477</v>
      </c>
      <c r="D877" t="s">
        <v>503</v>
      </c>
      <c r="E877" t="s">
        <v>34</v>
      </c>
      <c r="F877" t="s">
        <v>505</v>
      </c>
      <c r="G877" t="s">
        <v>440</v>
      </c>
      <c r="H877" t="s">
        <v>182</v>
      </c>
      <c r="I877" t="s">
        <v>503</v>
      </c>
      <c r="J877" t="s">
        <v>1848</v>
      </c>
      <c r="K877" s="21" t="s">
        <v>1849</v>
      </c>
      <c r="L877" s="21" t="s">
        <v>509</v>
      </c>
      <c r="M877" t="s">
        <v>510</v>
      </c>
      <c r="N877" t="s">
        <v>159</v>
      </c>
      <c r="R877" t="s">
        <v>1845</v>
      </c>
      <c r="S877" t="s">
        <v>1848</v>
      </c>
      <c r="T877" t="s">
        <v>45</v>
      </c>
      <c r="U877" t="s">
        <v>1428</v>
      </c>
      <c r="V877" t="s">
        <v>1850</v>
      </c>
      <c r="W877" t="s">
        <v>1851</v>
      </c>
    </row>
    <row r="878" spans="1:23" ht="15" customHeight="1" x14ac:dyDescent="0.3">
      <c r="A878" t="s">
        <v>8</v>
      </c>
      <c r="B878">
        <v>85</v>
      </c>
      <c r="C878" t="s">
        <v>477</v>
      </c>
      <c r="D878" t="s">
        <v>503</v>
      </c>
      <c r="E878" t="s">
        <v>34</v>
      </c>
      <c r="F878" t="s">
        <v>505</v>
      </c>
      <c r="G878" t="s">
        <v>440</v>
      </c>
      <c r="H878" t="s">
        <v>182</v>
      </c>
      <c r="I878" t="s">
        <v>503</v>
      </c>
      <c r="J878" t="s">
        <v>1848</v>
      </c>
      <c r="K878" s="21" t="s">
        <v>1849</v>
      </c>
      <c r="L878" s="21" t="s">
        <v>509</v>
      </c>
      <c r="M878" t="s">
        <v>510</v>
      </c>
      <c r="N878" t="s">
        <v>159</v>
      </c>
      <c r="R878" t="s">
        <v>1846</v>
      </c>
      <c r="S878" t="s">
        <v>1848</v>
      </c>
      <c r="T878" t="s">
        <v>45</v>
      </c>
      <c r="U878" t="s">
        <v>1428</v>
      </c>
      <c r="V878" t="s">
        <v>1850</v>
      </c>
      <c r="W878" t="s">
        <v>1851</v>
      </c>
    </row>
    <row r="879" spans="1:23" ht="15" customHeight="1" x14ac:dyDescent="0.3">
      <c r="A879" t="s">
        <v>8</v>
      </c>
      <c r="B879">
        <v>85</v>
      </c>
      <c r="C879" t="s">
        <v>477</v>
      </c>
      <c r="D879" t="s">
        <v>503</v>
      </c>
      <c r="E879" t="s">
        <v>34</v>
      </c>
      <c r="F879" t="s">
        <v>505</v>
      </c>
      <c r="G879" t="s">
        <v>440</v>
      </c>
      <c r="H879" t="s">
        <v>182</v>
      </c>
      <c r="I879" t="s">
        <v>503</v>
      </c>
      <c r="J879" t="s">
        <v>1848</v>
      </c>
      <c r="K879" s="21" t="s">
        <v>1849</v>
      </c>
      <c r="L879" s="21" t="s">
        <v>509</v>
      </c>
      <c r="M879" t="s">
        <v>510</v>
      </c>
      <c r="N879" t="s">
        <v>159</v>
      </c>
      <c r="R879" t="s">
        <v>1847</v>
      </c>
      <c r="S879" t="s">
        <v>1848</v>
      </c>
      <c r="T879" t="s">
        <v>45</v>
      </c>
      <c r="U879" t="s">
        <v>1428</v>
      </c>
      <c r="V879" t="s">
        <v>1850</v>
      </c>
      <c r="W879" t="s">
        <v>1851</v>
      </c>
    </row>
    <row r="880" spans="1:23" ht="15" customHeight="1" x14ac:dyDescent="0.3">
      <c r="A880" t="s">
        <v>8</v>
      </c>
      <c r="B880">
        <v>85</v>
      </c>
      <c r="C880" t="s">
        <v>477</v>
      </c>
      <c r="D880" t="s">
        <v>503</v>
      </c>
      <c r="E880" t="s">
        <v>34</v>
      </c>
      <c r="F880" t="s">
        <v>505</v>
      </c>
      <c r="G880" t="s">
        <v>440</v>
      </c>
      <c r="H880" t="s">
        <v>1242</v>
      </c>
      <c r="I880" t="s">
        <v>503</v>
      </c>
      <c r="J880" t="s">
        <v>1852</v>
      </c>
      <c r="K880" s="21" t="s">
        <v>1853</v>
      </c>
      <c r="L880" s="21" t="s">
        <v>509</v>
      </c>
      <c r="M880" t="s">
        <v>510</v>
      </c>
      <c r="N880" t="s">
        <v>159</v>
      </c>
      <c r="R880" t="s">
        <v>1842</v>
      </c>
      <c r="S880" t="s">
        <v>1852</v>
      </c>
      <c r="T880" t="s">
        <v>45</v>
      </c>
      <c r="U880" t="s">
        <v>1416</v>
      </c>
      <c r="V880" t="s">
        <v>1850</v>
      </c>
      <c r="W880" t="s">
        <v>1854</v>
      </c>
    </row>
    <row r="881" spans="1:23" ht="15" customHeight="1" x14ac:dyDescent="0.3">
      <c r="A881" t="s">
        <v>8</v>
      </c>
      <c r="B881">
        <v>85</v>
      </c>
      <c r="C881" t="s">
        <v>477</v>
      </c>
      <c r="D881" t="s">
        <v>503</v>
      </c>
      <c r="E881" t="s">
        <v>34</v>
      </c>
      <c r="F881" t="s">
        <v>505</v>
      </c>
      <c r="G881" t="s">
        <v>440</v>
      </c>
      <c r="H881" t="s">
        <v>1242</v>
      </c>
      <c r="I881" t="s">
        <v>503</v>
      </c>
      <c r="J881" t="s">
        <v>1852</v>
      </c>
      <c r="K881" s="21" t="s">
        <v>1853</v>
      </c>
      <c r="L881" s="21" t="s">
        <v>509</v>
      </c>
      <c r="M881" t="s">
        <v>510</v>
      </c>
      <c r="N881" t="s">
        <v>159</v>
      </c>
      <c r="R881" t="s">
        <v>1843</v>
      </c>
      <c r="S881" t="s">
        <v>1852</v>
      </c>
      <c r="T881" t="s">
        <v>45</v>
      </c>
      <c r="U881" t="s">
        <v>1416</v>
      </c>
      <c r="V881" t="s">
        <v>1850</v>
      </c>
      <c r="W881" t="s">
        <v>1854</v>
      </c>
    </row>
    <row r="882" spans="1:23" ht="15" customHeight="1" x14ac:dyDescent="0.3">
      <c r="A882" t="s">
        <v>8</v>
      </c>
      <c r="B882">
        <v>85</v>
      </c>
      <c r="C882" t="s">
        <v>477</v>
      </c>
      <c r="D882" t="s">
        <v>503</v>
      </c>
      <c r="E882" t="s">
        <v>34</v>
      </c>
      <c r="F882" t="s">
        <v>505</v>
      </c>
      <c r="G882" t="s">
        <v>440</v>
      </c>
      <c r="H882" t="s">
        <v>1242</v>
      </c>
      <c r="I882" t="s">
        <v>503</v>
      </c>
      <c r="J882" t="s">
        <v>1852</v>
      </c>
      <c r="K882" s="21" t="s">
        <v>1853</v>
      </c>
      <c r="L882" s="21" t="s">
        <v>509</v>
      </c>
      <c r="M882" t="s">
        <v>510</v>
      </c>
      <c r="N882" t="s">
        <v>159</v>
      </c>
      <c r="R882" t="s">
        <v>1844</v>
      </c>
      <c r="S882" t="s">
        <v>1852</v>
      </c>
      <c r="T882" t="s">
        <v>45</v>
      </c>
      <c r="U882" t="s">
        <v>1416</v>
      </c>
      <c r="V882" t="s">
        <v>1850</v>
      </c>
      <c r="W882" t="s">
        <v>1854</v>
      </c>
    </row>
    <row r="883" spans="1:23" ht="15" customHeight="1" x14ac:dyDescent="0.3">
      <c r="A883" t="s">
        <v>8</v>
      </c>
      <c r="B883">
        <v>85</v>
      </c>
      <c r="C883" t="s">
        <v>477</v>
      </c>
      <c r="D883" t="s">
        <v>503</v>
      </c>
      <c r="E883" t="s">
        <v>34</v>
      </c>
      <c r="F883" t="s">
        <v>505</v>
      </c>
      <c r="G883" t="s">
        <v>440</v>
      </c>
      <c r="H883" t="s">
        <v>1242</v>
      </c>
      <c r="I883" t="s">
        <v>503</v>
      </c>
      <c r="J883" t="s">
        <v>1852</v>
      </c>
      <c r="K883" s="21" t="s">
        <v>1853</v>
      </c>
      <c r="L883" s="21" t="s">
        <v>509</v>
      </c>
      <c r="M883" t="s">
        <v>510</v>
      </c>
      <c r="N883" t="s">
        <v>159</v>
      </c>
      <c r="R883" t="s">
        <v>1845</v>
      </c>
      <c r="S883" t="s">
        <v>1852</v>
      </c>
      <c r="T883" t="s">
        <v>45</v>
      </c>
      <c r="U883" t="s">
        <v>1416</v>
      </c>
      <c r="V883" t="s">
        <v>1850</v>
      </c>
      <c r="W883" t="s">
        <v>1854</v>
      </c>
    </row>
    <row r="884" spans="1:23" ht="15" customHeight="1" x14ac:dyDescent="0.3">
      <c r="A884" t="s">
        <v>8</v>
      </c>
      <c r="B884">
        <v>85</v>
      </c>
      <c r="C884" t="s">
        <v>477</v>
      </c>
      <c r="D884" t="s">
        <v>503</v>
      </c>
      <c r="E884" t="s">
        <v>34</v>
      </c>
      <c r="F884" t="s">
        <v>505</v>
      </c>
      <c r="G884" t="s">
        <v>440</v>
      </c>
      <c r="H884" t="s">
        <v>1242</v>
      </c>
      <c r="I884" t="s">
        <v>503</v>
      </c>
      <c r="J884" t="s">
        <v>1852</v>
      </c>
      <c r="K884" s="21" t="s">
        <v>1853</v>
      </c>
      <c r="L884" s="21" t="s">
        <v>509</v>
      </c>
      <c r="M884" t="s">
        <v>510</v>
      </c>
      <c r="N884" t="s">
        <v>159</v>
      </c>
      <c r="R884" t="s">
        <v>1846</v>
      </c>
      <c r="S884" t="s">
        <v>1852</v>
      </c>
      <c r="T884" t="s">
        <v>45</v>
      </c>
      <c r="U884" t="s">
        <v>1416</v>
      </c>
      <c r="V884" t="s">
        <v>1850</v>
      </c>
      <c r="W884" t="s">
        <v>1854</v>
      </c>
    </row>
    <row r="885" spans="1:23" ht="15" customHeight="1" x14ac:dyDescent="0.3">
      <c r="A885" t="s">
        <v>8</v>
      </c>
      <c r="B885">
        <v>85</v>
      </c>
      <c r="C885" t="s">
        <v>477</v>
      </c>
      <c r="D885" t="s">
        <v>503</v>
      </c>
      <c r="E885" t="s">
        <v>34</v>
      </c>
      <c r="F885" t="s">
        <v>505</v>
      </c>
      <c r="G885" t="s">
        <v>440</v>
      </c>
      <c r="H885" t="s">
        <v>1242</v>
      </c>
      <c r="I885" t="s">
        <v>503</v>
      </c>
      <c r="J885" t="s">
        <v>1852</v>
      </c>
      <c r="K885" s="21" t="s">
        <v>1853</v>
      </c>
      <c r="L885" s="21" t="s">
        <v>509</v>
      </c>
      <c r="M885" t="s">
        <v>510</v>
      </c>
      <c r="N885" t="s">
        <v>159</v>
      </c>
      <c r="R885" t="s">
        <v>1847</v>
      </c>
      <c r="S885" t="s">
        <v>1852</v>
      </c>
      <c r="T885" t="s">
        <v>45</v>
      </c>
      <c r="U885" t="s">
        <v>1416</v>
      </c>
      <c r="V885" t="s">
        <v>1850</v>
      </c>
      <c r="W885" t="s">
        <v>1854</v>
      </c>
    </row>
    <row r="886" spans="1:23" ht="15" customHeight="1" x14ac:dyDescent="0.3">
      <c r="A886" t="s">
        <v>8</v>
      </c>
      <c r="B886">
        <v>96</v>
      </c>
      <c r="C886" t="s">
        <v>477</v>
      </c>
      <c r="D886" t="s">
        <v>1855</v>
      </c>
      <c r="E886" t="s">
        <v>34</v>
      </c>
      <c r="F886" t="s">
        <v>1856</v>
      </c>
      <c r="G886" t="s">
        <v>440</v>
      </c>
      <c r="H886" t="s">
        <v>37</v>
      </c>
      <c r="I886" t="s">
        <v>1855</v>
      </c>
      <c r="J886" t="s">
        <v>1857</v>
      </c>
      <c r="K886" t="s">
        <v>1858</v>
      </c>
      <c r="L886" s="21" t="s">
        <v>1859</v>
      </c>
      <c r="M886" t="s">
        <v>1860</v>
      </c>
      <c r="N886" t="s">
        <v>1861</v>
      </c>
      <c r="R886" t="s">
        <v>1862</v>
      </c>
      <c r="S886" t="s">
        <v>1857</v>
      </c>
      <c r="T886" t="s">
        <v>45</v>
      </c>
      <c r="U886" t="s">
        <v>46</v>
      </c>
      <c r="V886" t="s">
        <v>1863</v>
      </c>
      <c r="W886" t="s">
        <v>1864</v>
      </c>
    </row>
    <row r="887" spans="1:23" ht="15" customHeight="1" x14ac:dyDescent="0.3">
      <c r="A887" t="s">
        <v>8</v>
      </c>
      <c r="B887">
        <v>96</v>
      </c>
      <c r="C887" t="s">
        <v>477</v>
      </c>
      <c r="D887" t="s">
        <v>1855</v>
      </c>
      <c r="E887" t="s">
        <v>34</v>
      </c>
      <c r="F887" t="s">
        <v>1856</v>
      </c>
      <c r="G887" t="s">
        <v>440</v>
      </c>
      <c r="H887" t="s">
        <v>37</v>
      </c>
      <c r="I887" t="s">
        <v>1855</v>
      </c>
      <c r="J887" t="s">
        <v>1857</v>
      </c>
      <c r="K887" t="s">
        <v>1858</v>
      </c>
      <c r="L887" s="21" t="s">
        <v>1859</v>
      </c>
      <c r="M887" t="s">
        <v>1860</v>
      </c>
      <c r="N887" t="s">
        <v>1861</v>
      </c>
      <c r="R887" t="s">
        <v>1865</v>
      </c>
      <c r="S887" t="s">
        <v>1857</v>
      </c>
      <c r="T887" t="s">
        <v>45</v>
      </c>
      <c r="U887" t="s">
        <v>46</v>
      </c>
      <c r="V887" t="s">
        <v>1863</v>
      </c>
      <c r="W887" t="s">
        <v>1864</v>
      </c>
    </row>
    <row r="888" spans="1:23" ht="15" customHeight="1" x14ac:dyDescent="0.3">
      <c r="A888" t="s">
        <v>8</v>
      </c>
      <c r="B888">
        <v>96</v>
      </c>
      <c r="C888" t="s">
        <v>477</v>
      </c>
      <c r="D888" t="s">
        <v>1855</v>
      </c>
      <c r="E888" t="s">
        <v>34</v>
      </c>
      <c r="F888" t="s">
        <v>1856</v>
      </c>
      <c r="G888" t="s">
        <v>440</v>
      </c>
      <c r="H888" t="s">
        <v>37</v>
      </c>
      <c r="I888" t="s">
        <v>1855</v>
      </c>
      <c r="J888" t="s">
        <v>1857</v>
      </c>
      <c r="K888" t="s">
        <v>1858</v>
      </c>
      <c r="L888" s="21" t="s">
        <v>1859</v>
      </c>
      <c r="M888" t="s">
        <v>1860</v>
      </c>
      <c r="N888" t="s">
        <v>1861</v>
      </c>
      <c r="R888" t="s">
        <v>1866</v>
      </c>
      <c r="S888" t="s">
        <v>1857</v>
      </c>
      <c r="T888" t="s">
        <v>45</v>
      </c>
      <c r="U888" t="s">
        <v>46</v>
      </c>
      <c r="V888" t="s">
        <v>1863</v>
      </c>
      <c r="W888" t="s">
        <v>1864</v>
      </c>
    </row>
    <row r="889" spans="1:23" ht="15" customHeight="1" x14ac:dyDescent="0.3">
      <c r="A889" t="s">
        <v>8</v>
      </c>
      <c r="B889">
        <v>96</v>
      </c>
      <c r="C889" t="s">
        <v>477</v>
      </c>
      <c r="D889" t="s">
        <v>1855</v>
      </c>
      <c r="E889" t="s">
        <v>34</v>
      </c>
      <c r="F889" t="s">
        <v>1856</v>
      </c>
      <c r="G889" t="s">
        <v>440</v>
      </c>
      <c r="H889" t="s">
        <v>37</v>
      </c>
      <c r="I889" t="s">
        <v>1855</v>
      </c>
      <c r="J889" t="s">
        <v>1857</v>
      </c>
      <c r="K889" t="s">
        <v>1858</v>
      </c>
      <c r="L889" s="21" t="s">
        <v>1859</v>
      </c>
      <c r="M889" t="s">
        <v>1860</v>
      </c>
      <c r="N889" t="s">
        <v>1861</v>
      </c>
      <c r="R889" t="s">
        <v>1867</v>
      </c>
      <c r="S889" t="s">
        <v>1857</v>
      </c>
      <c r="T889" t="s">
        <v>45</v>
      </c>
      <c r="U889" t="s">
        <v>46</v>
      </c>
      <c r="V889" t="s">
        <v>1863</v>
      </c>
      <c r="W889" t="s">
        <v>1864</v>
      </c>
    </row>
    <row r="890" spans="1:23" ht="15" customHeight="1" x14ac:dyDescent="0.3">
      <c r="A890" t="s">
        <v>8</v>
      </c>
      <c r="B890">
        <v>96</v>
      </c>
      <c r="C890" t="s">
        <v>477</v>
      </c>
      <c r="D890" t="s">
        <v>1855</v>
      </c>
      <c r="E890" t="s">
        <v>34</v>
      </c>
      <c r="F890" t="s">
        <v>1856</v>
      </c>
      <c r="G890" t="s">
        <v>440</v>
      </c>
      <c r="H890" t="s">
        <v>37</v>
      </c>
      <c r="I890" t="s">
        <v>1855</v>
      </c>
      <c r="J890" t="s">
        <v>1857</v>
      </c>
      <c r="K890" t="s">
        <v>1858</v>
      </c>
      <c r="L890" s="21" t="s">
        <v>1859</v>
      </c>
      <c r="M890" t="s">
        <v>1860</v>
      </c>
      <c r="N890" t="s">
        <v>1861</v>
      </c>
      <c r="R890" t="s">
        <v>1868</v>
      </c>
      <c r="S890" t="s">
        <v>1857</v>
      </c>
      <c r="T890" t="s">
        <v>45</v>
      </c>
      <c r="U890" t="s">
        <v>46</v>
      </c>
      <c r="V890" t="s">
        <v>1863</v>
      </c>
      <c r="W890" t="s">
        <v>1864</v>
      </c>
    </row>
    <row r="891" spans="1:23" ht="15" customHeight="1" x14ac:dyDescent="0.3">
      <c r="A891" t="s">
        <v>8</v>
      </c>
      <c r="B891">
        <v>96</v>
      </c>
      <c r="C891" t="s">
        <v>477</v>
      </c>
      <c r="D891" t="s">
        <v>1855</v>
      </c>
      <c r="E891" t="s">
        <v>34</v>
      </c>
      <c r="F891" t="s">
        <v>1856</v>
      </c>
      <c r="G891" t="s">
        <v>440</v>
      </c>
      <c r="H891" t="s">
        <v>37</v>
      </c>
      <c r="I891" t="s">
        <v>1855</v>
      </c>
      <c r="J891" t="s">
        <v>1857</v>
      </c>
      <c r="K891" t="s">
        <v>1858</v>
      </c>
      <c r="L891" s="21" t="s">
        <v>1859</v>
      </c>
      <c r="M891" t="s">
        <v>1860</v>
      </c>
      <c r="N891" t="s">
        <v>1861</v>
      </c>
      <c r="R891" t="s">
        <v>1869</v>
      </c>
      <c r="S891" t="s">
        <v>1857</v>
      </c>
      <c r="T891" t="s">
        <v>45</v>
      </c>
      <c r="U891" t="s">
        <v>46</v>
      </c>
      <c r="V891" t="s">
        <v>1863</v>
      </c>
      <c r="W891" t="s">
        <v>1864</v>
      </c>
    </row>
    <row r="892" spans="1:23" ht="15" customHeight="1" x14ac:dyDescent="0.3">
      <c r="A892" t="s">
        <v>8</v>
      </c>
      <c r="B892">
        <v>96</v>
      </c>
      <c r="C892" t="s">
        <v>477</v>
      </c>
      <c r="D892" t="s">
        <v>1855</v>
      </c>
      <c r="E892" t="s">
        <v>34</v>
      </c>
      <c r="F892" t="s">
        <v>1856</v>
      </c>
      <c r="G892" t="s">
        <v>440</v>
      </c>
      <c r="H892" t="s">
        <v>52</v>
      </c>
      <c r="I892" t="s">
        <v>1855</v>
      </c>
      <c r="J892" t="s">
        <v>1870</v>
      </c>
      <c r="K892" s="21" t="s">
        <v>1871</v>
      </c>
      <c r="L892" s="21" t="s">
        <v>1859</v>
      </c>
      <c r="M892" t="s">
        <v>1860</v>
      </c>
      <c r="N892" t="s">
        <v>1861</v>
      </c>
      <c r="R892" t="s">
        <v>1862</v>
      </c>
      <c r="S892" t="s">
        <v>1870</v>
      </c>
      <c r="T892" t="s">
        <v>45</v>
      </c>
      <c r="U892" t="s">
        <v>46</v>
      </c>
      <c r="V892" t="s">
        <v>1863</v>
      </c>
      <c r="W892" t="s">
        <v>1872</v>
      </c>
    </row>
    <row r="893" spans="1:23" ht="15" customHeight="1" x14ac:dyDescent="0.3">
      <c r="A893" t="s">
        <v>8</v>
      </c>
      <c r="B893">
        <v>96</v>
      </c>
      <c r="C893" t="s">
        <v>477</v>
      </c>
      <c r="D893" t="s">
        <v>1855</v>
      </c>
      <c r="E893" t="s">
        <v>34</v>
      </c>
      <c r="F893" t="s">
        <v>1856</v>
      </c>
      <c r="G893" t="s">
        <v>440</v>
      </c>
      <c r="H893" t="s">
        <v>52</v>
      </c>
      <c r="I893" t="s">
        <v>1855</v>
      </c>
      <c r="J893" t="s">
        <v>1870</v>
      </c>
      <c r="K893" s="21" t="s">
        <v>1871</v>
      </c>
      <c r="L893" s="21" t="s">
        <v>1859</v>
      </c>
      <c r="M893" t="s">
        <v>1860</v>
      </c>
      <c r="N893" t="s">
        <v>1861</v>
      </c>
      <c r="R893" t="s">
        <v>1865</v>
      </c>
      <c r="S893" t="s">
        <v>1870</v>
      </c>
      <c r="T893" t="s">
        <v>45</v>
      </c>
      <c r="U893" t="s">
        <v>46</v>
      </c>
      <c r="V893" t="s">
        <v>1863</v>
      </c>
      <c r="W893" t="s">
        <v>1872</v>
      </c>
    </row>
    <row r="894" spans="1:23" ht="15" customHeight="1" x14ac:dyDescent="0.3">
      <c r="A894" t="s">
        <v>8</v>
      </c>
      <c r="B894">
        <v>96</v>
      </c>
      <c r="C894" t="s">
        <v>477</v>
      </c>
      <c r="D894" t="s">
        <v>1855</v>
      </c>
      <c r="E894" t="s">
        <v>34</v>
      </c>
      <c r="F894" t="s">
        <v>1856</v>
      </c>
      <c r="G894" t="s">
        <v>440</v>
      </c>
      <c r="H894" t="s">
        <v>52</v>
      </c>
      <c r="I894" t="s">
        <v>1855</v>
      </c>
      <c r="J894" t="s">
        <v>1870</v>
      </c>
      <c r="K894" s="21" t="s">
        <v>1871</v>
      </c>
      <c r="L894" s="21" t="s">
        <v>1859</v>
      </c>
      <c r="M894" t="s">
        <v>1860</v>
      </c>
      <c r="N894" t="s">
        <v>1861</v>
      </c>
      <c r="R894" t="s">
        <v>1866</v>
      </c>
      <c r="S894" t="s">
        <v>1870</v>
      </c>
      <c r="T894" t="s">
        <v>45</v>
      </c>
      <c r="U894" t="s">
        <v>46</v>
      </c>
      <c r="V894" t="s">
        <v>1863</v>
      </c>
      <c r="W894" t="s">
        <v>1872</v>
      </c>
    </row>
    <row r="895" spans="1:23" ht="15" customHeight="1" x14ac:dyDescent="0.3">
      <c r="A895" t="s">
        <v>8</v>
      </c>
      <c r="B895">
        <v>96</v>
      </c>
      <c r="C895" t="s">
        <v>477</v>
      </c>
      <c r="D895" t="s">
        <v>1855</v>
      </c>
      <c r="E895" t="s">
        <v>34</v>
      </c>
      <c r="F895" t="s">
        <v>1856</v>
      </c>
      <c r="G895" t="s">
        <v>440</v>
      </c>
      <c r="H895" t="s">
        <v>52</v>
      </c>
      <c r="I895" t="s">
        <v>1855</v>
      </c>
      <c r="J895" t="s">
        <v>1870</v>
      </c>
      <c r="K895" s="21" t="s">
        <v>1871</v>
      </c>
      <c r="L895" s="21" t="s">
        <v>1859</v>
      </c>
      <c r="M895" t="s">
        <v>1860</v>
      </c>
      <c r="N895" t="s">
        <v>1861</v>
      </c>
      <c r="R895" t="s">
        <v>1867</v>
      </c>
      <c r="S895" t="s">
        <v>1870</v>
      </c>
      <c r="T895" t="s">
        <v>45</v>
      </c>
      <c r="U895" t="s">
        <v>46</v>
      </c>
      <c r="V895" t="s">
        <v>1863</v>
      </c>
      <c r="W895" t="s">
        <v>1872</v>
      </c>
    </row>
    <row r="896" spans="1:23" ht="15" customHeight="1" x14ac:dyDescent="0.3">
      <c r="A896" t="s">
        <v>8</v>
      </c>
      <c r="B896">
        <v>96</v>
      </c>
      <c r="C896" t="s">
        <v>477</v>
      </c>
      <c r="D896" t="s">
        <v>1855</v>
      </c>
      <c r="E896" t="s">
        <v>34</v>
      </c>
      <c r="F896" t="s">
        <v>1856</v>
      </c>
      <c r="G896" t="s">
        <v>440</v>
      </c>
      <c r="H896" t="s">
        <v>52</v>
      </c>
      <c r="I896" t="s">
        <v>1855</v>
      </c>
      <c r="J896" t="s">
        <v>1870</v>
      </c>
      <c r="K896" s="21" t="s">
        <v>1871</v>
      </c>
      <c r="L896" s="21" t="s">
        <v>1859</v>
      </c>
      <c r="M896" t="s">
        <v>1860</v>
      </c>
      <c r="N896" t="s">
        <v>1861</v>
      </c>
      <c r="R896" t="s">
        <v>1868</v>
      </c>
      <c r="S896" t="s">
        <v>1870</v>
      </c>
      <c r="T896" t="s">
        <v>45</v>
      </c>
      <c r="U896" t="s">
        <v>46</v>
      </c>
      <c r="V896" t="s">
        <v>1863</v>
      </c>
      <c r="W896" t="s">
        <v>1872</v>
      </c>
    </row>
    <row r="897" spans="1:23" ht="15" customHeight="1" x14ac:dyDescent="0.3">
      <c r="A897" t="s">
        <v>8</v>
      </c>
      <c r="B897">
        <v>96</v>
      </c>
      <c r="C897" t="s">
        <v>477</v>
      </c>
      <c r="D897" t="s">
        <v>1855</v>
      </c>
      <c r="E897" t="s">
        <v>34</v>
      </c>
      <c r="F897" t="s">
        <v>1856</v>
      </c>
      <c r="G897" t="s">
        <v>440</v>
      </c>
      <c r="H897" t="s">
        <v>52</v>
      </c>
      <c r="I897" t="s">
        <v>1855</v>
      </c>
      <c r="J897" t="s">
        <v>1870</v>
      </c>
      <c r="K897" s="21" t="s">
        <v>1871</v>
      </c>
      <c r="L897" s="21" t="s">
        <v>1859</v>
      </c>
      <c r="M897" t="s">
        <v>1860</v>
      </c>
      <c r="N897" t="s">
        <v>1861</v>
      </c>
      <c r="R897" t="s">
        <v>1869</v>
      </c>
      <c r="S897" t="s">
        <v>1870</v>
      </c>
      <c r="T897" t="s">
        <v>45</v>
      </c>
      <c r="U897" t="s">
        <v>46</v>
      </c>
      <c r="V897" t="s">
        <v>1863</v>
      </c>
      <c r="W897" t="s">
        <v>1872</v>
      </c>
    </row>
    <row r="898" spans="1:23" ht="15" customHeight="1" x14ac:dyDescent="0.3">
      <c r="A898" t="s">
        <v>8</v>
      </c>
      <c r="B898">
        <v>96</v>
      </c>
      <c r="C898" t="s">
        <v>477</v>
      </c>
      <c r="D898" t="s">
        <v>1855</v>
      </c>
      <c r="E898" t="s">
        <v>34</v>
      </c>
      <c r="F898" t="s">
        <v>1856</v>
      </c>
      <c r="G898" t="s">
        <v>440</v>
      </c>
      <c r="H898" t="s">
        <v>57</v>
      </c>
      <c r="I898" t="s">
        <v>1855</v>
      </c>
      <c r="J898" t="s">
        <v>1873</v>
      </c>
      <c r="K898" s="21" t="s">
        <v>1874</v>
      </c>
      <c r="L898" s="21" t="s">
        <v>1859</v>
      </c>
      <c r="M898" t="s">
        <v>1860</v>
      </c>
      <c r="N898" t="s">
        <v>1861</v>
      </c>
      <c r="R898" t="s">
        <v>1862</v>
      </c>
      <c r="S898" t="s">
        <v>1873</v>
      </c>
      <c r="T898" t="s">
        <v>45</v>
      </c>
      <c r="U898" t="s">
        <v>46</v>
      </c>
      <c r="V898" t="s">
        <v>1863</v>
      </c>
      <c r="W898" t="s">
        <v>1875</v>
      </c>
    </row>
    <row r="899" spans="1:23" ht="15" customHeight="1" x14ac:dyDescent="0.3">
      <c r="A899" t="s">
        <v>8</v>
      </c>
      <c r="B899">
        <v>96</v>
      </c>
      <c r="C899" t="s">
        <v>477</v>
      </c>
      <c r="D899" t="s">
        <v>1855</v>
      </c>
      <c r="E899" t="s">
        <v>34</v>
      </c>
      <c r="F899" t="s">
        <v>1856</v>
      </c>
      <c r="G899" t="s">
        <v>440</v>
      </c>
      <c r="H899" t="s">
        <v>57</v>
      </c>
      <c r="I899" t="s">
        <v>1855</v>
      </c>
      <c r="J899" t="s">
        <v>1873</v>
      </c>
      <c r="K899" s="21" t="s">
        <v>1874</v>
      </c>
      <c r="L899" s="21" t="s">
        <v>1859</v>
      </c>
      <c r="M899" t="s">
        <v>1860</v>
      </c>
      <c r="N899" t="s">
        <v>1861</v>
      </c>
      <c r="R899" t="s">
        <v>1865</v>
      </c>
      <c r="S899" t="s">
        <v>1873</v>
      </c>
      <c r="T899" t="s">
        <v>45</v>
      </c>
      <c r="U899" t="s">
        <v>46</v>
      </c>
      <c r="V899" t="s">
        <v>1863</v>
      </c>
      <c r="W899" t="s">
        <v>1875</v>
      </c>
    </row>
    <row r="900" spans="1:23" ht="15" customHeight="1" x14ac:dyDescent="0.3">
      <c r="A900" t="s">
        <v>8</v>
      </c>
      <c r="B900">
        <v>96</v>
      </c>
      <c r="C900" t="s">
        <v>477</v>
      </c>
      <c r="D900" t="s">
        <v>1855</v>
      </c>
      <c r="E900" t="s">
        <v>34</v>
      </c>
      <c r="F900" t="s">
        <v>1856</v>
      </c>
      <c r="G900" t="s">
        <v>440</v>
      </c>
      <c r="H900" t="s">
        <v>57</v>
      </c>
      <c r="I900" t="s">
        <v>1855</v>
      </c>
      <c r="J900" t="s">
        <v>1873</v>
      </c>
      <c r="K900" s="21" t="s">
        <v>1874</v>
      </c>
      <c r="L900" s="21" t="s">
        <v>1859</v>
      </c>
      <c r="M900" t="s">
        <v>1860</v>
      </c>
      <c r="N900" t="s">
        <v>1861</v>
      </c>
      <c r="R900" t="s">
        <v>1866</v>
      </c>
      <c r="S900" t="s">
        <v>1873</v>
      </c>
      <c r="T900" t="s">
        <v>45</v>
      </c>
      <c r="U900" t="s">
        <v>46</v>
      </c>
      <c r="V900" t="s">
        <v>1863</v>
      </c>
      <c r="W900" t="s">
        <v>1875</v>
      </c>
    </row>
    <row r="901" spans="1:23" ht="15" customHeight="1" x14ac:dyDescent="0.3">
      <c r="A901" t="s">
        <v>8</v>
      </c>
      <c r="B901">
        <v>96</v>
      </c>
      <c r="C901" t="s">
        <v>477</v>
      </c>
      <c r="D901" t="s">
        <v>1855</v>
      </c>
      <c r="E901" t="s">
        <v>34</v>
      </c>
      <c r="F901" t="s">
        <v>1856</v>
      </c>
      <c r="G901" t="s">
        <v>440</v>
      </c>
      <c r="H901" t="s">
        <v>57</v>
      </c>
      <c r="I901" t="s">
        <v>1855</v>
      </c>
      <c r="J901" t="s">
        <v>1873</v>
      </c>
      <c r="K901" s="21" t="s">
        <v>1874</v>
      </c>
      <c r="L901" s="21" t="s">
        <v>1859</v>
      </c>
      <c r="M901" t="s">
        <v>1860</v>
      </c>
      <c r="N901" t="s">
        <v>1861</v>
      </c>
      <c r="R901" t="s">
        <v>1867</v>
      </c>
      <c r="S901" t="s">
        <v>1873</v>
      </c>
      <c r="T901" t="s">
        <v>45</v>
      </c>
      <c r="U901" t="s">
        <v>46</v>
      </c>
      <c r="V901" t="s">
        <v>1863</v>
      </c>
      <c r="W901" t="s">
        <v>1875</v>
      </c>
    </row>
    <row r="902" spans="1:23" ht="15" customHeight="1" x14ac:dyDescent="0.3">
      <c r="A902" t="s">
        <v>8</v>
      </c>
      <c r="B902">
        <v>96</v>
      </c>
      <c r="C902" t="s">
        <v>477</v>
      </c>
      <c r="D902" t="s">
        <v>1855</v>
      </c>
      <c r="E902" t="s">
        <v>34</v>
      </c>
      <c r="F902" t="s">
        <v>1856</v>
      </c>
      <c r="G902" t="s">
        <v>440</v>
      </c>
      <c r="H902" t="s">
        <v>57</v>
      </c>
      <c r="I902" t="s">
        <v>1855</v>
      </c>
      <c r="J902" t="s">
        <v>1873</v>
      </c>
      <c r="K902" s="21" t="s">
        <v>1874</v>
      </c>
      <c r="L902" s="21" t="s">
        <v>1859</v>
      </c>
      <c r="M902" t="s">
        <v>1860</v>
      </c>
      <c r="N902" t="s">
        <v>1861</v>
      </c>
      <c r="R902" t="s">
        <v>1868</v>
      </c>
      <c r="S902" t="s">
        <v>1873</v>
      </c>
      <c r="T902" t="s">
        <v>45</v>
      </c>
      <c r="U902" t="s">
        <v>46</v>
      </c>
      <c r="V902" t="s">
        <v>1863</v>
      </c>
      <c r="W902" t="s">
        <v>1875</v>
      </c>
    </row>
    <row r="903" spans="1:23" ht="15" customHeight="1" x14ac:dyDescent="0.3">
      <c r="A903" t="s">
        <v>8</v>
      </c>
      <c r="B903">
        <v>96</v>
      </c>
      <c r="C903" t="s">
        <v>477</v>
      </c>
      <c r="D903" t="s">
        <v>1855</v>
      </c>
      <c r="E903" t="s">
        <v>34</v>
      </c>
      <c r="F903" t="s">
        <v>1856</v>
      </c>
      <c r="G903" t="s">
        <v>440</v>
      </c>
      <c r="H903" t="s">
        <v>57</v>
      </c>
      <c r="I903" t="s">
        <v>1855</v>
      </c>
      <c r="J903" t="s">
        <v>1873</v>
      </c>
      <c r="K903" s="21" t="s">
        <v>1874</v>
      </c>
      <c r="L903" s="21" t="s">
        <v>1859</v>
      </c>
      <c r="M903" t="s">
        <v>1860</v>
      </c>
      <c r="N903" t="s">
        <v>1861</v>
      </c>
      <c r="R903" t="s">
        <v>1869</v>
      </c>
      <c r="S903" t="s">
        <v>1873</v>
      </c>
      <c r="T903" t="s">
        <v>45</v>
      </c>
      <c r="U903" t="s">
        <v>46</v>
      </c>
      <c r="V903" t="s">
        <v>1863</v>
      </c>
      <c r="W903" t="s">
        <v>1875</v>
      </c>
    </row>
    <row r="904" spans="1:23" ht="15" customHeight="1" x14ac:dyDescent="0.3">
      <c r="A904" t="s">
        <v>8</v>
      </c>
      <c r="B904">
        <v>96</v>
      </c>
      <c r="C904" t="s">
        <v>477</v>
      </c>
      <c r="D904" t="s">
        <v>1855</v>
      </c>
      <c r="E904" t="s">
        <v>34</v>
      </c>
      <c r="F904" t="s">
        <v>1856</v>
      </c>
      <c r="G904" t="s">
        <v>440</v>
      </c>
      <c r="H904" t="s">
        <v>49</v>
      </c>
      <c r="I904" t="s">
        <v>1855</v>
      </c>
      <c r="J904" t="s">
        <v>1876</v>
      </c>
      <c r="K904" s="21" t="s">
        <v>1877</v>
      </c>
      <c r="L904" s="21" t="s">
        <v>1859</v>
      </c>
      <c r="M904" t="s">
        <v>1860</v>
      </c>
      <c r="N904" t="s">
        <v>1861</v>
      </c>
      <c r="R904" t="s">
        <v>1862</v>
      </c>
      <c r="S904" t="s">
        <v>1876</v>
      </c>
      <c r="T904" t="s">
        <v>45</v>
      </c>
      <c r="U904" t="s">
        <v>46</v>
      </c>
      <c r="V904" t="s">
        <v>1863</v>
      </c>
      <c r="W904" t="s">
        <v>1878</v>
      </c>
    </row>
    <row r="905" spans="1:23" ht="15" customHeight="1" x14ac:dyDescent="0.3">
      <c r="A905" t="s">
        <v>8</v>
      </c>
      <c r="B905">
        <v>96</v>
      </c>
      <c r="C905" t="s">
        <v>477</v>
      </c>
      <c r="D905" t="s">
        <v>1855</v>
      </c>
      <c r="E905" t="s">
        <v>34</v>
      </c>
      <c r="F905" t="s">
        <v>1856</v>
      </c>
      <c r="G905" t="s">
        <v>440</v>
      </c>
      <c r="H905" t="s">
        <v>49</v>
      </c>
      <c r="I905" t="s">
        <v>1855</v>
      </c>
      <c r="J905" t="s">
        <v>1876</v>
      </c>
      <c r="K905" s="21" t="s">
        <v>1877</v>
      </c>
      <c r="L905" s="21" t="s">
        <v>1859</v>
      </c>
      <c r="M905" t="s">
        <v>1860</v>
      </c>
      <c r="N905" t="s">
        <v>1861</v>
      </c>
      <c r="R905" t="s">
        <v>1865</v>
      </c>
      <c r="S905" t="s">
        <v>1876</v>
      </c>
      <c r="T905" t="s">
        <v>45</v>
      </c>
      <c r="U905" t="s">
        <v>46</v>
      </c>
      <c r="V905" t="s">
        <v>1863</v>
      </c>
      <c r="W905" t="s">
        <v>1878</v>
      </c>
    </row>
    <row r="906" spans="1:23" ht="15" customHeight="1" x14ac:dyDescent="0.3">
      <c r="A906" t="s">
        <v>8</v>
      </c>
      <c r="B906">
        <v>96</v>
      </c>
      <c r="C906" t="s">
        <v>477</v>
      </c>
      <c r="D906" t="s">
        <v>1855</v>
      </c>
      <c r="E906" t="s">
        <v>34</v>
      </c>
      <c r="F906" t="s">
        <v>1856</v>
      </c>
      <c r="G906" t="s">
        <v>440</v>
      </c>
      <c r="H906" t="s">
        <v>49</v>
      </c>
      <c r="I906" t="s">
        <v>1855</v>
      </c>
      <c r="J906" t="s">
        <v>1876</v>
      </c>
      <c r="K906" s="21" t="s">
        <v>1877</v>
      </c>
      <c r="L906" s="21" t="s">
        <v>1859</v>
      </c>
      <c r="M906" t="s">
        <v>1860</v>
      </c>
      <c r="N906" t="s">
        <v>1861</v>
      </c>
      <c r="R906" t="s">
        <v>1866</v>
      </c>
      <c r="S906" t="s">
        <v>1876</v>
      </c>
      <c r="T906" t="s">
        <v>45</v>
      </c>
      <c r="U906" t="s">
        <v>46</v>
      </c>
      <c r="V906" t="s">
        <v>1863</v>
      </c>
      <c r="W906" t="s">
        <v>1878</v>
      </c>
    </row>
    <row r="907" spans="1:23" ht="15" customHeight="1" x14ac:dyDescent="0.3">
      <c r="A907" t="s">
        <v>8</v>
      </c>
      <c r="B907">
        <v>96</v>
      </c>
      <c r="C907" t="s">
        <v>477</v>
      </c>
      <c r="D907" t="s">
        <v>1855</v>
      </c>
      <c r="E907" t="s">
        <v>34</v>
      </c>
      <c r="F907" t="s">
        <v>1856</v>
      </c>
      <c r="G907" t="s">
        <v>440</v>
      </c>
      <c r="H907" t="s">
        <v>49</v>
      </c>
      <c r="I907" t="s">
        <v>1855</v>
      </c>
      <c r="J907" t="s">
        <v>1876</v>
      </c>
      <c r="K907" s="21" t="s">
        <v>1877</v>
      </c>
      <c r="L907" s="21" t="s">
        <v>1859</v>
      </c>
      <c r="M907" t="s">
        <v>1860</v>
      </c>
      <c r="N907" t="s">
        <v>1861</v>
      </c>
      <c r="R907" t="s">
        <v>1867</v>
      </c>
      <c r="S907" t="s">
        <v>1876</v>
      </c>
      <c r="T907" t="s">
        <v>45</v>
      </c>
      <c r="U907" t="s">
        <v>46</v>
      </c>
      <c r="V907" t="s">
        <v>1863</v>
      </c>
      <c r="W907" t="s">
        <v>1878</v>
      </c>
    </row>
    <row r="908" spans="1:23" ht="15" customHeight="1" x14ac:dyDescent="0.3">
      <c r="A908" t="s">
        <v>8</v>
      </c>
      <c r="B908">
        <v>96</v>
      </c>
      <c r="C908" t="s">
        <v>477</v>
      </c>
      <c r="D908" t="s">
        <v>1855</v>
      </c>
      <c r="E908" t="s">
        <v>34</v>
      </c>
      <c r="F908" t="s">
        <v>1856</v>
      </c>
      <c r="G908" t="s">
        <v>440</v>
      </c>
      <c r="H908" t="s">
        <v>49</v>
      </c>
      <c r="I908" t="s">
        <v>1855</v>
      </c>
      <c r="J908" t="s">
        <v>1876</v>
      </c>
      <c r="K908" s="21" t="s">
        <v>1877</v>
      </c>
      <c r="L908" s="21" t="s">
        <v>1859</v>
      </c>
      <c r="M908" t="s">
        <v>1860</v>
      </c>
      <c r="N908" t="s">
        <v>1861</v>
      </c>
      <c r="R908" t="s">
        <v>1868</v>
      </c>
      <c r="S908" t="s">
        <v>1876</v>
      </c>
      <c r="T908" t="s">
        <v>45</v>
      </c>
      <c r="U908" t="s">
        <v>46</v>
      </c>
      <c r="V908" t="s">
        <v>1863</v>
      </c>
      <c r="W908" t="s">
        <v>1878</v>
      </c>
    </row>
    <row r="909" spans="1:23" ht="15" customHeight="1" x14ac:dyDescent="0.3">
      <c r="A909" t="s">
        <v>8</v>
      </c>
      <c r="B909">
        <v>96</v>
      </c>
      <c r="C909" t="s">
        <v>477</v>
      </c>
      <c r="D909" t="s">
        <v>1855</v>
      </c>
      <c r="E909" t="s">
        <v>34</v>
      </c>
      <c r="F909" t="s">
        <v>1856</v>
      </c>
      <c r="G909" t="s">
        <v>440</v>
      </c>
      <c r="H909" t="s">
        <v>49</v>
      </c>
      <c r="I909" t="s">
        <v>1855</v>
      </c>
      <c r="J909" t="s">
        <v>1876</v>
      </c>
      <c r="K909" s="21" t="s">
        <v>1877</v>
      </c>
      <c r="L909" s="21" t="s">
        <v>1859</v>
      </c>
      <c r="M909" t="s">
        <v>1860</v>
      </c>
      <c r="N909" t="s">
        <v>1861</v>
      </c>
      <c r="R909" t="s">
        <v>1869</v>
      </c>
      <c r="S909" t="s">
        <v>1876</v>
      </c>
      <c r="T909" t="s">
        <v>45</v>
      </c>
      <c r="U909" t="s">
        <v>46</v>
      </c>
      <c r="V909" t="s">
        <v>1863</v>
      </c>
      <c r="W909" t="s">
        <v>1878</v>
      </c>
    </row>
    <row r="910" spans="1:23" ht="15" customHeight="1" x14ac:dyDescent="0.3">
      <c r="A910" t="s">
        <v>8</v>
      </c>
      <c r="B910">
        <v>96</v>
      </c>
      <c r="C910" t="s">
        <v>477</v>
      </c>
      <c r="D910" t="s">
        <v>1855</v>
      </c>
      <c r="E910" t="s">
        <v>34</v>
      </c>
      <c r="F910" t="s">
        <v>1856</v>
      </c>
      <c r="G910" t="s">
        <v>440</v>
      </c>
      <c r="H910" t="s">
        <v>87</v>
      </c>
      <c r="I910" t="s">
        <v>1855</v>
      </c>
      <c r="J910" t="s">
        <v>1879</v>
      </c>
      <c r="K910" s="21" t="s">
        <v>1880</v>
      </c>
      <c r="L910" s="21" t="s">
        <v>1859</v>
      </c>
      <c r="M910" t="s">
        <v>1860</v>
      </c>
      <c r="N910" t="s">
        <v>1861</v>
      </c>
      <c r="R910" t="s">
        <v>1862</v>
      </c>
      <c r="S910" t="s">
        <v>1879</v>
      </c>
      <c r="T910" t="s">
        <v>45</v>
      </c>
      <c r="U910" t="s">
        <v>46</v>
      </c>
      <c r="V910" t="s">
        <v>1863</v>
      </c>
      <c r="W910" t="s">
        <v>1881</v>
      </c>
    </row>
    <row r="911" spans="1:23" ht="15" customHeight="1" x14ac:dyDescent="0.3">
      <c r="A911" t="s">
        <v>8</v>
      </c>
      <c r="B911">
        <v>96</v>
      </c>
      <c r="C911" t="s">
        <v>477</v>
      </c>
      <c r="D911" t="s">
        <v>1855</v>
      </c>
      <c r="E911" t="s">
        <v>34</v>
      </c>
      <c r="F911" t="s">
        <v>1856</v>
      </c>
      <c r="G911" t="s">
        <v>440</v>
      </c>
      <c r="H911" t="s">
        <v>87</v>
      </c>
      <c r="I911" t="s">
        <v>1855</v>
      </c>
      <c r="J911" t="s">
        <v>1879</v>
      </c>
      <c r="K911" s="21" t="s">
        <v>1880</v>
      </c>
      <c r="L911" s="21" t="s">
        <v>1859</v>
      </c>
      <c r="M911" t="s">
        <v>1860</v>
      </c>
      <c r="N911" t="s">
        <v>1861</v>
      </c>
      <c r="R911" t="s">
        <v>1865</v>
      </c>
      <c r="S911" t="s">
        <v>1879</v>
      </c>
      <c r="T911" t="s">
        <v>45</v>
      </c>
      <c r="U911" t="s">
        <v>46</v>
      </c>
      <c r="V911" t="s">
        <v>1863</v>
      </c>
      <c r="W911" t="s">
        <v>1881</v>
      </c>
    </row>
    <row r="912" spans="1:23" ht="15" customHeight="1" x14ac:dyDescent="0.3">
      <c r="A912" t="s">
        <v>8</v>
      </c>
      <c r="B912">
        <v>96</v>
      </c>
      <c r="C912" t="s">
        <v>477</v>
      </c>
      <c r="D912" t="s">
        <v>1855</v>
      </c>
      <c r="E912" t="s">
        <v>34</v>
      </c>
      <c r="F912" t="s">
        <v>1856</v>
      </c>
      <c r="G912" t="s">
        <v>440</v>
      </c>
      <c r="H912" t="s">
        <v>87</v>
      </c>
      <c r="I912" t="s">
        <v>1855</v>
      </c>
      <c r="J912" t="s">
        <v>1879</v>
      </c>
      <c r="K912" s="21" t="s">
        <v>1880</v>
      </c>
      <c r="L912" s="21" t="s">
        <v>1859</v>
      </c>
      <c r="M912" t="s">
        <v>1860</v>
      </c>
      <c r="N912" t="s">
        <v>1861</v>
      </c>
      <c r="R912" t="s">
        <v>1866</v>
      </c>
      <c r="S912" t="s">
        <v>1879</v>
      </c>
      <c r="T912" t="s">
        <v>45</v>
      </c>
      <c r="U912" t="s">
        <v>46</v>
      </c>
      <c r="V912" t="s">
        <v>1863</v>
      </c>
      <c r="W912" t="s">
        <v>1881</v>
      </c>
    </row>
    <row r="913" spans="1:23" ht="15" customHeight="1" x14ac:dyDescent="0.3">
      <c r="A913" t="s">
        <v>8</v>
      </c>
      <c r="B913">
        <v>96</v>
      </c>
      <c r="C913" t="s">
        <v>477</v>
      </c>
      <c r="D913" t="s">
        <v>1855</v>
      </c>
      <c r="E913" t="s">
        <v>34</v>
      </c>
      <c r="F913" t="s">
        <v>1856</v>
      </c>
      <c r="G913" t="s">
        <v>440</v>
      </c>
      <c r="H913" t="s">
        <v>87</v>
      </c>
      <c r="I913" t="s">
        <v>1855</v>
      </c>
      <c r="J913" t="s">
        <v>1879</v>
      </c>
      <c r="K913" s="21" t="s">
        <v>1880</v>
      </c>
      <c r="L913" s="21" t="s">
        <v>1859</v>
      </c>
      <c r="M913" t="s">
        <v>1860</v>
      </c>
      <c r="N913" t="s">
        <v>1861</v>
      </c>
      <c r="R913" t="s">
        <v>1867</v>
      </c>
      <c r="S913" t="s">
        <v>1879</v>
      </c>
      <c r="T913" t="s">
        <v>45</v>
      </c>
      <c r="U913" t="s">
        <v>46</v>
      </c>
      <c r="V913" t="s">
        <v>1863</v>
      </c>
      <c r="W913" t="s">
        <v>1881</v>
      </c>
    </row>
    <row r="914" spans="1:23" ht="15" customHeight="1" x14ac:dyDescent="0.3">
      <c r="A914" t="s">
        <v>8</v>
      </c>
      <c r="B914">
        <v>96</v>
      </c>
      <c r="C914" t="s">
        <v>477</v>
      </c>
      <c r="D914" t="s">
        <v>1855</v>
      </c>
      <c r="E914" t="s">
        <v>34</v>
      </c>
      <c r="F914" t="s">
        <v>1856</v>
      </c>
      <c r="G914" t="s">
        <v>440</v>
      </c>
      <c r="H914" t="s">
        <v>87</v>
      </c>
      <c r="I914" t="s">
        <v>1855</v>
      </c>
      <c r="J914" t="s">
        <v>1879</v>
      </c>
      <c r="K914" s="21" t="s">
        <v>1880</v>
      </c>
      <c r="L914" s="21" t="s">
        <v>1859</v>
      </c>
      <c r="M914" t="s">
        <v>1860</v>
      </c>
      <c r="N914" t="s">
        <v>1861</v>
      </c>
      <c r="R914" t="s">
        <v>1868</v>
      </c>
      <c r="S914" t="s">
        <v>1879</v>
      </c>
      <c r="T914" t="s">
        <v>45</v>
      </c>
      <c r="U914" t="s">
        <v>46</v>
      </c>
      <c r="V914" t="s">
        <v>1863</v>
      </c>
      <c r="W914" t="s">
        <v>1881</v>
      </c>
    </row>
    <row r="915" spans="1:23" ht="15" customHeight="1" x14ac:dyDescent="0.3">
      <c r="A915" t="s">
        <v>8</v>
      </c>
      <c r="B915">
        <v>96</v>
      </c>
      <c r="C915" t="s">
        <v>477</v>
      </c>
      <c r="D915" t="s">
        <v>1855</v>
      </c>
      <c r="E915" t="s">
        <v>34</v>
      </c>
      <c r="F915" t="s">
        <v>1856</v>
      </c>
      <c r="G915" t="s">
        <v>440</v>
      </c>
      <c r="H915" t="s">
        <v>87</v>
      </c>
      <c r="I915" t="s">
        <v>1855</v>
      </c>
      <c r="J915" t="s">
        <v>1879</v>
      </c>
      <c r="K915" s="21" t="s">
        <v>1880</v>
      </c>
      <c r="L915" s="21" t="s">
        <v>1859</v>
      </c>
      <c r="M915" t="s">
        <v>1860</v>
      </c>
      <c r="N915" t="s">
        <v>1861</v>
      </c>
      <c r="R915" t="s">
        <v>1869</v>
      </c>
      <c r="S915" t="s">
        <v>1879</v>
      </c>
      <c r="T915" t="s">
        <v>45</v>
      </c>
      <c r="U915" t="s">
        <v>46</v>
      </c>
      <c r="V915" t="s">
        <v>1863</v>
      </c>
      <c r="W915" t="s">
        <v>1881</v>
      </c>
    </row>
    <row r="916" spans="1:23" ht="15" customHeight="1" x14ac:dyDescent="0.3">
      <c r="A916" t="s">
        <v>8</v>
      </c>
      <c r="B916">
        <v>96</v>
      </c>
      <c r="C916" t="s">
        <v>477</v>
      </c>
      <c r="D916" t="s">
        <v>1855</v>
      </c>
      <c r="E916" t="s">
        <v>34</v>
      </c>
      <c r="F916" t="s">
        <v>1856</v>
      </c>
      <c r="G916" t="s">
        <v>440</v>
      </c>
      <c r="H916" t="s">
        <v>421</v>
      </c>
      <c r="I916" t="s">
        <v>1855</v>
      </c>
      <c r="J916" t="s">
        <v>1882</v>
      </c>
      <c r="K916" s="21" t="s">
        <v>1883</v>
      </c>
      <c r="L916" s="21" t="s">
        <v>1859</v>
      </c>
      <c r="M916" t="s">
        <v>1860</v>
      </c>
      <c r="N916" t="s">
        <v>1861</v>
      </c>
      <c r="R916" t="s">
        <v>1862</v>
      </c>
      <c r="S916" t="s">
        <v>1882</v>
      </c>
      <c r="T916" t="s">
        <v>45</v>
      </c>
      <c r="U916" t="s">
        <v>46</v>
      </c>
      <c r="V916" t="s">
        <v>1863</v>
      </c>
      <c r="W916" t="s">
        <v>1884</v>
      </c>
    </row>
    <row r="917" spans="1:23" ht="15" customHeight="1" x14ac:dyDescent="0.3">
      <c r="A917" t="s">
        <v>8</v>
      </c>
      <c r="B917">
        <v>96</v>
      </c>
      <c r="C917" t="s">
        <v>477</v>
      </c>
      <c r="D917" t="s">
        <v>1855</v>
      </c>
      <c r="E917" t="s">
        <v>34</v>
      </c>
      <c r="F917" t="s">
        <v>1856</v>
      </c>
      <c r="G917" t="s">
        <v>440</v>
      </c>
      <c r="H917" t="s">
        <v>421</v>
      </c>
      <c r="I917" t="s">
        <v>1855</v>
      </c>
      <c r="J917" t="s">
        <v>1882</v>
      </c>
      <c r="K917" s="21" t="s">
        <v>1883</v>
      </c>
      <c r="L917" s="21" t="s">
        <v>1859</v>
      </c>
      <c r="M917" t="s">
        <v>1860</v>
      </c>
      <c r="N917" t="s">
        <v>1861</v>
      </c>
      <c r="R917" t="s">
        <v>1865</v>
      </c>
      <c r="S917" t="s">
        <v>1882</v>
      </c>
      <c r="T917" t="s">
        <v>45</v>
      </c>
      <c r="U917" t="s">
        <v>46</v>
      </c>
      <c r="V917" t="s">
        <v>1863</v>
      </c>
      <c r="W917" t="s">
        <v>1884</v>
      </c>
    </row>
    <row r="918" spans="1:23" ht="15" customHeight="1" x14ac:dyDescent="0.3">
      <c r="A918" t="s">
        <v>8</v>
      </c>
      <c r="B918">
        <v>96</v>
      </c>
      <c r="C918" t="s">
        <v>477</v>
      </c>
      <c r="D918" t="s">
        <v>1855</v>
      </c>
      <c r="E918" t="s">
        <v>34</v>
      </c>
      <c r="F918" t="s">
        <v>1856</v>
      </c>
      <c r="G918" t="s">
        <v>440</v>
      </c>
      <c r="H918" t="s">
        <v>421</v>
      </c>
      <c r="I918" t="s">
        <v>1855</v>
      </c>
      <c r="J918" t="s">
        <v>1882</v>
      </c>
      <c r="K918" s="21" t="s">
        <v>1883</v>
      </c>
      <c r="L918" s="21" t="s">
        <v>1859</v>
      </c>
      <c r="M918" t="s">
        <v>1860</v>
      </c>
      <c r="N918" t="s">
        <v>1861</v>
      </c>
      <c r="R918" t="s">
        <v>1866</v>
      </c>
      <c r="S918" t="s">
        <v>1882</v>
      </c>
      <c r="T918" t="s">
        <v>45</v>
      </c>
      <c r="U918" t="s">
        <v>46</v>
      </c>
      <c r="V918" t="s">
        <v>1863</v>
      </c>
      <c r="W918" t="s">
        <v>1884</v>
      </c>
    </row>
    <row r="919" spans="1:23" ht="15" customHeight="1" x14ac:dyDescent="0.3">
      <c r="A919" t="s">
        <v>8</v>
      </c>
      <c r="B919">
        <v>96</v>
      </c>
      <c r="C919" t="s">
        <v>477</v>
      </c>
      <c r="D919" t="s">
        <v>1855</v>
      </c>
      <c r="E919" t="s">
        <v>34</v>
      </c>
      <c r="F919" t="s">
        <v>1856</v>
      </c>
      <c r="G919" t="s">
        <v>440</v>
      </c>
      <c r="H919" t="s">
        <v>421</v>
      </c>
      <c r="I919" t="s">
        <v>1855</v>
      </c>
      <c r="J919" t="s">
        <v>1882</v>
      </c>
      <c r="K919" s="21" t="s">
        <v>1883</v>
      </c>
      <c r="L919" s="21" t="s">
        <v>1859</v>
      </c>
      <c r="M919" t="s">
        <v>1860</v>
      </c>
      <c r="N919" t="s">
        <v>1861</v>
      </c>
      <c r="R919" t="s">
        <v>1867</v>
      </c>
      <c r="S919" t="s">
        <v>1882</v>
      </c>
      <c r="T919" t="s">
        <v>45</v>
      </c>
      <c r="U919" t="s">
        <v>46</v>
      </c>
      <c r="V919" t="s">
        <v>1863</v>
      </c>
      <c r="W919" t="s">
        <v>1884</v>
      </c>
    </row>
    <row r="920" spans="1:23" ht="15" customHeight="1" x14ac:dyDescent="0.3">
      <c r="A920" t="s">
        <v>8</v>
      </c>
      <c r="B920">
        <v>96</v>
      </c>
      <c r="C920" t="s">
        <v>477</v>
      </c>
      <c r="D920" t="s">
        <v>1855</v>
      </c>
      <c r="E920" t="s">
        <v>34</v>
      </c>
      <c r="F920" t="s">
        <v>1856</v>
      </c>
      <c r="G920" t="s">
        <v>440</v>
      </c>
      <c r="H920" t="s">
        <v>421</v>
      </c>
      <c r="I920" t="s">
        <v>1855</v>
      </c>
      <c r="J920" t="s">
        <v>1882</v>
      </c>
      <c r="K920" s="21" t="s">
        <v>1883</v>
      </c>
      <c r="L920" s="21" t="s">
        <v>1859</v>
      </c>
      <c r="M920" t="s">
        <v>1860</v>
      </c>
      <c r="N920" t="s">
        <v>1861</v>
      </c>
      <c r="R920" t="s">
        <v>1868</v>
      </c>
      <c r="S920" t="s">
        <v>1882</v>
      </c>
      <c r="T920" t="s">
        <v>45</v>
      </c>
      <c r="U920" t="s">
        <v>46</v>
      </c>
      <c r="V920" t="s">
        <v>1863</v>
      </c>
      <c r="W920" t="s">
        <v>1884</v>
      </c>
    </row>
    <row r="921" spans="1:23" ht="15" customHeight="1" x14ac:dyDescent="0.3">
      <c r="A921" t="s">
        <v>8</v>
      </c>
      <c r="B921">
        <v>96</v>
      </c>
      <c r="C921" t="s">
        <v>477</v>
      </c>
      <c r="D921" t="s">
        <v>1855</v>
      </c>
      <c r="E921" t="s">
        <v>34</v>
      </c>
      <c r="F921" t="s">
        <v>1856</v>
      </c>
      <c r="G921" t="s">
        <v>440</v>
      </c>
      <c r="H921" t="s">
        <v>421</v>
      </c>
      <c r="I921" t="s">
        <v>1855</v>
      </c>
      <c r="J921" t="s">
        <v>1882</v>
      </c>
      <c r="K921" s="21" t="s">
        <v>1883</v>
      </c>
      <c r="L921" s="21" t="s">
        <v>1859</v>
      </c>
      <c r="M921" t="s">
        <v>1860</v>
      </c>
      <c r="N921" t="s">
        <v>1861</v>
      </c>
      <c r="R921" t="s">
        <v>1869</v>
      </c>
      <c r="S921" t="s">
        <v>1882</v>
      </c>
      <c r="T921" t="s">
        <v>45</v>
      </c>
      <c r="U921" t="s">
        <v>46</v>
      </c>
      <c r="V921" t="s">
        <v>1863</v>
      </c>
      <c r="W921" t="s">
        <v>1884</v>
      </c>
    </row>
    <row r="922" spans="1:23" ht="15" customHeight="1" x14ac:dyDescent="0.3">
      <c r="A922" t="s">
        <v>8</v>
      </c>
      <c r="B922">
        <v>96</v>
      </c>
      <c r="C922" t="s">
        <v>477</v>
      </c>
      <c r="D922" t="s">
        <v>1855</v>
      </c>
      <c r="E922" t="s">
        <v>34</v>
      </c>
      <c r="F922" t="s">
        <v>1856</v>
      </c>
      <c r="G922" t="s">
        <v>440</v>
      </c>
      <c r="H922" t="s">
        <v>182</v>
      </c>
      <c r="I922" t="s">
        <v>1855</v>
      </c>
      <c r="J922" t="s">
        <v>1885</v>
      </c>
      <c r="K922" s="21" t="s">
        <v>1886</v>
      </c>
      <c r="L922" s="21" t="s">
        <v>1859</v>
      </c>
      <c r="M922" t="s">
        <v>1860</v>
      </c>
      <c r="N922" t="s">
        <v>1861</v>
      </c>
      <c r="R922" t="s">
        <v>1862</v>
      </c>
      <c r="S922" t="s">
        <v>1885</v>
      </c>
      <c r="T922" t="s">
        <v>45</v>
      </c>
      <c r="U922" t="s">
        <v>1559</v>
      </c>
      <c r="V922" t="s">
        <v>1863</v>
      </c>
      <c r="W922" t="s">
        <v>1887</v>
      </c>
    </row>
    <row r="923" spans="1:23" ht="15" customHeight="1" x14ac:dyDescent="0.3">
      <c r="A923" t="s">
        <v>8</v>
      </c>
      <c r="B923">
        <v>96</v>
      </c>
      <c r="C923" t="s">
        <v>477</v>
      </c>
      <c r="D923" t="s">
        <v>1855</v>
      </c>
      <c r="E923" t="s">
        <v>34</v>
      </c>
      <c r="F923" t="s">
        <v>1856</v>
      </c>
      <c r="G923" t="s">
        <v>440</v>
      </c>
      <c r="H923" t="s">
        <v>182</v>
      </c>
      <c r="I923" t="s">
        <v>1855</v>
      </c>
      <c r="J923" t="s">
        <v>1885</v>
      </c>
      <c r="K923" s="21" t="s">
        <v>1886</v>
      </c>
      <c r="L923" s="21" t="s">
        <v>1859</v>
      </c>
      <c r="M923" t="s">
        <v>1860</v>
      </c>
      <c r="N923" t="s">
        <v>1861</v>
      </c>
      <c r="R923" t="s">
        <v>1865</v>
      </c>
      <c r="S923" t="s">
        <v>1885</v>
      </c>
      <c r="T923" t="s">
        <v>45</v>
      </c>
      <c r="U923" t="s">
        <v>1559</v>
      </c>
      <c r="V923" t="s">
        <v>1863</v>
      </c>
      <c r="W923" t="s">
        <v>1887</v>
      </c>
    </row>
    <row r="924" spans="1:23" ht="15" customHeight="1" x14ac:dyDescent="0.3">
      <c r="A924" t="s">
        <v>8</v>
      </c>
      <c r="B924">
        <v>96</v>
      </c>
      <c r="C924" t="s">
        <v>477</v>
      </c>
      <c r="D924" t="s">
        <v>1855</v>
      </c>
      <c r="E924" t="s">
        <v>34</v>
      </c>
      <c r="F924" t="s">
        <v>1856</v>
      </c>
      <c r="G924" t="s">
        <v>440</v>
      </c>
      <c r="H924" t="s">
        <v>182</v>
      </c>
      <c r="I924" t="s">
        <v>1855</v>
      </c>
      <c r="J924" t="s">
        <v>1885</v>
      </c>
      <c r="K924" s="21" t="s">
        <v>1886</v>
      </c>
      <c r="L924" s="21" t="s">
        <v>1859</v>
      </c>
      <c r="M924" t="s">
        <v>1860</v>
      </c>
      <c r="N924" t="s">
        <v>1861</v>
      </c>
      <c r="R924" t="s">
        <v>1866</v>
      </c>
      <c r="S924" t="s">
        <v>1885</v>
      </c>
      <c r="T924" t="s">
        <v>45</v>
      </c>
      <c r="U924" t="s">
        <v>1559</v>
      </c>
      <c r="V924" t="s">
        <v>1863</v>
      </c>
      <c r="W924" t="s">
        <v>1887</v>
      </c>
    </row>
    <row r="925" spans="1:23" ht="15" customHeight="1" x14ac:dyDescent="0.3">
      <c r="A925" t="s">
        <v>8</v>
      </c>
      <c r="B925">
        <v>96</v>
      </c>
      <c r="C925" t="s">
        <v>477</v>
      </c>
      <c r="D925" t="s">
        <v>1855</v>
      </c>
      <c r="E925" t="s">
        <v>34</v>
      </c>
      <c r="F925" t="s">
        <v>1856</v>
      </c>
      <c r="G925" t="s">
        <v>440</v>
      </c>
      <c r="H925" t="s">
        <v>182</v>
      </c>
      <c r="I925" t="s">
        <v>1855</v>
      </c>
      <c r="J925" t="s">
        <v>1885</v>
      </c>
      <c r="K925" s="21" t="s">
        <v>1886</v>
      </c>
      <c r="L925" s="21" t="s">
        <v>1859</v>
      </c>
      <c r="M925" t="s">
        <v>1860</v>
      </c>
      <c r="N925" t="s">
        <v>1861</v>
      </c>
      <c r="R925" t="s">
        <v>1867</v>
      </c>
      <c r="S925" t="s">
        <v>1885</v>
      </c>
      <c r="T925" t="s">
        <v>45</v>
      </c>
      <c r="U925" t="s">
        <v>1559</v>
      </c>
      <c r="V925" t="s">
        <v>1863</v>
      </c>
      <c r="W925" t="s">
        <v>1887</v>
      </c>
    </row>
    <row r="926" spans="1:23" ht="15" customHeight="1" x14ac:dyDescent="0.3">
      <c r="A926" t="s">
        <v>8</v>
      </c>
      <c r="B926">
        <v>96</v>
      </c>
      <c r="C926" t="s">
        <v>477</v>
      </c>
      <c r="D926" t="s">
        <v>1855</v>
      </c>
      <c r="E926" t="s">
        <v>34</v>
      </c>
      <c r="F926" t="s">
        <v>1856</v>
      </c>
      <c r="G926" t="s">
        <v>440</v>
      </c>
      <c r="H926" t="s">
        <v>182</v>
      </c>
      <c r="I926" t="s">
        <v>1855</v>
      </c>
      <c r="J926" t="s">
        <v>1885</v>
      </c>
      <c r="K926" s="21" t="s">
        <v>1886</v>
      </c>
      <c r="L926" s="21" t="s">
        <v>1859</v>
      </c>
      <c r="M926" t="s">
        <v>1860</v>
      </c>
      <c r="N926" t="s">
        <v>1861</v>
      </c>
      <c r="R926" t="s">
        <v>1868</v>
      </c>
      <c r="S926" t="s">
        <v>1885</v>
      </c>
      <c r="T926" t="s">
        <v>45</v>
      </c>
      <c r="U926" t="s">
        <v>1559</v>
      </c>
      <c r="V926" t="s">
        <v>1863</v>
      </c>
      <c r="W926" t="s">
        <v>1887</v>
      </c>
    </row>
    <row r="927" spans="1:23" ht="15" customHeight="1" x14ac:dyDescent="0.3">
      <c r="A927" t="s">
        <v>8</v>
      </c>
      <c r="B927">
        <v>96</v>
      </c>
      <c r="C927" t="s">
        <v>477</v>
      </c>
      <c r="D927" t="s">
        <v>1855</v>
      </c>
      <c r="E927" t="s">
        <v>34</v>
      </c>
      <c r="F927" t="s">
        <v>1856</v>
      </c>
      <c r="G927" t="s">
        <v>440</v>
      </c>
      <c r="H927" t="s">
        <v>182</v>
      </c>
      <c r="I927" t="s">
        <v>1855</v>
      </c>
      <c r="J927" t="s">
        <v>1885</v>
      </c>
      <c r="K927" s="21" t="s">
        <v>1886</v>
      </c>
      <c r="L927" s="21" t="s">
        <v>1859</v>
      </c>
      <c r="M927" t="s">
        <v>1860</v>
      </c>
      <c r="N927" t="s">
        <v>1861</v>
      </c>
      <c r="R927" t="s">
        <v>1869</v>
      </c>
      <c r="S927" t="s">
        <v>1885</v>
      </c>
      <c r="T927" t="s">
        <v>45</v>
      </c>
      <c r="U927" t="s">
        <v>1559</v>
      </c>
      <c r="V927" t="s">
        <v>1863</v>
      </c>
      <c r="W927" t="s">
        <v>1887</v>
      </c>
    </row>
    <row r="928" spans="1:23" ht="15" customHeight="1" x14ac:dyDescent="0.3">
      <c r="A928" t="s">
        <v>8</v>
      </c>
      <c r="B928">
        <v>96</v>
      </c>
      <c r="C928" t="s">
        <v>477</v>
      </c>
      <c r="D928" t="s">
        <v>1855</v>
      </c>
      <c r="E928" t="s">
        <v>34</v>
      </c>
      <c r="F928" t="s">
        <v>1856</v>
      </c>
      <c r="G928" t="s">
        <v>440</v>
      </c>
      <c r="H928" t="s">
        <v>1242</v>
      </c>
      <c r="I928" t="s">
        <v>1855</v>
      </c>
      <c r="J928" t="s">
        <v>1888</v>
      </c>
      <c r="K928" s="21" t="s">
        <v>1889</v>
      </c>
      <c r="L928" s="21" t="s">
        <v>1859</v>
      </c>
      <c r="M928" t="s">
        <v>1860</v>
      </c>
      <c r="N928" t="s">
        <v>1861</v>
      </c>
      <c r="R928" t="s">
        <v>1862</v>
      </c>
      <c r="S928" t="s">
        <v>1888</v>
      </c>
      <c r="T928" t="s">
        <v>45</v>
      </c>
      <c r="U928" t="s">
        <v>1428</v>
      </c>
      <c r="V928" t="s">
        <v>1863</v>
      </c>
      <c r="W928" t="s">
        <v>1890</v>
      </c>
    </row>
    <row r="929" spans="1:23" ht="15" customHeight="1" x14ac:dyDescent="0.3">
      <c r="A929" t="s">
        <v>8</v>
      </c>
      <c r="B929">
        <v>96</v>
      </c>
      <c r="C929" t="s">
        <v>477</v>
      </c>
      <c r="D929" t="s">
        <v>1855</v>
      </c>
      <c r="E929" t="s">
        <v>34</v>
      </c>
      <c r="F929" t="s">
        <v>1856</v>
      </c>
      <c r="G929" t="s">
        <v>440</v>
      </c>
      <c r="H929" t="s">
        <v>1242</v>
      </c>
      <c r="I929" t="s">
        <v>1855</v>
      </c>
      <c r="J929" t="s">
        <v>1888</v>
      </c>
      <c r="K929" s="21" t="s">
        <v>1889</v>
      </c>
      <c r="L929" s="21" t="s">
        <v>1859</v>
      </c>
      <c r="M929" t="s">
        <v>1860</v>
      </c>
      <c r="N929" t="s">
        <v>1861</v>
      </c>
      <c r="R929" t="s">
        <v>1865</v>
      </c>
      <c r="S929" t="s">
        <v>1888</v>
      </c>
      <c r="T929" t="s">
        <v>45</v>
      </c>
      <c r="U929" t="s">
        <v>1428</v>
      </c>
      <c r="V929" t="s">
        <v>1863</v>
      </c>
      <c r="W929" t="s">
        <v>1890</v>
      </c>
    </row>
    <row r="930" spans="1:23" ht="15" customHeight="1" x14ac:dyDescent="0.3">
      <c r="A930" t="s">
        <v>8</v>
      </c>
      <c r="B930">
        <v>96</v>
      </c>
      <c r="C930" t="s">
        <v>477</v>
      </c>
      <c r="D930" t="s">
        <v>1855</v>
      </c>
      <c r="E930" t="s">
        <v>34</v>
      </c>
      <c r="F930" t="s">
        <v>1856</v>
      </c>
      <c r="G930" t="s">
        <v>440</v>
      </c>
      <c r="H930" t="s">
        <v>1242</v>
      </c>
      <c r="I930" t="s">
        <v>1855</v>
      </c>
      <c r="J930" t="s">
        <v>1888</v>
      </c>
      <c r="K930" s="21" t="s">
        <v>1889</v>
      </c>
      <c r="L930" s="21" t="s">
        <v>1859</v>
      </c>
      <c r="M930" t="s">
        <v>1860</v>
      </c>
      <c r="N930" t="s">
        <v>1861</v>
      </c>
      <c r="R930" t="s">
        <v>1866</v>
      </c>
      <c r="S930" t="s">
        <v>1888</v>
      </c>
      <c r="T930" t="s">
        <v>45</v>
      </c>
      <c r="U930" t="s">
        <v>1428</v>
      </c>
      <c r="V930" t="s">
        <v>1863</v>
      </c>
      <c r="W930" t="s">
        <v>1890</v>
      </c>
    </row>
    <row r="931" spans="1:23" ht="15" customHeight="1" x14ac:dyDescent="0.3">
      <c r="A931" t="s">
        <v>8</v>
      </c>
      <c r="B931">
        <v>96</v>
      </c>
      <c r="C931" t="s">
        <v>477</v>
      </c>
      <c r="D931" t="s">
        <v>1855</v>
      </c>
      <c r="E931" t="s">
        <v>34</v>
      </c>
      <c r="F931" t="s">
        <v>1856</v>
      </c>
      <c r="G931" t="s">
        <v>440</v>
      </c>
      <c r="H931" t="s">
        <v>1242</v>
      </c>
      <c r="I931" t="s">
        <v>1855</v>
      </c>
      <c r="J931" t="s">
        <v>1888</v>
      </c>
      <c r="K931" s="21" t="s">
        <v>1889</v>
      </c>
      <c r="L931" s="21" t="s">
        <v>1859</v>
      </c>
      <c r="M931" t="s">
        <v>1860</v>
      </c>
      <c r="N931" t="s">
        <v>1861</v>
      </c>
      <c r="R931" t="s">
        <v>1867</v>
      </c>
      <c r="S931" t="s">
        <v>1888</v>
      </c>
      <c r="T931" t="s">
        <v>45</v>
      </c>
      <c r="U931" t="s">
        <v>1428</v>
      </c>
      <c r="V931" t="s">
        <v>1863</v>
      </c>
      <c r="W931" t="s">
        <v>1890</v>
      </c>
    </row>
    <row r="932" spans="1:23" ht="15" customHeight="1" x14ac:dyDescent="0.3">
      <c r="A932" t="s">
        <v>8</v>
      </c>
      <c r="B932">
        <v>96</v>
      </c>
      <c r="C932" t="s">
        <v>477</v>
      </c>
      <c r="D932" t="s">
        <v>1855</v>
      </c>
      <c r="E932" t="s">
        <v>34</v>
      </c>
      <c r="F932" t="s">
        <v>1856</v>
      </c>
      <c r="G932" t="s">
        <v>440</v>
      </c>
      <c r="H932" t="s">
        <v>1242</v>
      </c>
      <c r="I932" t="s">
        <v>1855</v>
      </c>
      <c r="J932" t="s">
        <v>1888</v>
      </c>
      <c r="K932" s="21" t="s">
        <v>1889</v>
      </c>
      <c r="L932" s="21" t="s">
        <v>1859</v>
      </c>
      <c r="M932" t="s">
        <v>1860</v>
      </c>
      <c r="N932" t="s">
        <v>1861</v>
      </c>
      <c r="R932" t="s">
        <v>1868</v>
      </c>
      <c r="S932" t="s">
        <v>1888</v>
      </c>
      <c r="T932" t="s">
        <v>45</v>
      </c>
      <c r="U932" t="s">
        <v>1428</v>
      </c>
      <c r="V932" t="s">
        <v>1863</v>
      </c>
      <c r="W932" t="s">
        <v>1890</v>
      </c>
    </row>
    <row r="933" spans="1:23" ht="15" customHeight="1" x14ac:dyDescent="0.3">
      <c r="A933" t="s">
        <v>8</v>
      </c>
      <c r="B933">
        <v>96</v>
      </c>
      <c r="C933" t="s">
        <v>477</v>
      </c>
      <c r="D933" t="s">
        <v>1855</v>
      </c>
      <c r="E933" t="s">
        <v>34</v>
      </c>
      <c r="F933" t="s">
        <v>1856</v>
      </c>
      <c r="G933" t="s">
        <v>440</v>
      </c>
      <c r="H933" t="s">
        <v>1242</v>
      </c>
      <c r="I933" t="s">
        <v>1855</v>
      </c>
      <c r="J933" t="s">
        <v>1888</v>
      </c>
      <c r="K933" s="21" t="s">
        <v>1889</v>
      </c>
      <c r="L933" s="21" t="s">
        <v>1859</v>
      </c>
      <c r="M933" t="s">
        <v>1860</v>
      </c>
      <c r="N933" t="s">
        <v>1861</v>
      </c>
      <c r="R933" t="s">
        <v>1869</v>
      </c>
      <c r="S933" t="s">
        <v>1888</v>
      </c>
      <c r="T933" t="s">
        <v>45</v>
      </c>
      <c r="U933" t="s">
        <v>1428</v>
      </c>
      <c r="V933" t="s">
        <v>1863</v>
      </c>
      <c r="W933" t="s">
        <v>1890</v>
      </c>
    </row>
    <row r="934" spans="1:23" ht="15" customHeight="1" x14ac:dyDescent="0.3">
      <c r="A934" t="s">
        <v>8</v>
      </c>
      <c r="B934">
        <v>96</v>
      </c>
      <c r="C934" t="s">
        <v>477</v>
      </c>
      <c r="D934" t="s">
        <v>1855</v>
      </c>
      <c r="E934" t="s">
        <v>34</v>
      </c>
      <c r="F934" t="s">
        <v>1856</v>
      </c>
      <c r="G934" t="s">
        <v>440</v>
      </c>
      <c r="H934" t="s">
        <v>425</v>
      </c>
      <c r="I934" t="s">
        <v>1855</v>
      </c>
      <c r="J934" t="s">
        <v>1891</v>
      </c>
      <c r="K934" s="21" t="s">
        <v>1892</v>
      </c>
      <c r="L934" s="21" t="s">
        <v>1859</v>
      </c>
      <c r="M934" t="s">
        <v>1860</v>
      </c>
      <c r="N934" t="s">
        <v>1861</v>
      </c>
      <c r="R934" t="s">
        <v>1862</v>
      </c>
      <c r="S934" t="s">
        <v>1891</v>
      </c>
      <c r="T934" t="s">
        <v>45</v>
      </c>
      <c r="U934" t="s">
        <v>1416</v>
      </c>
      <c r="V934" t="s">
        <v>1863</v>
      </c>
      <c r="W934" t="s">
        <v>1893</v>
      </c>
    </row>
    <row r="935" spans="1:23" ht="15" customHeight="1" x14ac:dyDescent="0.3">
      <c r="A935" t="s">
        <v>8</v>
      </c>
      <c r="B935">
        <v>96</v>
      </c>
      <c r="C935" t="s">
        <v>477</v>
      </c>
      <c r="D935" t="s">
        <v>1855</v>
      </c>
      <c r="E935" t="s">
        <v>34</v>
      </c>
      <c r="F935" t="s">
        <v>1856</v>
      </c>
      <c r="G935" t="s">
        <v>440</v>
      </c>
      <c r="H935" t="s">
        <v>425</v>
      </c>
      <c r="I935" t="s">
        <v>1855</v>
      </c>
      <c r="J935" t="s">
        <v>1891</v>
      </c>
      <c r="K935" s="21" t="s">
        <v>1892</v>
      </c>
      <c r="L935" s="21" t="s">
        <v>1859</v>
      </c>
      <c r="M935" t="s">
        <v>1860</v>
      </c>
      <c r="N935" t="s">
        <v>1861</v>
      </c>
      <c r="R935" t="s">
        <v>1865</v>
      </c>
      <c r="S935" t="s">
        <v>1891</v>
      </c>
      <c r="T935" t="s">
        <v>45</v>
      </c>
      <c r="U935" t="s">
        <v>1416</v>
      </c>
      <c r="V935" t="s">
        <v>1863</v>
      </c>
      <c r="W935" t="s">
        <v>1893</v>
      </c>
    </row>
    <row r="936" spans="1:23" ht="15" customHeight="1" x14ac:dyDescent="0.3">
      <c r="A936" t="s">
        <v>8</v>
      </c>
      <c r="B936">
        <v>96</v>
      </c>
      <c r="C936" t="s">
        <v>477</v>
      </c>
      <c r="D936" t="s">
        <v>1855</v>
      </c>
      <c r="E936" t="s">
        <v>34</v>
      </c>
      <c r="F936" t="s">
        <v>1856</v>
      </c>
      <c r="G936" t="s">
        <v>440</v>
      </c>
      <c r="H936" t="s">
        <v>425</v>
      </c>
      <c r="I936" t="s">
        <v>1855</v>
      </c>
      <c r="J936" t="s">
        <v>1891</v>
      </c>
      <c r="K936" s="21" t="s">
        <v>1892</v>
      </c>
      <c r="L936" s="21" t="s">
        <v>1859</v>
      </c>
      <c r="M936" t="s">
        <v>1860</v>
      </c>
      <c r="N936" t="s">
        <v>1861</v>
      </c>
      <c r="R936" t="s">
        <v>1866</v>
      </c>
      <c r="S936" t="s">
        <v>1891</v>
      </c>
      <c r="T936" t="s">
        <v>45</v>
      </c>
      <c r="U936" t="s">
        <v>1416</v>
      </c>
      <c r="V936" t="s">
        <v>1863</v>
      </c>
      <c r="W936" t="s">
        <v>1893</v>
      </c>
    </row>
    <row r="937" spans="1:23" ht="15" customHeight="1" x14ac:dyDescent="0.3">
      <c r="A937" t="s">
        <v>8</v>
      </c>
      <c r="B937">
        <v>96</v>
      </c>
      <c r="C937" t="s">
        <v>477</v>
      </c>
      <c r="D937" t="s">
        <v>1855</v>
      </c>
      <c r="E937" t="s">
        <v>34</v>
      </c>
      <c r="F937" t="s">
        <v>1856</v>
      </c>
      <c r="G937" t="s">
        <v>440</v>
      </c>
      <c r="H937" t="s">
        <v>425</v>
      </c>
      <c r="I937" t="s">
        <v>1855</v>
      </c>
      <c r="J937" t="s">
        <v>1891</v>
      </c>
      <c r="K937" s="21" t="s">
        <v>1892</v>
      </c>
      <c r="L937" s="21" t="s">
        <v>1859</v>
      </c>
      <c r="M937" t="s">
        <v>1860</v>
      </c>
      <c r="N937" t="s">
        <v>1861</v>
      </c>
      <c r="R937" t="s">
        <v>1867</v>
      </c>
      <c r="S937" t="s">
        <v>1891</v>
      </c>
      <c r="T937" t="s">
        <v>45</v>
      </c>
      <c r="U937" t="s">
        <v>1416</v>
      </c>
      <c r="V937" t="s">
        <v>1863</v>
      </c>
      <c r="W937" t="s">
        <v>1893</v>
      </c>
    </row>
    <row r="938" spans="1:23" ht="15" customHeight="1" x14ac:dyDescent="0.3">
      <c r="A938" t="s">
        <v>8</v>
      </c>
      <c r="B938">
        <v>96</v>
      </c>
      <c r="C938" t="s">
        <v>477</v>
      </c>
      <c r="D938" t="s">
        <v>1855</v>
      </c>
      <c r="E938" t="s">
        <v>34</v>
      </c>
      <c r="F938" t="s">
        <v>1856</v>
      </c>
      <c r="G938" t="s">
        <v>440</v>
      </c>
      <c r="H938" t="s">
        <v>425</v>
      </c>
      <c r="I938" t="s">
        <v>1855</v>
      </c>
      <c r="J938" t="s">
        <v>1891</v>
      </c>
      <c r="K938" s="21" t="s">
        <v>1892</v>
      </c>
      <c r="L938" s="21" t="s">
        <v>1859</v>
      </c>
      <c r="M938" t="s">
        <v>1860</v>
      </c>
      <c r="N938" t="s">
        <v>1861</v>
      </c>
      <c r="R938" t="s">
        <v>1868</v>
      </c>
      <c r="S938" t="s">
        <v>1891</v>
      </c>
      <c r="T938" t="s">
        <v>45</v>
      </c>
      <c r="U938" t="s">
        <v>1416</v>
      </c>
      <c r="V938" t="s">
        <v>1863</v>
      </c>
      <c r="W938" t="s">
        <v>1893</v>
      </c>
    </row>
    <row r="939" spans="1:23" ht="15" customHeight="1" x14ac:dyDescent="0.3">
      <c r="A939" t="s">
        <v>8</v>
      </c>
      <c r="B939">
        <v>96</v>
      </c>
      <c r="C939" t="s">
        <v>477</v>
      </c>
      <c r="D939" t="s">
        <v>1855</v>
      </c>
      <c r="E939" t="s">
        <v>34</v>
      </c>
      <c r="F939" t="s">
        <v>1856</v>
      </c>
      <c r="G939" t="s">
        <v>440</v>
      </c>
      <c r="H939" t="s">
        <v>425</v>
      </c>
      <c r="I939" t="s">
        <v>1855</v>
      </c>
      <c r="J939" t="s">
        <v>1891</v>
      </c>
      <c r="K939" s="21" t="s">
        <v>1892</v>
      </c>
      <c r="L939" s="21" t="s">
        <v>1859</v>
      </c>
      <c r="M939" t="s">
        <v>1860</v>
      </c>
      <c r="N939" t="s">
        <v>1861</v>
      </c>
      <c r="R939" t="s">
        <v>1869</v>
      </c>
      <c r="S939" t="s">
        <v>1891</v>
      </c>
      <c r="T939" t="s">
        <v>45</v>
      </c>
      <c r="U939" t="s">
        <v>1416</v>
      </c>
      <c r="V939" t="s">
        <v>1863</v>
      </c>
      <c r="W939" t="s">
        <v>1893</v>
      </c>
    </row>
    <row r="940" spans="1:23" ht="15" customHeight="1" x14ac:dyDescent="0.3">
      <c r="A940" t="s">
        <v>8</v>
      </c>
      <c r="B940">
        <v>96</v>
      </c>
      <c r="C940" t="s">
        <v>477</v>
      </c>
      <c r="D940" t="s">
        <v>1855</v>
      </c>
      <c r="E940" t="s">
        <v>34</v>
      </c>
      <c r="F940" t="s">
        <v>1856</v>
      </c>
      <c r="G940" t="s">
        <v>440</v>
      </c>
      <c r="H940" t="s">
        <v>996</v>
      </c>
      <c r="I940" t="s">
        <v>1855</v>
      </c>
      <c r="J940" t="s">
        <v>1894</v>
      </c>
      <c r="K940" s="21" t="s">
        <v>1895</v>
      </c>
      <c r="L940" s="21" t="s">
        <v>1859</v>
      </c>
      <c r="M940" t="s">
        <v>1860</v>
      </c>
      <c r="N940" t="s">
        <v>1861</v>
      </c>
      <c r="R940" t="s">
        <v>1862</v>
      </c>
      <c r="S940" t="s">
        <v>1894</v>
      </c>
      <c r="T940" t="s">
        <v>1249</v>
      </c>
      <c r="U940" t="s">
        <v>1467</v>
      </c>
      <c r="V940" t="s">
        <v>1896</v>
      </c>
      <c r="W940" t="s">
        <v>1897</v>
      </c>
    </row>
    <row r="941" spans="1:23" ht="15" customHeight="1" x14ac:dyDescent="0.3">
      <c r="A941" t="s">
        <v>8</v>
      </c>
      <c r="B941">
        <v>96</v>
      </c>
      <c r="C941" t="s">
        <v>477</v>
      </c>
      <c r="D941" t="s">
        <v>1855</v>
      </c>
      <c r="E941" t="s">
        <v>34</v>
      </c>
      <c r="F941" t="s">
        <v>1856</v>
      </c>
      <c r="G941" t="s">
        <v>440</v>
      </c>
      <c r="H941" t="s">
        <v>996</v>
      </c>
      <c r="I941" t="s">
        <v>1855</v>
      </c>
      <c r="J941" t="s">
        <v>1894</v>
      </c>
      <c r="K941" s="21" t="s">
        <v>1895</v>
      </c>
      <c r="L941" s="21" t="s">
        <v>1859</v>
      </c>
      <c r="M941" t="s">
        <v>1860</v>
      </c>
      <c r="N941" t="s">
        <v>1861</v>
      </c>
      <c r="R941" t="s">
        <v>1865</v>
      </c>
      <c r="S941" t="s">
        <v>1894</v>
      </c>
      <c r="T941" t="s">
        <v>1249</v>
      </c>
      <c r="U941" t="s">
        <v>1467</v>
      </c>
      <c r="V941" t="s">
        <v>1896</v>
      </c>
      <c r="W941" t="s">
        <v>1897</v>
      </c>
    </row>
    <row r="942" spans="1:23" ht="15" customHeight="1" x14ac:dyDescent="0.3">
      <c r="A942" t="s">
        <v>8</v>
      </c>
      <c r="B942">
        <v>96</v>
      </c>
      <c r="C942" t="s">
        <v>477</v>
      </c>
      <c r="D942" t="s">
        <v>1855</v>
      </c>
      <c r="E942" t="s">
        <v>34</v>
      </c>
      <c r="F942" t="s">
        <v>1856</v>
      </c>
      <c r="G942" t="s">
        <v>440</v>
      </c>
      <c r="H942" t="s">
        <v>996</v>
      </c>
      <c r="I942" t="s">
        <v>1855</v>
      </c>
      <c r="J942" t="s">
        <v>1894</v>
      </c>
      <c r="K942" s="21" t="s">
        <v>1895</v>
      </c>
      <c r="L942" s="21" t="s">
        <v>1859</v>
      </c>
      <c r="M942" t="s">
        <v>1860</v>
      </c>
      <c r="N942" t="s">
        <v>1861</v>
      </c>
      <c r="R942" t="s">
        <v>1866</v>
      </c>
      <c r="S942" t="s">
        <v>1894</v>
      </c>
      <c r="T942" t="s">
        <v>1249</v>
      </c>
      <c r="U942" t="s">
        <v>1467</v>
      </c>
      <c r="V942" t="s">
        <v>1896</v>
      </c>
      <c r="W942" t="s">
        <v>1897</v>
      </c>
    </row>
    <row r="943" spans="1:23" ht="15" customHeight="1" x14ac:dyDescent="0.3">
      <c r="A943" t="s">
        <v>8</v>
      </c>
      <c r="B943">
        <v>96</v>
      </c>
      <c r="C943" t="s">
        <v>477</v>
      </c>
      <c r="D943" t="s">
        <v>1855</v>
      </c>
      <c r="E943" t="s">
        <v>34</v>
      </c>
      <c r="F943" t="s">
        <v>1856</v>
      </c>
      <c r="G943" t="s">
        <v>440</v>
      </c>
      <c r="H943" t="s">
        <v>996</v>
      </c>
      <c r="I943" t="s">
        <v>1855</v>
      </c>
      <c r="J943" t="s">
        <v>1894</v>
      </c>
      <c r="K943" s="21" t="s">
        <v>1895</v>
      </c>
      <c r="L943" s="21" t="s">
        <v>1859</v>
      </c>
      <c r="M943" t="s">
        <v>1860</v>
      </c>
      <c r="N943" t="s">
        <v>1861</v>
      </c>
      <c r="R943" t="s">
        <v>1867</v>
      </c>
      <c r="S943" t="s">
        <v>1894</v>
      </c>
      <c r="T943" t="s">
        <v>1249</v>
      </c>
      <c r="U943" t="s">
        <v>1467</v>
      </c>
      <c r="V943" t="s">
        <v>1896</v>
      </c>
      <c r="W943" t="s">
        <v>1897</v>
      </c>
    </row>
    <row r="944" spans="1:23" ht="15" customHeight="1" x14ac:dyDescent="0.3">
      <c r="A944" t="s">
        <v>8</v>
      </c>
      <c r="B944">
        <v>96</v>
      </c>
      <c r="C944" t="s">
        <v>477</v>
      </c>
      <c r="D944" t="s">
        <v>1855</v>
      </c>
      <c r="E944" t="s">
        <v>34</v>
      </c>
      <c r="F944" t="s">
        <v>1856</v>
      </c>
      <c r="G944" t="s">
        <v>440</v>
      </c>
      <c r="H944" t="s">
        <v>996</v>
      </c>
      <c r="I944" t="s">
        <v>1855</v>
      </c>
      <c r="J944" t="s">
        <v>1894</v>
      </c>
      <c r="K944" s="21" t="s">
        <v>1895</v>
      </c>
      <c r="L944" s="21" t="s">
        <v>1859</v>
      </c>
      <c r="M944" t="s">
        <v>1860</v>
      </c>
      <c r="N944" t="s">
        <v>1861</v>
      </c>
      <c r="R944" t="s">
        <v>1868</v>
      </c>
      <c r="S944" t="s">
        <v>1894</v>
      </c>
      <c r="T944" t="s">
        <v>1249</v>
      </c>
      <c r="U944" t="s">
        <v>1467</v>
      </c>
      <c r="V944" t="s">
        <v>1896</v>
      </c>
      <c r="W944" t="s">
        <v>1897</v>
      </c>
    </row>
    <row r="945" spans="1:23" ht="15" customHeight="1" x14ac:dyDescent="0.3">
      <c r="A945" t="s">
        <v>8</v>
      </c>
      <c r="B945">
        <v>96</v>
      </c>
      <c r="C945" t="s">
        <v>477</v>
      </c>
      <c r="D945" t="s">
        <v>1855</v>
      </c>
      <c r="E945" t="s">
        <v>34</v>
      </c>
      <c r="F945" t="s">
        <v>1856</v>
      </c>
      <c r="G945" t="s">
        <v>440</v>
      </c>
      <c r="H945" t="s">
        <v>996</v>
      </c>
      <c r="I945" t="s">
        <v>1855</v>
      </c>
      <c r="J945" t="s">
        <v>1894</v>
      </c>
      <c r="K945" s="21" t="s">
        <v>1895</v>
      </c>
      <c r="L945" s="21" t="s">
        <v>1859</v>
      </c>
      <c r="M945" t="s">
        <v>1860</v>
      </c>
      <c r="N945" t="s">
        <v>1861</v>
      </c>
      <c r="R945" t="s">
        <v>1869</v>
      </c>
      <c r="S945" t="s">
        <v>1894</v>
      </c>
      <c r="T945" t="s">
        <v>1249</v>
      </c>
      <c r="U945" t="s">
        <v>1467</v>
      </c>
      <c r="V945" t="s">
        <v>1896</v>
      </c>
      <c r="W945" t="s">
        <v>1897</v>
      </c>
    </row>
    <row r="946" spans="1:23" ht="15" customHeight="1" x14ac:dyDescent="0.3">
      <c r="A946" t="s">
        <v>8</v>
      </c>
      <c r="B946">
        <v>88</v>
      </c>
      <c r="C946" t="s">
        <v>477</v>
      </c>
      <c r="D946" t="s">
        <v>1898</v>
      </c>
      <c r="E946" t="s">
        <v>370</v>
      </c>
      <c r="F946" t="s">
        <v>1899</v>
      </c>
      <c r="G946" t="s">
        <v>36</v>
      </c>
      <c r="H946" t="s">
        <v>37</v>
      </c>
      <c r="I946" t="s">
        <v>1898</v>
      </c>
      <c r="J946" t="s">
        <v>1900</v>
      </c>
      <c r="K946" t="s">
        <v>1901</v>
      </c>
      <c r="L946" s="21" t="s">
        <v>1902</v>
      </c>
      <c r="M946" t="s">
        <v>1903</v>
      </c>
      <c r="N946" t="s">
        <v>159</v>
      </c>
      <c r="R946" t="s">
        <v>1904</v>
      </c>
      <c r="S946" t="s">
        <v>1900</v>
      </c>
      <c r="T946" t="s">
        <v>1544</v>
      </c>
      <c r="U946" t="s">
        <v>1707</v>
      </c>
      <c r="V946" t="s">
        <v>1905</v>
      </c>
      <c r="W946" t="s">
        <v>1906</v>
      </c>
    </row>
    <row r="947" spans="1:23" ht="15" customHeight="1" x14ac:dyDescent="0.3">
      <c r="A947" t="s">
        <v>8</v>
      </c>
      <c r="B947">
        <v>88</v>
      </c>
      <c r="C947" t="s">
        <v>477</v>
      </c>
      <c r="D947" t="s">
        <v>1898</v>
      </c>
      <c r="E947" t="s">
        <v>370</v>
      </c>
      <c r="F947" t="s">
        <v>1899</v>
      </c>
      <c r="G947" t="s">
        <v>36</v>
      </c>
      <c r="H947" t="s">
        <v>52</v>
      </c>
      <c r="I947" t="s">
        <v>1898</v>
      </c>
      <c r="J947" t="s">
        <v>1907</v>
      </c>
      <c r="K947" s="21" t="s">
        <v>1908</v>
      </c>
      <c r="L947" s="21" t="s">
        <v>1902</v>
      </c>
      <c r="M947" t="s">
        <v>1903</v>
      </c>
      <c r="N947" t="s">
        <v>159</v>
      </c>
      <c r="R947" t="s">
        <v>1904</v>
      </c>
      <c r="S947" t="s">
        <v>1907</v>
      </c>
      <c r="T947" t="s">
        <v>1544</v>
      </c>
      <c r="U947" t="s">
        <v>1611</v>
      </c>
      <c r="V947" t="s">
        <v>1909</v>
      </c>
      <c r="W947" t="s">
        <v>1910</v>
      </c>
    </row>
    <row r="948" spans="1:23" ht="15" customHeight="1" x14ac:dyDescent="0.3">
      <c r="A948" t="s">
        <v>8</v>
      </c>
      <c r="B948">
        <v>88</v>
      </c>
      <c r="C948" t="s">
        <v>477</v>
      </c>
      <c r="D948" t="s">
        <v>1898</v>
      </c>
      <c r="E948" t="s">
        <v>370</v>
      </c>
      <c r="F948" t="s">
        <v>1899</v>
      </c>
      <c r="G948" t="s">
        <v>36</v>
      </c>
      <c r="H948" t="s">
        <v>57</v>
      </c>
      <c r="I948" t="s">
        <v>1898</v>
      </c>
      <c r="J948" t="s">
        <v>1911</v>
      </c>
      <c r="K948" s="21" t="s">
        <v>1912</v>
      </c>
      <c r="L948" s="21" t="s">
        <v>1902</v>
      </c>
      <c r="M948" t="s">
        <v>1903</v>
      </c>
      <c r="N948" t="s">
        <v>159</v>
      </c>
      <c r="R948" t="s">
        <v>1904</v>
      </c>
      <c r="S948" t="s">
        <v>1911</v>
      </c>
      <c r="T948" t="s">
        <v>1544</v>
      </c>
      <c r="U948" t="s">
        <v>1501</v>
      </c>
      <c r="V948" t="s">
        <v>1909</v>
      </c>
      <c r="W948" t="s">
        <v>1913</v>
      </c>
    </row>
    <row r="949" spans="1:23" ht="15" customHeight="1" x14ac:dyDescent="0.3">
      <c r="A949" t="s">
        <v>8</v>
      </c>
      <c r="B949">
        <v>88</v>
      </c>
      <c r="C949" t="s">
        <v>477</v>
      </c>
      <c r="D949" t="s">
        <v>1898</v>
      </c>
      <c r="E949" t="s">
        <v>370</v>
      </c>
      <c r="F949" t="s">
        <v>1899</v>
      </c>
      <c r="G949" t="s">
        <v>36</v>
      </c>
      <c r="H949" t="s">
        <v>49</v>
      </c>
      <c r="I949" t="s">
        <v>1898</v>
      </c>
      <c r="J949" t="s">
        <v>1914</v>
      </c>
      <c r="K949" s="21" t="s">
        <v>1915</v>
      </c>
      <c r="L949" s="21" t="s">
        <v>1902</v>
      </c>
      <c r="M949" t="s">
        <v>1903</v>
      </c>
      <c r="N949" t="s">
        <v>159</v>
      </c>
      <c r="R949" t="s">
        <v>1904</v>
      </c>
      <c r="S949" t="s">
        <v>1914</v>
      </c>
      <c r="T949" t="s">
        <v>1544</v>
      </c>
      <c r="U949" t="s">
        <v>1511</v>
      </c>
      <c r="V949" t="s">
        <v>1909</v>
      </c>
      <c r="W949" t="s">
        <v>1916</v>
      </c>
    </row>
    <row r="950" spans="1:23" ht="15" customHeight="1" x14ac:dyDescent="0.3">
      <c r="A950" t="s">
        <v>8</v>
      </c>
      <c r="B950">
        <v>88</v>
      </c>
      <c r="C950" t="s">
        <v>477</v>
      </c>
      <c r="D950" t="s">
        <v>1898</v>
      </c>
      <c r="E950" t="s">
        <v>370</v>
      </c>
      <c r="F950" t="s">
        <v>1899</v>
      </c>
      <c r="G950" t="s">
        <v>36</v>
      </c>
      <c r="H950" t="s">
        <v>87</v>
      </c>
      <c r="I950" t="s">
        <v>1898</v>
      </c>
      <c r="J950" t="s">
        <v>1917</v>
      </c>
      <c r="K950" s="21" t="s">
        <v>1918</v>
      </c>
      <c r="L950" s="21" t="s">
        <v>1902</v>
      </c>
      <c r="M950" t="s">
        <v>1903</v>
      </c>
      <c r="N950" t="s">
        <v>159</v>
      </c>
      <c r="R950" t="s">
        <v>1904</v>
      </c>
      <c r="S950" t="s">
        <v>1917</v>
      </c>
      <c r="T950" t="s">
        <v>1544</v>
      </c>
      <c r="U950" t="s">
        <v>1695</v>
      </c>
      <c r="V950" t="s">
        <v>1909</v>
      </c>
      <c r="W950" t="s">
        <v>1919</v>
      </c>
    </row>
    <row r="951" spans="1:23" ht="15" customHeight="1" x14ac:dyDescent="0.3">
      <c r="A951" t="s">
        <v>8</v>
      </c>
      <c r="B951">
        <v>88</v>
      </c>
      <c r="C951" t="s">
        <v>477</v>
      </c>
      <c r="D951" t="s">
        <v>1898</v>
      </c>
      <c r="E951" t="s">
        <v>370</v>
      </c>
      <c r="F951" t="s">
        <v>1899</v>
      </c>
      <c r="G951" t="s">
        <v>36</v>
      </c>
      <c r="H951" t="s">
        <v>421</v>
      </c>
      <c r="I951" t="s">
        <v>1898</v>
      </c>
      <c r="J951" t="s">
        <v>1920</v>
      </c>
      <c r="K951" s="21" t="s">
        <v>1921</v>
      </c>
      <c r="L951" s="21" t="s">
        <v>1902</v>
      </c>
      <c r="M951" t="s">
        <v>1903</v>
      </c>
      <c r="N951" t="s">
        <v>159</v>
      </c>
      <c r="R951" t="s">
        <v>1904</v>
      </c>
      <c r="S951" t="s">
        <v>1920</v>
      </c>
      <c r="T951" t="s">
        <v>1544</v>
      </c>
      <c r="U951" t="s">
        <v>1511</v>
      </c>
      <c r="V951" t="s">
        <v>1922</v>
      </c>
      <c r="W951" t="s">
        <v>1923</v>
      </c>
    </row>
    <row r="952" spans="1:23" ht="15" customHeight="1" x14ac:dyDescent="0.3">
      <c r="A952" t="s">
        <v>8</v>
      </c>
      <c r="B952">
        <v>88</v>
      </c>
      <c r="C952" t="s">
        <v>477</v>
      </c>
      <c r="D952" t="s">
        <v>1898</v>
      </c>
      <c r="E952" t="s">
        <v>370</v>
      </c>
      <c r="F952" t="s">
        <v>1899</v>
      </c>
      <c r="G952" t="s">
        <v>36</v>
      </c>
      <c r="H952" t="s">
        <v>182</v>
      </c>
      <c r="I952" t="s">
        <v>1898</v>
      </c>
      <c r="J952" t="s">
        <v>1924</v>
      </c>
      <c r="K952" s="21" t="s">
        <v>1925</v>
      </c>
      <c r="L952" s="21" t="s">
        <v>1902</v>
      </c>
      <c r="M952" t="s">
        <v>1903</v>
      </c>
      <c r="N952" t="s">
        <v>159</v>
      </c>
      <c r="R952" t="s">
        <v>1904</v>
      </c>
      <c r="S952" t="s">
        <v>1924</v>
      </c>
      <c r="T952" t="s">
        <v>1249</v>
      </c>
      <c r="U952" t="s">
        <v>1795</v>
      </c>
      <c r="V952" t="s">
        <v>1905</v>
      </c>
      <c r="W952" t="s">
        <v>1926</v>
      </c>
    </row>
    <row r="953" spans="1:23" ht="15" customHeight="1" x14ac:dyDescent="0.3">
      <c r="A953" t="s">
        <v>8</v>
      </c>
      <c r="B953">
        <v>89</v>
      </c>
      <c r="C953" t="s">
        <v>477</v>
      </c>
      <c r="D953" t="s">
        <v>1927</v>
      </c>
      <c r="E953" t="s">
        <v>153</v>
      </c>
      <c r="F953" t="s">
        <v>1928</v>
      </c>
      <c r="G953" t="s">
        <v>36</v>
      </c>
      <c r="H953" t="s">
        <v>37</v>
      </c>
      <c r="I953" t="s">
        <v>1927</v>
      </c>
      <c r="J953" t="s">
        <v>1929</v>
      </c>
      <c r="K953" t="s">
        <v>1930</v>
      </c>
      <c r="L953" s="21" t="s">
        <v>1931</v>
      </c>
      <c r="M953" t="s">
        <v>1932</v>
      </c>
      <c r="N953" t="s">
        <v>42</v>
      </c>
      <c r="P953" s="21" t="s">
        <v>1933</v>
      </c>
      <c r="R953" t="s">
        <v>1739</v>
      </c>
      <c r="S953" t="s">
        <v>1929</v>
      </c>
      <c r="T953" t="s">
        <v>45</v>
      </c>
      <c r="U953" t="s">
        <v>1437</v>
      </c>
      <c r="V953" t="s">
        <v>1934</v>
      </c>
      <c r="W953" t="s">
        <v>1935</v>
      </c>
    </row>
    <row r="954" spans="1:23" ht="15" customHeight="1" x14ac:dyDescent="0.3">
      <c r="A954" t="s">
        <v>8</v>
      </c>
      <c r="B954">
        <v>89</v>
      </c>
      <c r="C954" t="s">
        <v>477</v>
      </c>
      <c r="D954" t="s">
        <v>1927</v>
      </c>
      <c r="E954" t="s">
        <v>153</v>
      </c>
      <c r="F954" t="s">
        <v>1928</v>
      </c>
      <c r="G954" t="s">
        <v>36</v>
      </c>
      <c r="H954" t="s">
        <v>52</v>
      </c>
      <c r="I954" t="s">
        <v>1927</v>
      </c>
      <c r="J954" t="s">
        <v>1936</v>
      </c>
      <c r="K954" s="21" t="s">
        <v>1937</v>
      </c>
      <c r="L954" s="21" t="s">
        <v>1931</v>
      </c>
      <c r="M954" t="s">
        <v>1932</v>
      </c>
      <c r="N954" t="s">
        <v>42</v>
      </c>
      <c r="P954" s="21" t="s">
        <v>1933</v>
      </c>
      <c r="R954" t="s">
        <v>1739</v>
      </c>
      <c r="S954" t="s">
        <v>1936</v>
      </c>
      <c r="T954" t="s">
        <v>1249</v>
      </c>
      <c r="U954" t="s">
        <v>1473</v>
      </c>
      <c r="V954" t="s">
        <v>1938</v>
      </c>
      <c r="W954" t="s">
        <v>1939</v>
      </c>
    </row>
    <row r="955" spans="1:23" ht="15" customHeight="1" x14ac:dyDescent="0.3">
      <c r="A955" t="s">
        <v>8</v>
      </c>
      <c r="B955">
        <v>89</v>
      </c>
      <c r="C955" t="s">
        <v>477</v>
      </c>
      <c r="D955" t="s">
        <v>1927</v>
      </c>
      <c r="E955" t="s">
        <v>153</v>
      </c>
      <c r="F955" t="s">
        <v>1928</v>
      </c>
      <c r="G955" t="s">
        <v>36</v>
      </c>
      <c r="H955" t="s">
        <v>57</v>
      </c>
      <c r="I955" t="s">
        <v>1927</v>
      </c>
      <c r="J955" t="s">
        <v>1940</v>
      </c>
      <c r="K955" s="21" t="s">
        <v>1941</v>
      </c>
      <c r="L955" s="21" t="s">
        <v>1931</v>
      </c>
      <c r="M955" t="s">
        <v>1932</v>
      </c>
      <c r="N955" t="s">
        <v>42</v>
      </c>
      <c r="P955" s="21" t="s">
        <v>1933</v>
      </c>
      <c r="R955" t="s">
        <v>1739</v>
      </c>
      <c r="S955" t="s">
        <v>1940</v>
      </c>
      <c r="T955" t="s">
        <v>1249</v>
      </c>
      <c r="U955" t="s">
        <v>1473</v>
      </c>
      <c r="V955" t="s">
        <v>1942</v>
      </c>
      <c r="W955" t="s">
        <v>1943</v>
      </c>
    </row>
    <row r="956" spans="1:23" ht="15" customHeight="1" x14ac:dyDescent="0.3">
      <c r="A956" t="s">
        <v>8</v>
      </c>
      <c r="B956">
        <v>89</v>
      </c>
      <c r="C956" t="s">
        <v>477</v>
      </c>
      <c r="D956" t="s">
        <v>1927</v>
      </c>
      <c r="E956" t="s">
        <v>153</v>
      </c>
      <c r="F956" t="s">
        <v>1928</v>
      </c>
      <c r="G956" t="s">
        <v>36</v>
      </c>
      <c r="H956" t="s">
        <v>49</v>
      </c>
      <c r="I956" t="s">
        <v>1927</v>
      </c>
      <c r="J956" t="s">
        <v>1944</v>
      </c>
      <c r="K956" s="21" t="s">
        <v>1945</v>
      </c>
      <c r="L956" s="21" t="s">
        <v>1931</v>
      </c>
      <c r="M956" t="s">
        <v>1932</v>
      </c>
      <c r="N956" t="s">
        <v>42</v>
      </c>
      <c r="P956" s="21" t="s">
        <v>1933</v>
      </c>
      <c r="R956" t="s">
        <v>1739</v>
      </c>
      <c r="S956" t="s">
        <v>1944</v>
      </c>
      <c r="T956" t="s">
        <v>1231</v>
      </c>
      <c r="U956" t="s">
        <v>1801</v>
      </c>
      <c r="V956" t="s">
        <v>1946</v>
      </c>
      <c r="W956" t="s">
        <v>1947</v>
      </c>
    </row>
    <row r="957" spans="1:23" ht="15" customHeight="1" x14ac:dyDescent="0.3">
      <c r="A957" t="s">
        <v>8</v>
      </c>
      <c r="B957">
        <v>89</v>
      </c>
      <c r="C957" t="s">
        <v>477</v>
      </c>
      <c r="D957" t="s">
        <v>1927</v>
      </c>
      <c r="E957" t="s">
        <v>153</v>
      </c>
      <c r="F957" t="s">
        <v>1928</v>
      </c>
      <c r="G957" t="s">
        <v>36</v>
      </c>
      <c r="H957" t="s">
        <v>87</v>
      </c>
      <c r="I957" t="s">
        <v>1927</v>
      </c>
      <c r="J957" t="s">
        <v>1948</v>
      </c>
      <c r="K957" s="21" t="s">
        <v>1949</v>
      </c>
      <c r="L957" s="21" t="s">
        <v>1931</v>
      </c>
      <c r="M957" t="s">
        <v>1932</v>
      </c>
      <c r="N957" t="s">
        <v>42</v>
      </c>
      <c r="P957" s="21" t="s">
        <v>1933</v>
      </c>
      <c r="R957" t="s">
        <v>1739</v>
      </c>
      <c r="S957" t="s">
        <v>1948</v>
      </c>
      <c r="T957" t="s">
        <v>1249</v>
      </c>
      <c r="U957" t="s">
        <v>1467</v>
      </c>
      <c r="V957" t="s">
        <v>1950</v>
      </c>
      <c r="W957" t="s">
        <v>1951</v>
      </c>
    </row>
    <row r="958" spans="1:23" ht="15" customHeight="1" x14ac:dyDescent="0.3">
      <c r="A958" t="s">
        <v>8</v>
      </c>
      <c r="B958">
        <v>89</v>
      </c>
      <c r="C958" t="s">
        <v>477</v>
      </c>
      <c r="D958" t="s">
        <v>1927</v>
      </c>
      <c r="E958" t="s">
        <v>153</v>
      </c>
      <c r="F958" t="s">
        <v>1928</v>
      </c>
      <c r="G958" t="s">
        <v>36</v>
      </c>
      <c r="H958" t="s">
        <v>421</v>
      </c>
      <c r="I958" t="s">
        <v>1927</v>
      </c>
      <c r="J958" t="s">
        <v>1952</v>
      </c>
      <c r="K958" s="21" t="s">
        <v>1953</v>
      </c>
      <c r="L958" s="21" t="s">
        <v>1931</v>
      </c>
      <c r="M958" t="s">
        <v>1932</v>
      </c>
      <c r="N958" t="s">
        <v>42</v>
      </c>
      <c r="P958" s="21" t="s">
        <v>1933</v>
      </c>
      <c r="R958" t="s">
        <v>1739</v>
      </c>
      <c r="S958" t="s">
        <v>1952</v>
      </c>
      <c r="T958" t="s">
        <v>1249</v>
      </c>
      <c r="U958" t="s">
        <v>1795</v>
      </c>
      <c r="V958" t="s">
        <v>1954</v>
      </c>
      <c r="W958" t="s">
        <v>1955</v>
      </c>
    </row>
    <row r="959" spans="1:23" ht="15" customHeight="1" x14ac:dyDescent="0.3">
      <c r="A959" t="s">
        <v>8</v>
      </c>
      <c r="B959">
        <v>89</v>
      </c>
      <c r="C959" t="s">
        <v>477</v>
      </c>
      <c r="D959" t="s">
        <v>1927</v>
      </c>
      <c r="E959" t="s">
        <v>153</v>
      </c>
      <c r="F959" t="s">
        <v>1928</v>
      </c>
      <c r="G959" t="s">
        <v>36</v>
      </c>
      <c r="H959" t="s">
        <v>182</v>
      </c>
      <c r="I959" t="s">
        <v>1927</v>
      </c>
      <c r="J959" t="s">
        <v>1956</v>
      </c>
      <c r="K959" s="21" t="s">
        <v>1957</v>
      </c>
      <c r="L959" s="21" t="s">
        <v>1931</v>
      </c>
      <c r="M959" t="s">
        <v>1932</v>
      </c>
      <c r="N959" t="s">
        <v>42</v>
      </c>
      <c r="P959" s="21" t="s">
        <v>1933</v>
      </c>
      <c r="R959" t="s">
        <v>1739</v>
      </c>
      <c r="S959" t="s">
        <v>1956</v>
      </c>
      <c r="T959" t="s">
        <v>1249</v>
      </c>
      <c r="U959" t="s">
        <v>1958</v>
      </c>
      <c r="V959" t="s">
        <v>1959</v>
      </c>
      <c r="W959" t="s">
        <v>1960</v>
      </c>
    </row>
    <row r="960" spans="1:23" ht="15" customHeight="1" x14ac:dyDescent="0.3">
      <c r="A960" t="s">
        <v>1961</v>
      </c>
      <c r="B960">
        <v>383</v>
      </c>
      <c r="C960" t="s">
        <v>477</v>
      </c>
      <c r="D960" t="s">
        <v>1962</v>
      </c>
      <c r="E960" t="s">
        <v>384</v>
      </c>
      <c r="F960" t="s">
        <v>1963</v>
      </c>
      <c r="G960" t="s">
        <v>36</v>
      </c>
      <c r="H960" t="s">
        <v>1962</v>
      </c>
      <c r="J960" t="s">
        <v>1964</v>
      </c>
      <c r="K960" t="s">
        <v>1965</v>
      </c>
      <c r="L960" t="s">
        <v>1965</v>
      </c>
      <c r="M960" t="s">
        <v>1966</v>
      </c>
      <c r="N960" t="s">
        <v>1967</v>
      </c>
      <c r="R960" t="s">
        <v>1968</v>
      </c>
      <c r="S960" t="s">
        <v>1964</v>
      </c>
      <c r="T960" t="s">
        <v>1544</v>
      </c>
      <c r="U960" t="s">
        <v>1501</v>
      </c>
      <c r="V960" t="s">
        <v>1969</v>
      </c>
      <c r="W960" t="s">
        <v>1970</v>
      </c>
    </row>
    <row r="961" spans="1:23" ht="15" customHeight="1" x14ac:dyDescent="0.3">
      <c r="A961" t="s">
        <v>8</v>
      </c>
      <c r="B961">
        <v>359</v>
      </c>
      <c r="C961" t="s">
        <v>530</v>
      </c>
      <c r="D961" t="s">
        <v>531</v>
      </c>
      <c r="E961" t="s">
        <v>532</v>
      </c>
      <c r="F961" t="s">
        <v>533</v>
      </c>
      <c r="G961" t="s">
        <v>440</v>
      </c>
      <c r="H961" t="s">
        <v>37</v>
      </c>
      <c r="I961" t="s">
        <v>531</v>
      </c>
      <c r="J961" t="s">
        <v>534</v>
      </c>
      <c r="K961" t="s">
        <v>535</v>
      </c>
      <c r="L961" s="21" t="s">
        <v>536</v>
      </c>
      <c r="M961" t="s">
        <v>537</v>
      </c>
      <c r="N961" t="s">
        <v>538</v>
      </c>
      <c r="R961" t="s">
        <v>540</v>
      </c>
      <c r="S961" t="s">
        <v>534</v>
      </c>
      <c r="T961" t="s">
        <v>45</v>
      </c>
      <c r="U961" t="s">
        <v>46</v>
      </c>
      <c r="V961" t="s">
        <v>541</v>
      </c>
      <c r="W961" t="s">
        <v>542</v>
      </c>
    </row>
    <row r="962" spans="1:23" ht="15" customHeight="1" x14ac:dyDescent="0.3">
      <c r="A962" t="s">
        <v>8</v>
      </c>
      <c r="B962">
        <v>359</v>
      </c>
      <c r="C962" t="s">
        <v>530</v>
      </c>
      <c r="D962" t="s">
        <v>531</v>
      </c>
      <c r="E962" t="s">
        <v>532</v>
      </c>
      <c r="F962" t="s">
        <v>533</v>
      </c>
      <c r="G962" t="s">
        <v>440</v>
      </c>
      <c r="H962" t="s">
        <v>37</v>
      </c>
      <c r="I962" t="s">
        <v>531</v>
      </c>
      <c r="J962" t="s">
        <v>534</v>
      </c>
      <c r="K962" t="s">
        <v>535</v>
      </c>
      <c r="L962" s="21" t="s">
        <v>536</v>
      </c>
      <c r="M962" t="s">
        <v>537</v>
      </c>
      <c r="N962" t="s">
        <v>538</v>
      </c>
      <c r="R962" t="s">
        <v>543</v>
      </c>
      <c r="S962" t="s">
        <v>534</v>
      </c>
      <c r="T962" t="s">
        <v>45</v>
      </c>
      <c r="U962" t="s">
        <v>46</v>
      </c>
      <c r="V962" t="s">
        <v>541</v>
      </c>
      <c r="W962" t="s">
        <v>542</v>
      </c>
    </row>
    <row r="963" spans="1:23" ht="15" customHeight="1" x14ac:dyDescent="0.3">
      <c r="A963" t="s">
        <v>8</v>
      </c>
      <c r="B963">
        <v>359</v>
      </c>
      <c r="C963" t="s">
        <v>530</v>
      </c>
      <c r="D963" t="s">
        <v>531</v>
      </c>
      <c r="E963" t="s">
        <v>532</v>
      </c>
      <c r="F963" t="s">
        <v>533</v>
      </c>
      <c r="G963" t="s">
        <v>440</v>
      </c>
      <c r="H963" t="s">
        <v>37</v>
      </c>
      <c r="I963" t="s">
        <v>531</v>
      </c>
      <c r="J963" t="s">
        <v>534</v>
      </c>
      <c r="K963" t="s">
        <v>535</v>
      </c>
      <c r="L963" s="21" t="s">
        <v>536</v>
      </c>
      <c r="M963" t="s">
        <v>537</v>
      </c>
      <c r="N963" t="s">
        <v>538</v>
      </c>
      <c r="R963" t="s">
        <v>544</v>
      </c>
      <c r="S963" t="s">
        <v>534</v>
      </c>
      <c r="T963" t="s">
        <v>45</v>
      </c>
      <c r="U963" t="s">
        <v>46</v>
      </c>
      <c r="V963" t="s">
        <v>541</v>
      </c>
      <c r="W963" t="s">
        <v>542</v>
      </c>
    </row>
    <row r="964" spans="1:23" ht="15" customHeight="1" x14ac:dyDescent="0.3">
      <c r="A964" t="s">
        <v>8</v>
      </c>
      <c r="B964">
        <v>359</v>
      </c>
      <c r="C964" t="s">
        <v>530</v>
      </c>
      <c r="D964" t="s">
        <v>531</v>
      </c>
      <c r="E964" t="s">
        <v>532</v>
      </c>
      <c r="F964" t="s">
        <v>533</v>
      </c>
      <c r="G964" t="s">
        <v>440</v>
      </c>
      <c r="H964" t="s">
        <v>37</v>
      </c>
      <c r="I964" t="s">
        <v>531</v>
      </c>
      <c r="J964" t="s">
        <v>534</v>
      </c>
      <c r="K964" t="s">
        <v>535</v>
      </c>
      <c r="L964" s="21" t="s">
        <v>536</v>
      </c>
      <c r="M964" t="s">
        <v>537</v>
      </c>
      <c r="N964" t="s">
        <v>538</v>
      </c>
      <c r="R964" t="s">
        <v>1971</v>
      </c>
      <c r="S964" t="s">
        <v>534</v>
      </c>
      <c r="T964" t="s">
        <v>45</v>
      </c>
      <c r="U964" t="s">
        <v>46</v>
      </c>
      <c r="V964" t="s">
        <v>541</v>
      </c>
      <c r="W964" t="s">
        <v>542</v>
      </c>
    </row>
    <row r="965" spans="1:23" ht="15" customHeight="1" x14ac:dyDescent="0.3">
      <c r="A965" t="s">
        <v>8</v>
      </c>
      <c r="B965">
        <v>359</v>
      </c>
      <c r="C965" t="s">
        <v>530</v>
      </c>
      <c r="D965" t="s">
        <v>531</v>
      </c>
      <c r="E965" t="s">
        <v>532</v>
      </c>
      <c r="F965" t="s">
        <v>533</v>
      </c>
      <c r="G965" t="s">
        <v>440</v>
      </c>
      <c r="H965" t="s">
        <v>37</v>
      </c>
      <c r="I965" t="s">
        <v>531</v>
      </c>
      <c r="J965" t="s">
        <v>534</v>
      </c>
      <c r="K965" t="s">
        <v>535</v>
      </c>
      <c r="L965" s="21" t="s">
        <v>536</v>
      </c>
      <c r="M965" t="s">
        <v>537</v>
      </c>
      <c r="N965" t="s">
        <v>538</v>
      </c>
      <c r="R965" t="s">
        <v>1972</v>
      </c>
      <c r="S965" t="s">
        <v>534</v>
      </c>
      <c r="T965" t="s">
        <v>45</v>
      </c>
      <c r="U965" t="s">
        <v>46</v>
      </c>
      <c r="V965" t="s">
        <v>541</v>
      </c>
      <c r="W965" t="s">
        <v>542</v>
      </c>
    </row>
    <row r="966" spans="1:23" ht="15" customHeight="1" x14ac:dyDescent="0.3">
      <c r="A966" t="s">
        <v>8</v>
      </c>
      <c r="B966">
        <v>359</v>
      </c>
      <c r="C966" t="s">
        <v>530</v>
      </c>
      <c r="D966" t="s">
        <v>531</v>
      </c>
      <c r="E966" t="s">
        <v>532</v>
      </c>
      <c r="F966" t="s">
        <v>533</v>
      </c>
      <c r="G966" t="s">
        <v>440</v>
      </c>
      <c r="H966" t="s">
        <v>52</v>
      </c>
      <c r="I966" t="s">
        <v>531</v>
      </c>
      <c r="J966" t="s">
        <v>546</v>
      </c>
      <c r="K966" s="21" t="s">
        <v>547</v>
      </c>
      <c r="L966" s="21" t="s">
        <v>536</v>
      </c>
      <c r="M966" t="s">
        <v>537</v>
      </c>
      <c r="N966" t="s">
        <v>538</v>
      </c>
      <c r="R966" t="s">
        <v>540</v>
      </c>
      <c r="S966" t="s">
        <v>546</v>
      </c>
      <c r="T966" t="s">
        <v>45</v>
      </c>
      <c r="U966" t="s">
        <v>46</v>
      </c>
      <c r="V966" t="s">
        <v>548</v>
      </c>
      <c r="W966" t="s">
        <v>549</v>
      </c>
    </row>
    <row r="967" spans="1:23" ht="15" customHeight="1" x14ac:dyDescent="0.3">
      <c r="A967" t="s">
        <v>8</v>
      </c>
      <c r="B967">
        <v>359</v>
      </c>
      <c r="C967" t="s">
        <v>530</v>
      </c>
      <c r="D967" t="s">
        <v>531</v>
      </c>
      <c r="E967" t="s">
        <v>532</v>
      </c>
      <c r="F967" t="s">
        <v>533</v>
      </c>
      <c r="G967" t="s">
        <v>440</v>
      </c>
      <c r="H967" t="s">
        <v>52</v>
      </c>
      <c r="I967" t="s">
        <v>531</v>
      </c>
      <c r="J967" t="s">
        <v>546</v>
      </c>
      <c r="K967" s="21" t="s">
        <v>547</v>
      </c>
      <c r="L967" s="21" t="s">
        <v>536</v>
      </c>
      <c r="M967" t="s">
        <v>537</v>
      </c>
      <c r="N967" t="s">
        <v>538</v>
      </c>
      <c r="R967" t="s">
        <v>543</v>
      </c>
      <c r="S967" t="s">
        <v>546</v>
      </c>
      <c r="T967" t="s">
        <v>45</v>
      </c>
      <c r="U967" t="s">
        <v>46</v>
      </c>
      <c r="V967" t="s">
        <v>548</v>
      </c>
      <c r="W967" t="s">
        <v>549</v>
      </c>
    </row>
    <row r="968" spans="1:23" ht="15" customHeight="1" x14ac:dyDescent="0.3">
      <c r="A968" t="s">
        <v>8</v>
      </c>
      <c r="B968">
        <v>359</v>
      </c>
      <c r="C968" t="s">
        <v>530</v>
      </c>
      <c r="D968" t="s">
        <v>531</v>
      </c>
      <c r="E968" t="s">
        <v>532</v>
      </c>
      <c r="F968" t="s">
        <v>533</v>
      </c>
      <c r="G968" t="s">
        <v>440</v>
      </c>
      <c r="H968" t="s">
        <v>52</v>
      </c>
      <c r="I968" t="s">
        <v>531</v>
      </c>
      <c r="J968" t="s">
        <v>546</v>
      </c>
      <c r="K968" s="21" t="s">
        <v>547</v>
      </c>
      <c r="L968" s="21" t="s">
        <v>536</v>
      </c>
      <c r="M968" t="s">
        <v>537</v>
      </c>
      <c r="N968" t="s">
        <v>538</v>
      </c>
      <c r="R968" t="s">
        <v>544</v>
      </c>
      <c r="S968" t="s">
        <v>546</v>
      </c>
      <c r="T968" t="s">
        <v>45</v>
      </c>
      <c r="U968" t="s">
        <v>46</v>
      </c>
      <c r="V968" t="s">
        <v>548</v>
      </c>
      <c r="W968" t="s">
        <v>549</v>
      </c>
    </row>
    <row r="969" spans="1:23" ht="15" customHeight="1" x14ac:dyDescent="0.3">
      <c r="A969" t="s">
        <v>8</v>
      </c>
      <c r="B969">
        <v>359</v>
      </c>
      <c r="C969" t="s">
        <v>530</v>
      </c>
      <c r="D969" t="s">
        <v>531</v>
      </c>
      <c r="E969" t="s">
        <v>532</v>
      </c>
      <c r="F969" t="s">
        <v>533</v>
      </c>
      <c r="G969" t="s">
        <v>440</v>
      </c>
      <c r="H969" t="s">
        <v>52</v>
      </c>
      <c r="I969" t="s">
        <v>531</v>
      </c>
      <c r="J969" t="s">
        <v>546</v>
      </c>
      <c r="K969" s="21" t="s">
        <v>547</v>
      </c>
      <c r="L969" s="21" t="s">
        <v>536</v>
      </c>
      <c r="M969" t="s">
        <v>537</v>
      </c>
      <c r="N969" t="s">
        <v>538</v>
      </c>
      <c r="R969" t="s">
        <v>1971</v>
      </c>
      <c r="S969" t="s">
        <v>546</v>
      </c>
      <c r="T969" t="s">
        <v>45</v>
      </c>
      <c r="U969" t="s">
        <v>46</v>
      </c>
      <c r="V969" t="s">
        <v>548</v>
      </c>
      <c r="W969" t="s">
        <v>549</v>
      </c>
    </row>
    <row r="970" spans="1:23" ht="15" customHeight="1" x14ac:dyDescent="0.3">
      <c r="A970" t="s">
        <v>8</v>
      </c>
      <c r="B970">
        <v>359</v>
      </c>
      <c r="C970" t="s">
        <v>530</v>
      </c>
      <c r="D970" t="s">
        <v>531</v>
      </c>
      <c r="E970" t="s">
        <v>532</v>
      </c>
      <c r="F970" t="s">
        <v>533</v>
      </c>
      <c r="G970" t="s">
        <v>440</v>
      </c>
      <c r="H970" t="s">
        <v>52</v>
      </c>
      <c r="I970" t="s">
        <v>531</v>
      </c>
      <c r="J970" t="s">
        <v>546</v>
      </c>
      <c r="K970" s="21" t="s">
        <v>547</v>
      </c>
      <c r="L970" s="21" t="s">
        <v>536</v>
      </c>
      <c r="M970" t="s">
        <v>537</v>
      </c>
      <c r="N970" t="s">
        <v>538</v>
      </c>
      <c r="R970" t="s">
        <v>1972</v>
      </c>
      <c r="S970" t="s">
        <v>546</v>
      </c>
      <c r="T970" t="s">
        <v>45</v>
      </c>
      <c r="U970" t="s">
        <v>46</v>
      </c>
      <c r="V970" t="s">
        <v>548</v>
      </c>
      <c r="W970" t="s">
        <v>549</v>
      </c>
    </row>
    <row r="971" spans="1:23" ht="15" customHeight="1" x14ac:dyDescent="0.3">
      <c r="A971" t="s">
        <v>8</v>
      </c>
      <c r="B971">
        <v>359</v>
      </c>
      <c r="C971" t="s">
        <v>530</v>
      </c>
      <c r="D971" t="s">
        <v>531</v>
      </c>
      <c r="E971" t="s">
        <v>532</v>
      </c>
      <c r="F971" t="s">
        <v>533</v>
      </c>
      <c r="G971" t="s">
        <v>440</v>
      </c>
      <c r="H971" t="s">
        <v>57</v>
      </c>
      <c r="I971" t="s">
        <v>531</v>
      </c>
      <c r="J971" t="s">
        <v>1973</v>
      </c>
      <c r="K971" s="21" t="s">
        <v>1974</v>
      </c>
      <c r="L971" s="21" t="s">
        <v>536</v>
      </c>
      <c r="M971" t="s">
        <v>537</v>
      </c>
      <c r="N971" t="s">
        <v>538</v>
      </c>
      <c r="R971" t="s">
        <v>540</v>
      </c>
      <c r="S971" t="s">
        <v>1973</v>
      </c>
      <c r="T971" t="s">
        <v>45</v>
      </c>
      <c r="U971" t="s">
        <v>1257</v>
      </c>
      <c r="V971" t="s">
        <v>552</v>
      </c>
      <c r="W971" t="s">
        <v>1975</v>
      </c>
    </row>
    <row r="972" spans="1:23" ht="15" customHeight="1" x14ac:dyDescent="0.3">
      <c r="A972" t="s">
        <v>8</v>
      </c>
      <c r="B972">
        <v>359</v>
      </c>
      <c r="C972" t="s">
        <v>530</v>
      </c>
      <c r="D972" t="s">
        <v>531</v>
      </c>
      <c r="E972" t="s">
        <v>532</v>
      </c>
      <c r="F972" t="s">
        <v>533</v>
      </c>
      <c r="G972" t="s">
        <v>440</v>
      </c>
      <c r="H972" t="s">
        <v>57</v>
      </c>
      <c r="I972" t="s">
        <v>531</v>
      </c>
      <c r="J972" t="s">
        <v>1973</v>
      </c>
      <c r="K972" s="21" t="s">
        <v>1974</v>
      </c>
      <c r="L972" s="21" t="s">
        <v>536</v>
      </c>
      <c r="M972" t="s">
        <v>537</v>
      </c>
      <c r="N972" t="s">
        <v>538</v>
      </c>
      <c r="R972" t="s">
        <v>543</v>
      </c>
      <c r="S972" t="s">
        <v>1973</v>
      </c>
      <c r="T972" t="s">
        <v>45</v>
      </c>
      <c r="U972" t="s">
        <v>1257</v>
      </c>
      <c r="V972" t="s">
        <v>552</v>
      </c>
      <c r="W972" t="s">
        <v>1975</v>
      </c>
    </row>
    <row r="973" spans="1:23" ht="15" customHeight="1" x14ac:dyDescent="0.3">
      <c r="A973" t="s">
        <v>8</v>
      </c>
      <c r="B973">
        <v>359</v>
      </c>
      <c r="C973" t="s">
        <v>530</v>
      </c>
      <c r="D973" t="s">
        <v>531</v>
      </c>
      <c r="E973" t="s">
        <v>532</v>
      </c>
      <c r="F973" t="s">
        <v>533</v>
      </c>
      <c r="G973" t="s">
        <v>440</v>
      </c>
      <c r="H973" t="s">
        <v>57</v>
      </c>
      <c r="I973" t="s">
        <v>531</v>
      </c>
      <c r="J973" t="s">
        <v>1973</v>
      </c>
      <c r="K973" s="21" t="s">
        <v>1974</v>
      </c>
      <c r="L973" s="21" t="s">
        <v>536</v>
      </c>
      <c r="M973" t="s">
        <v>537</v>
      </c>
      <c r="N973" t="s">
        <v>538</v>
      </c>
      <c r="R973" t="s">
        <v>544</v>
      </c>
      <c r="S973" t="s">
        <v>1973</v>
      </c>
      <c r="T973" t="s">
        <v>45</v>
      </c>
      <c r="U973" t="s">
        <v>1257</v>
      </c>
      <c r="V973" t="s">
        <v>552</v>
      </c>
      <c r="W973" t="s">
        <v>1975</v>
      </c>
    </row>
    <row r="974" spans="1:23" ht="15" customHeight="1" x14ac:dyDescent="0.3">
      <c r="A974" t="s">
        <v>8</v>
      </c>
      <c r="B974">
        <v>359</v>
      </c>
      <c r="C974" t="s">
        <v>530</v>
      </c>
      <c r="D974" t="s">
        <v>531</v>
      </c>
      <c r="E974" t="s">
        <v>532</v>
      </c>
      <c r="F974" t="s">
        <v>533</v>
      </c>
      <c r="G974" t="s">
        <v>440</v>
      </c>
      <c r="H974" t="s">
        <v>57</v>
      </c>
      <c r="I974" t="s">
        <v>531</v>
      </c>
      <c r="J974" t="s">
        <v>1973</v>
      </c>
      <c r="K974" s="21" t="s">
        <v>1974</v>
      </c>
      <c r="L974" s="21" t="s">
        <v>536</v>
      </c>
      <c r="M974" t="s">
        <v>537</v>
      </c>
      <c r="N974" t="s">
        <v>538</v>
      </c>
      <c r="R974" t="s">
        <v>1971</v>
      </c>
      <c r="S974" t="s">
        <v>1973</v>
      </c>
      <c r="T974" t="s">
        <v>45</v>
      </c>
      <c r="U974" t="s">
        <v>1257</v>
      </c>
      <c r="V974" t="s">
        <v>552</v>
      </c>
      <c r="W974" t="s">
        <v>1975</v>
      </c>
    </row>
    <row r="975" spans="1:23" ht="15" customHeight="1" x14ac:dyDescent="0.3">
      <c r="A975" t="s">
        <v>8</v>
      </c>
      <c r="B975">
        <v>359</v>
      </c>
      <c r="C975" t="s">
        <v>530</v>
      </c>
      <c r="D975" t="s">
        <v>531</v>
      </c>
      <c r="E975" t="s">
        <v>532</v>
      </c>
      <c r="F975" t="s">
        <v>533</v>
      </c>
      <c r="G975" t="s">
        <v>440</v>
      </c>
      <c r="H975" t="s">
        <v>57</v>
      </c>
      <c r="I975" t="s">
        <v>531</v>
      </c>
      <c r="J975" t="s">
        <v>1973</v>
      </c>
      <c r="K975" s="21" t="s">
        <v>1974</v>
      </c>
      <c r="L975" s="21" t="s">
        <v>536</v>
      </c>
      <c r="M975" t="s">
        <v>537</v>
      </c>
      <c r="N975" t="s">
        <v>538</v>
      </c>
      <c r="R975" t="s">
        <v>1972</v>
      </c>
      <c r="S975" t="s">
        <v>1973</v>
      </c>
      <c r="T975" t="s">
        <v>45</v>
      </c>
      <c r="U975" t="s">
        <v>1257</v>
      </c>
      <c r="V975" t="s">
        <v>552</v>
      </c>
      <c r="W975" t="s">
        <v>1975</v>
      </c>
    </row>
    <row r="976" spans="1:23" ht="15" customHeight="1" x14ac:dyDescent="0.3">
      <c r="A976" t="s">
        <v>8</v>
      </c>
      <c r="B976">
        <v>359</v>
      </c>
      <c r="C976" t="s">
        <v>530</v>
      </c>
      <c r="D976" t="s">
        <v>531</v>
      </c>
      <c r="E976" t="s">
        <v>532</v>
      </c>
      <c r="F976" t="s">
        <v>533</v>
      </c>
      <c r="G976" t="s">
        <v>440</v>
      </c>
      <c r="H976" t="s">
        <v>49</v>
      </c>
      <c r="I976" t="s">
        <v>531</v>
      </c>
      <c r="J976" t="s">
        <v>550</v>
      </c>
      <c r="K976" s="21" t="s">
        <v>551</v>
      </c>
      <c r="L976" s="21" t="s">
        <v>536</v>
      </c>
      <c r="M976" t="s">
        <v>537</v>
      </c>
      <c r="N976" t="s">
        <v>538</v>
      </c>
      <c r="R976" t="s">
        <v>540</v>
      </c>
      <c r="S976" t="s">
        <v>550</v>
      </c>
      <c r="T976" t="s">
        <v>45</v>
      </c>
      <c r="U976" t="s">
        <v>90</v>
      </c>
      <c r="V976" t="s">
        <v>552</v>
      </c>
      <c r="W976" t="s">
        <v>553</v>
      </c>
    </row>
    <row r="977" spans="1:23" ht="15" customHeight="1" x14ac:dyDescent="0.3">
      <c r="A977" t="s">
        <v>8</v>
      </c>
      <c r="B977">
        <v>359</v>
      </c>
      <c r="C977" t="s">
        <v>530</v>
      </c>
      <c r="D977" t="s">
        <v>531</v>
      </c>
      <c r="E977" t="s">
        <v>532</v>
      </c>
      <c r="F977" t="s">
        <v>533</v>
      </c>
      <c r="G977" t="s">
        <v>440</v>
      </c>
      <c r="H977" t="s">
        <v>49</v>
      </c>
      <c r="I977" t="s">
        <v>531</v>
      </c>
      <c r="J977" t="s">
        <v>550</v>
      </c>
      <c r="K977" s="21" t="s">
        <v>551</v>
      </c>
      <c r="L977" s="21" t="s">
        <v>536</v>
      </c>
      <c r="M977" t="s">
        <v>537</v>
      </c>
      <c r="N977" t="s">
        <v>538</v>
      </c>
      <c r="R977" t="s">
        <v>543</v>
      </c>
      <c r="S977" t="s">
        <v>550</v>
      </c>
      <c r="T977" t="s">
        <v>45</v>
      </c>
      <c r="U977" t="s">
        <v>90</v>
      </c>
      <c r="V977" t="s">
        <v>552</v>
      </c>
      <c r="W977" t="s">
        <v>553</v>
      </c>
    </row>
    <row r="978" spans="1:23" ht="15" customHeight="1" x14ac:dyDescent="0.3">
      <c r="A978" t="s">
        <v>8</v>
      </c>
      <c r="B978">
        <v>359</v>
      </c>
      <c r="C978" t="s">
        <v>530</v>
      </c>
      <c r="D978" t="s">
        <v>531</v>
      </c>
      <c r="E978" t="s">
        <v>532</v>
      </c>
      <c r="F978" t="s">
        <v>533</v>
      </c>
      <c r="G978" t="s">
        <v>440</v>
      </c>
      <c r="H978" t="s">
        <v>49</v>
      </c>
      <c r="I978" t="s">
        <v>531</v>
      </c>
      <c r="J978" t="s">
        <v>550</v>
      </c>
      <c r="K978" s="21" t="s">
        <v>551</v>
      </c>
      <c r="L978" s="21" t="s">
        <v>536</v>
      </c>
      <c r="M978" t="s">
        <v>537</v>
      </c>
      <c r="N978" t="s">
        <v>538</v>
      </c>
      <c r="R978" t="s">
        <v>544</v>
      </c>
      <c r="S978" t="s">
        <v>550</v>
      </c>
      <c r="T978" t="s">
        <v>45</v>
      </c>
      <c r="U978" t="s">
        <v>90</v>
      </c>
      <c r="V978" t="s">
        <v>552</v>
      </c>
      <c r="W978" t="s">
        <v>553</v>
      </c>
    </row>
    <row r="979" spans="1:23" ht="15" customHeight="1" x14ac:dyDescent="0.3">
      <c r="A979" t="s">
        <v>8</v>
      </c>
      <c r="B979">
        <v>359</v>
      </c>
      <c r="C979" t="s">
        <v>530</v>
      </c>
      <c r="D979" t="s">
        <v>531</v>
      </c>
      <c r="E979" t="s">
        <v>532</v>
      </c>
      <c r="F979" t="s">
        <v>533</v>
      </c>
      <c r="G979" t="s">
        <v>440</v>
      </c>
      <c r="H979" t="s">
        <v>49</v>
      </c>
      <c r="I979" t="s">
        <v>531</v>
      </c>
      <c r="J979" t="s">
        <v>550</v>
      </c>
      <c r="K979" s="21" t="s">
        <v>551</v>
      </c>
      <c r="L979" s="21" t="s">
        <v>536</v>
      </c>
      <c r="M979" t="s">
        <v>537</v>
      </c>
      <c r="N979" t="s">
        <v>538</v>
      </c>
      <c r="R979" t="s">
        <v>1971</v>
      </c>
      <c r="S979" t="s">
        <v>550</v>
      </c>
      <c r="T979" t="s">
        <v>45</v>
      </c>
      <c r="U979" t="s">
        <v>90</v>
      </c>
      <c r="V979" t="s">
        <v>552</v>
      </c>
      <c r="W979" t="s">
        <v>553</v>
      </c>
    </row>
    <row r="980" spans="1:23" ht="15" customHeight="1" x14ac:dyDescent="0.3">
      <c r="A980" t="s">
        <v>8</v>
      </c>
      <c r="B980">
        <v>359</v>
      </c>
      <c r="C980" t="s">
        <v>530</v>
      </c>
      <c r="D980" t="s">
        <v>531</v>
      </c>
      <c r="E980" t="s">
        <v>532</v>
      </c>
      <c r="F980" t="s">
        <v>533</v>
      </c>
      <c r="G980" t="s">
        <v>440</v>
      </c>
      <c r="H980" t="s">
        <v>49</v>
      </c>
      <c r="I980" t="s">
        <v>531</v>
      </c>
      <c r="J980" t="s">
        <v>550</v>
      </c>
      <c r="K980" s="21" t="s">
        <v>551</v>
      </c>
      <c r="L980" s="21" t="s">
        <v>536</v>
      </c>
      <c r="M980" t="s">
        <v>537</v>
      </c>
      <c r="N980" t="s">
        <v>538</v>
      </c>
      <c r="R980" t="s">
        <v>1972</v>
      </c>
      <c r="S980" t="s">
        <v>550</v>
      </c>
      <c r="T980" t="s">
        <v>45</v>
      </c>
      <c r="U980" t="s">
        <v>90</v>
      </c>
      <c r="V980" t="s">
        <v>552</v>
      </c>
      <c r="W980" t="s">
        <v>553</v>
      </c>
    </row>
    <row r="981" spans="1:23" ht="15" customHeight="1" x14ac:dyDescent="0.3">
      <c r="A981" t="s">
        <v>8</v>
      </c>
      <c r="B981">
        <v>359</v>
      </c>
      <c r="C981" t="s">
        <v>530</v>
      </c>
      <c r="D981" t="s">
        <v>531</v>
      </c>
      <c r="E981" t="s">
        <v>532</v>
      </c>
      <c r="F981" t="s">
        <v>533</v>
      </c>
      <c r="G981" t="s">
        <v>440</v>
      </c>
      <c r="H981" t="s">
        <v>87</v>
      </c>
      <c r="I981" t="s">
        <v>531</v>
      </c>
      <c r="J981" t="s">
        <v>1976</v>
      </c>
      <c r="K981" s="21" t="s">
        <v>1977</v>
      </c>
      <c r="L981" s="21" t="s">
        <v>536</v>
      </c>
      <c r="M981" t="s">
        <v>537</v>
      </c>
      <c r="N981" t="s">
        <v>538</v>
      </c>
      <c r="R981" t="s">
        <v>540</v>
      </c>
      <c r="S981" t="s">
        <v>1976</v>
      </c>
      <c r="T981" t="s">
        <v>1544</v>
      </c>
      <c r="U981" t="s">
        <v>1691</v>
      </c>
      <c r="V981" t="s">
        <v>552</v>
      </c>
      <c r="W981" t="s">
        <v>1978</v>
      </c>
    </row>
    <row r="982" spans="1:23" ht="15" customHeight="1" x14ac:dyDescent="0.3">
      <c r="A982" t="s">
        <v>8</v>
      </c>
      <c r="B982">
        <v>359</v>
      </c>
      <c r="C982" t="s">
        <v>530</v>
      </c>
      <c r="D982" t="s">
        <v>531</v>
      </c>
      <c r="E982" t="s">
        <v>532</v>
      </c>
      <c r="F982" t="s">
        <v>533</v>
      </c>
      <c r="G982" t="s">
        <v>440</v>
      </c>
      <c r="H982" t="s">
        <v>87</v>
      </c>
      <c r="I982" t="s">
        <v>531</v>
      </c>
      <c r="J982" t="s">
        <v>1976</v>
      </c>
      <c r="K982" s="21" t="s">
        <v>1977</v>
      </c>
      <c r="L982" s="21" t="s">
        <v>536</v>
      </c>
      <c r="M982" t="s">
        <v>537</v>
      </c>
      <c r="N982" t="s">
        <v>538</v>
      </c>
      <c r="R982" t="s">
        <v>543</v>
      </c>
      <c r="S982" t="s">
        <v>1976</v>
      </c>
      <c r="T982" t="s">
        <v>1544</v>
      </c>
      <c r="U982" t="s">
        <v>1691</v>
      </c>
      <c r="V982" t="s">
        <v>552</v>
      </c>
      <c r="W982" t="s">
        <v>1978</v>
      </c>
    </row>
    <row r="983" spans="1:23" ht="15" customHeight="1" x14ac:dyDescent="0.3">
      <c r="A983" t="s">
        <v>8</v>
      </c>
      <c r="B983">
        <v>359</v>
      </c>
      <c r="C983" t="s">
        <v>530</v>
      </c>
      <c r="D983" t="s">
        <v>531</v>
      </c>
      <c r="E983" t="s">
        <v>532</v>
      </c>
      <c r="F983" t="s">
        <v>533</v>
      </c>
      <c r="G983" t="s">
        <v>440</v>
      </c>
      <c r="H983" t="s">
        <v>87</v>
      </c>
      <c r="I983" t="s">
        <v>531</v>
      </c>
      <c r="J983" t="s">
        <v>1976</v>
      </c>
      <c r="K983" s="21" t="s">
        <v>1977</v>
      </c>
      <c r="L983" s="21" t="s">
        <v>536</v>
      </c>
      <c r="M983" t="s">
        <v>537</v>
      </c>
      <c r="N983" t="s">
        <v>538</v>
      </c>
      <c r="R983" t="s">
        <v>544</v>
      </c>
      <c r="S983" t="s">
        <v>1976</v>
      </c>
      <c r="T983" t="s">
        <v>1544</v>
      </c>
      <c r="U983" t="s">
        <v>1691</v>
      </c>
      <c r="V983" t="s">
        <v>552</v>
      </c>
      <c r="W983" t="s">
        <v>1978</v>
      </c>
    </row>
    <row r="984" spans="1:23" ht="15" customHeight="1" x14ac:dyDescent="0.3">
      <c r="A984" t="s">
        <v>8</v>
      </c>
      <c r="B984">
        <v>359</v>
      </c>
      <c r="C984" t="s">
        <v>530</v>
      </c>
      <c r="D984" t="s">
        <v>531</v>
      </c>
      <c r="E984" t="s">
        <v>532</v>
      </c>
      <c r="F984" t="s">
        <v>533</v>
      </c>
      <c r="G984" t="s">
        <v>440</v>
      </c>
      <c r="H984" t="s">
        <v>87</v>
      </c>
      <c r="I984" t="s">
        <v>531</v>
      </c>
      <c r="J984" t="s">
        <v>1976</v>
      </c>
      <c r="K984" s="21" t="s">
        <v>1977</v>
      </c>
      <c r="L984" s="21" t="s">
        <v>536</v>
      </c>
      <c r="M984" t="s">
        <v>537</v>
      </c>
      <c r="N984" t="s">
        <v>538</v>
      </c>
      <c r="R984" t="s">
        <v>1971</v>
      </c>
      <c r="S984" t="s">
        <v>1976</v>
      </c>
      <c r="T984" t="s">
        <v>1544</v>
      </c>
      <c r="U984" t="s">
        <v>1691</v>
      </c>
      <c r="V984" t="s">
        <v>552</v>
      </c>
      <c r="W984" t="s">
        <v>1978</v>
      </c>
    </row>
    <row r="985" spans="1:23" ht="15" customHeight="1" x14ac:dyDescent="0.3">
      <c r="A985" t="s">
        <v>8</v>
      </c>
      <c r="B985">
        <v>359</v>
      </c>
      <c r="C985" t="s">
        <v>530</v>
      </c>
      <c r="D985" t="s">
        <v>531</v>
      </c>
      <c r="E985" t="s">
        <v>532</v>
      </c>
      <c r="F985" t="s">
        <v>533</v>
      </c>
      <c r="G985" t="s">
        <v>440</v>
      </c>
      <c r="H985" t="s">
        <v>87</v>
      </c>
      <c r="I985" t="s">
        <v>531</v>
      </c>
      <c r="J985" t="s">
        <v>1976</v>
      </c>
      <c r="K985" s="21" t="s">
        <v>1977</v>
      </c>
      <c r="L985" s="21" t="s">
        <v>536</v>
      </c>
      <c r="M985" t="s">
        <v>537</v>
      </c>
      <c r="N985" t="s">
        <v>538</v>
      </c>
      <c r="R985" t="s">
        <v>1972</v>
      </c>
      <c r="S985" t="s">
        <v>1976</v>
      </c>
      <c r="T985" t="s">
        <v>1544</v>
      </c>
      <c r="U985" t="s">
        <v>1691</v>
      </c>
      <c r="V985" t="s">
        <v>552</v>
      </c>
      <c r="W985" t="s">
        <v>1978</v>
      </c>
    </row>
    <row r="986" spans="1:23" ht="15" customHeight="1" x14ac:dyDescent="0.3">
      <c r="A986" t="s">
        <v>8</v>
      </c>
      <c r="B986">
        <v>359</v>
      </c>
      <c r="C986" t="s">
        <v>530</v>
      </c>
      <c r="D986" t="s">
        <v>531</v>
      </c>
      <c r="E986" t="s">
        <v>532</v>
      </c>
      <c r="F986" t="s">
        <v>533</v>
      </c>
      <c r="G986" t="s">
        <v>440</v>
      </c>
      <c r="H986" t="s">
        <v>421</v>
      </c>
      <c r="I986" t="s">
        <v>531</v>
      </c>
      <c r="J986" t="s">
        <v>1979</v>
      </c>
      <c r="K986" s="21" t="s">
        <v>1980</v>
      </c>
      <c r="L986" s="21" t="s">
        <v>536</v>
      </c>
      <c r="M986" t="s">
        <v>537</v>
      </c>
      <c r="N986" t="s">
        <v>538</v>
      </c>
      <c r="R986" t="s">
        <v>540</v>
      </c>
      <c r="S986" t="s">
        <v>1979</v>
      </c>
      <c r="T986" t="s">
        <v>1231</v>
      </c>
      <c r="U986" t="s">
        <v>1241</v>
      </c>
      <c r="V986" t="s">
        <v>552</v>
      </c>
      <c r="W986" t="s">
        <v>1981</v>
      </c>
    </row>
    <row r="987" spans="1:23" ht="15" customHeight="1" x14ac:dyDescent="0.3">
      <c r="A987" t="s">
        <v>8</v>
      </c>
      <c r="B987">
        <v>359</v>
      </c>
      <c r="C987" t="s">
        <v>530</v>
      </c>
      <c r="D987" t="s">
        <v>531</v>
      </c>
      <c r="E987" t="s">
        <v>532</v>
      </c>
      <c r="F987" t="s">
        <v>533</v>
      </c>
      <c r="G987" t="s">
        <v>440</v>
      </c>
      <c r="H987" t="s">
        <v>421</v>
      </c>
      <c r="I987" t="s">
        <v>531</v>
      </c>
      <c r="J987" t="s">
        <v>1979</v>
      </c>
      <c r="K987" s="21" t="s">
        <v>1980</v>
      </c>
      <c r="L987" s="21" t="s">
        <v>536</v>
      </c>
      <c r="M987" t="s">
        <v>537</v>
      </c>
      <c r="N987" t="s">
        <v>538</v>
      </c>
      <c r="R987" t="s">
        <v>543</v>
      </c>
      <c r="S987" t="s">
        <v>1979</v>
      </c>
      <c r="T987" t="s">
        <v>1231</v>
      </c>
      <c r="U987" t="s">
        <v>1241</v>
      </c>
      <c r="V987" t="s">
        <v>552</v>
      </c>
      <c r="W987" t="s">
        <v>1981</v>
      </c>
    </row>
    <row r="988" spans="1:23" ht="15" customHeight="1" x14ac:dyDescent="0.3">
      <c r="A988" t="s">
        <v>8</v>
      </c>
      <c r="B988">
        <v>359</v>
      </c>
      <c r="C988" t="s">
        <v>530</v>
      </c>
      <c r="D988" t="s">
        <v>531</v>
      </c>
      <c r="E988" t="s">
        <v>532</v>
      </c>
      <c r="F988" t="s">
        <v>533</v>
      </c>
      <c r="G988" t="s">
        <v>440</v>
      </c>
      <c r="H988" t="s">
        <v>421</v>
      </c>
      <c r="I988" t="s">
        <v>531</v>
      </c>
      <c r="J988" t="s">
        <v>1979</v>
      </c>
      <c r="K988" s="21" t="s">
        <v>1980</v>
      </c>
      <c r="L988" s="21" t="s">
        <v>536</v>
      </c>
      <c r="M988" t="s">
        <v>537</v>
      </c>
      <c r="N988" t="s">
        <v>538</v>
      </c>
      <c r="R988" t="s">
        <v>544</v>
      </c>
      <c r="S988" t="s">
        <v>1979</v>
      </c>
      <c r="T988" t="s">
        <v>1231</v>
      </c>
      <c r="U988" t="s">
        <v>1241</v>
      </c>
      <c r="V988" t="s">
        <v>552</v>
      </c>
      <c r="W988" t="s">
        <v>1981</v>
      </c>
    </row>
    <row r="989" spans="1:23" ht="15" customHeight="1" x14ac:dyDescent="0.3">
      <c r="A989" t="s">
        <v>8</v>
      </c>
      <c r="B989">
        <v>359</v>
      </c>
      <c r="C989" t="s">
        <v>530</v>
      </c>
      <c r="D989" t="s">
        <v>531</v>
      </c>
      <c r="E989" t="s">
        <v>532</v>
      </c>
      <c r="F989" t="s">
        <v>533</v>
      </c>
      <c r="G989" t="s">
        <v>440</v>
      </c>
      <c r="H989" t="s">
        <v>421</v>
      </c>
      <c r="I989" t="s">
        <v>531</v>
      </c>
      <c r="J989" t="s">
        <v>1979</v>
      </c>
      <c r="K989" s="21" t="s">
        <v>1980</v>
      </c>
      <c r="L989" s="21" t="s">
        <v>536</v>
      </c>
      <c r="M989" t="s">
        <v>537</v>
      </c>
      <c r="N989" t="s">
        <v>538</v>
      </c>
      <c r="R989" t="s">
        <v>1971</v>
      </c>
      <c r="S989" t="s">
        <v>1979</v>
      </c>
      <c r="T989" t="s">
        <v>1231</v>
      </c>
      <c r="U989" t="s">
        <v>1241</v>
      </c>
      <c r="V989" t="s">
        <v>552</v>
      </c>
      <c r="W989" t="s">
        <v>1981</v>
      </c>
    </row>
    <row r="990" spans="1:23" ht="15" customHeight="1" x14ac:dyDescent="0.3">
      <c r="A990" t="s">
        <v>8</v>
      </c>
      <c r="B990">
        <v>359</v>
      </c>
      <c r="C990" t="s">
        <v>530</v>
      </c>
      <c r="D990" t="s">
        <v>531</v>
      </c>
      <c r="E990" t="s">
        <v>532</v>
      </c>
      <c r="F990" t="s">
        <v>533</v>
      </c>
      <c r="G990" t="s">
        <v>440</v>
      </c>
      <c r="H990" t="s">
        <v>421</v>
      </c>
      <c r="I990" t="s">
        <v>531</v>
      </c>
      <c r="J990" t="s">
        <v>1979</v>
      </c>
      <c r="K990" s="21" t="s">
        <v>1980</v>
      </c>
      <c r="L990" s="21" t="s">
        <v>536</v>
      </c>
      <c r="M990" t="s">
        <v>537</v>
      </c>
      <c r="N990" t="s">
        <v>538</v>
      </c>
      <c r="R990" t="s">
        <v>1972</v>
      </c>
      <c r="S990" t="s">
        <v>1979</v>
      </c>
      <c r="T990" t="s">
        <v>1231</v>
      </c>
      <c r="U990" t="s">
        <v>1241</v>
      </c>
      <c r="V990" t="s">
        <v>552</v>
      </c>
      <c r="W990" t="s">
        <v>1981</v>
      </c>
    </row>
    <row r="991" spans="1:23" ht="15" customHeight="1" x14ac:dyDescent="0.3">
      <c r="A991" t="s">
        <v>8</v>
      </c>
      <c r="B991">
        <v>359</v>
      </c>
      <c r="C991" t="s">
        <v>530</v>
      </c>
      <c r="D991" t="s">
        <v>531</v>
      </c>
      <c r="E991" t="s">
        <v>532</v>
      </c>
      <c r="F991" t="s">
        <v>533</v>
      </c>
      <c r="G991" t="s">
        <v>440</v>
      </c>
      <c r="H991" t="s">
        <v>182</v>
      </c>
      <c r="I991" t="s">
        <v>531</v>
      </c>
      <c r="J991" t="s">
        <v>1982</v>
      </c>
      <c r="K991" s="21" t="s">
        <v>1983</v>
      </c>
      <c r="L991" s="21" t="s">
        <v>536</v>
      </c>
      <c r="M991" t="s">
        <v>537</v>
      </c>
      <c r="N991" t="s">
        <v>538</v>
      </c>
      <c r="R991" t="s">
        <v>540</v>
      </c>
      <c r="S991" t="s">
        <v>1982</v>
      </c>
      <c r="T991" t="s">
        <v>1231</v>
      </c>
      <c r="U991" t="s">
        <v>1241</v>
      </c>
      <c r="V991" t="s">
        <v>1984</v>
      </c>
      <c r="W991" t="s">
        <v>1985</v>
      </c>
    </row>
    <row r="992" spans="1:23" ht="15" customHeight="1" x14ac:dyDescent="0.3">
      <c r="A992" t="s">
        <v>8</v>
      </c>
      <c r="B992">
        <v>359</v>
      </c>
      <c r="C992" t="s">
        <v>530</v>
      </c>
      <c r="D992" t="s">
        <v>531</v>
      </c>
      <c r="E992" t="s">
        <v>532</v>
      </c>
      <c r="F992" t="s">
        <v>533</v>
      </c>
      <c r="G992" t="s">
        <v>440</v>
      </c>
      <c r="H992" t="s">
        <v>182</v>
      </c>
      <c r="I992" t="s">
        <v>531</v>
      </c>
      <c r="J992" t="s">
        <v>1982</v>
      </c>
      <c r="K992" s="21" t="s">
        <v>1983</v>
      </c>
      <c r="L992" s="21" t="s">
        <v>536</v>
      </c>
      <c r="M992" t="s">
        <v>537</v>
      </c>
      <c r="N992" t="s">
        <v>538</v>
      </c>
      <c r="R992" t="s">
        <v>543</v>
      </c>
      <c r="S992" t="s">
        <v>1982</v>
      </c>
      <c r="T992" t="s">
        <v>1231</v>
      </c>
      <c r="U992" t="s">
        <v>1241</v>
      </c>
      <c r="V992" t="s">
        <v>1984</v>
      </c>
      <c r="W992" t="s">
        <v>1985</v>
      </c>
    </row>
    <row r="993" spans="1:23" ht="15" customHeight="1" x14ac:dyDescent="0.3">
      <c r="A993" t="s">
        <v>8</v>
      </c>
      <c r="B993">
        <v>359</v>
      </c>
      <c r="C993" t="s">
        <v>530</v>
      </c>
      <c r="D993" t="s">
        <v>531</v>
      </c>
      <c r="E993" t="s">
        <v>532</v>
      </c>
      <c r="F993" t="s">
        <v>533</v>
      </c>
      <c r="G993" t="s">
        <v>440</v>
      </c>
      <c r="H993" t="s">
        <v>182</v>
      </c>
      <c r="I993" t="s">
        <v>531</v>
      </c>
      <c r="J993" t="s">
        <v>1982</v>
      </c>
      <c r="K993" s="21" t="s">
        <v>1983</v>
      </c>
      <c r="L993" s="21" t="s">
        <v>536</v>
      </c>
      <c r="M993" t="s">
        <v>537</v>
      </c>
      <c r="N993" t="s">
        <v>538</v>
      </c>
      <c r="R993" t="s">
        <v>544</v>
      </c>
      <c r="S993" t="s">
        <v>1982</v>
      </c>
      <c r="T993" t="s">
        <v>1231</v>
      </c>
      <c r="U993" t="s">
        <v>1241</v>
      </c>
      <c r="V993" t="s">
        <v>1984</v>
      </c>
      <c r="W993" t="s">
        <v>1985</v>
      </c>
    </row>
    <row r="994" spans="1:23" ht="15" customHeight="1" x14ac:dyDescent="0.3">
      <c r="A994" t="s">
        <v>8</v>
      </c>
      <c r="B994">
        <v>359</v>
      </c>
      <c r="C994" t="s">
        <v>530</v>
      </c>
      <c r="D994" t="s">
        <v>531</v>
      </c>
      <c r="E994" t="s">
        <v>532</v>
      </c>
      <c r="F994" t="s">
        <v>533</v>
      </c>
      <c r="G994" t="s">
        <v>440</v>
      </c>
      <c r="H994" t="s">
        <v>182</v>
      </c>
      <c r="I994" t="s">
        <v>531</v>
      </c>
      <c r="J994" t="s">
        <v>1982</v>
      </c>
      <c r="K994" s="21" t="s">
        <v>1983</v>
      </c>
      <c r="L994" s="21" t="s">
        <v>536</v>
      </c>
      <c r="M994" t="s">
        <v>537</v>
      </c>
      <c r="N994" t="s">
        <v>538</v>
      </c>
      <c r="R994" t="s">
        <v>1971</v>
      </c>
      <c r="S994" t="s">
        <v>1982</v>
      </c>
      <c r="T994" t="s">
        <v>1231</v>
      </c>
      <c r="U994" t="s">
        <v>1241</v>
      </c>
      <c r="V994" t="s">
        <v>1984</v>
      </c>
      <c r="W994" t="s">
        <v>1985</v>
      </c>
    </row>
    <row r="995" spans="1:23" ht="15" customHeight="1" x14ac:dyDescent="0.3">
      <c r="A995" t="s">
        <v>8</v>
      </c>
      <c r="B995">
        <v>359</v>
      </c>
      <c r="C995" t="s">
        <v>530</v>
      </c>
      <c r="D995" t="s">
        <v>531</v>
      </c>
      <c r="E995" t="s">
        <v>532</v>
      </c>
      <c r="F995" t="s">
        <v>533</v>
      </c>
      <c r="G995" t="s">
        <v>440</v>
      </c>
      <c r="H995" t="s">
        <v>182</v>
      </c>
      <c r="I995" t="s">
        <v>531</v>
      </c>
      <c r="J995" t="s">
        <v>1982</v>
      </c>
      <c r="K995" s="21" t="s">
        <v>1983</v>
      </c>
      <c r="L995" s="21" t="s">
        <v>536</v>
      </c>
      <c r="M995" t="s">
        <v>537</v>
      </c>
      <c r="N995" t="s">
        <v>538</v>
      </c>
      <c r="R995" t="s">
        <v>1972</v>
      </c>
      <c r="S995" t="s">
        <v>1982</v>
      </c>
      <c r="T995" t="s">
        <v>1231</v>
      </c>
      <c r="U995" t="s">
        <v>1241</v>
      </c>
      <c r="V995" t="s">
        <v>1984</v>
      </c>
      <c r="W995" t="s">
        <v>1985</v>
      </c>
    </row>
    <row r="996" spans="1:23" ht="15" customHeight="1" x14ac:dyDescent="0.3">
      <c r="A996" t="s">
        <v>8</v>
      </c>
      <c r="B996">
        <v>144</v>
      </c>
      <c r="C996" t="s">
        <v>554</v>
      </c>
      <c r="D996" t="s">
        <v>1986</v>
      </c>
      <c r="E996" t="s">
        <v>681</v>
      </c>
      <c r="F996" t="s">
        <v>1987</v>
      </c>
      <c r="G996" t="s">
        <v>36</v>
      </c>
      <c r="H996" t="s">
        <v>1986</v>
      </c>
      <c r="I996" t="s">
        <v>1986</v>
      </c>
      <c r="J996" t="s">
        <v>1988</v>
      </c>
      <c r="K996" t="s">
        <v>1989</v>
      </c>
      <c r="L996" t="s">
        <v>1989</v>
      </c>
      <c r="M996" t="s">
        <v>1990</v>
      </c>
      <c r="N996" t="s">
        <v>1991</v>
      </c>
      <c r="R996" t="s">
        <v>1992</v>
      </c>
      <c r="S996" t="s">
        <v>1988</v>
      </c>
      <c r="T996" t="s">
        <v>1249</v>
      </c>
      <c r="U996" t="s">
        <v>1795</v>
      </c>
      <c r="V996" t="s">
        <v>1993</v>
      </c>
      <c r="W996" t="s">
        <v>1994</v>
      </c>
    </row>
    <row r="997" spans="1:23" ht="15" customHeight="1" x14ac:dyDescent="0.3">
      <c r="A997" t="s">
        <v>8</v>
      </c>
      <c r="B997">
        <v>152</v>
      </c>
      <c r="C997" t="s">
        <v>554</v>
      </c>
      <c r="D997" t="s">
        <v>1995</v>
      </c>
      <c r="E997" t="s">
        <v>370</v>
      </c>
      <c r="F997" t="s">
        <v>1996</v>
      </c>
      <c r="G997" t="s">
        <v>36</v>
      </c>
      <c r="H997" t="s">
        <v>37</v>
      </c>
      <c r="I997" t="s">
        <v>1995</v>
      </c>
      <c r="J997" t="s">
        <v>1997</v>
      </c>
      <c r="K997" t="s">
        <v>1998</v>
      </c>
      <c r="L997" s="21" t="s">
        <v>1999</v>
      </c>
      <c r="M997" t="s">
        <v>375</v>
      </c>
      <c r="N997" t="s">
        <v>159</v>
      </c>
      <c r="R997" t="s">
        <v>2000</v>
      </c>
      <c r="S997" t="s">
        <v>1997</v>
      </c>
      <c r="T997" t="s">
        <v>1249</v>
      </c>
      <c r="U997" t="s">
        <v>1470</v>
      </c>
      <c r="V997" t="s">
        <v>2001</v>
      </c>
      <c r="W997" t="s">
        <v>2002</v>
      </c>
    </row>
    <row r="998" spans="1:23" ht="15" customHeight="1" x14ac:dyDescent="0.3">
      <c r="A998" t="s">
        <v>8</v>
      </c>
      <c r="B998">
        <v>152</v>
      </c>
      <c r="C998" t="s">
        <v>554</v>
      </c>
      <c r="D998" t="s">
        <v>1995</v>
      </c>
      <c r="E998" t="s">
        <v>370</v>
      </c>
      <c r="F998" t="s">
        <v>1996</v>
      </c>
      <c r="G998" t="s">
        <v>36</v>
      </c>
      <c r="H998" t="s">
        <v>52</v>
      </c>
      <c r="I998" t="s">
        <v>1995</v>
      </c>
      <c r="J998" t="s">
        <v>2003</v>
      </c>
      <c r="K998" s="21" t="s">
        <v>2004</v>
      </c>
      <c r="L998" s="21" t="s">
        <v>1999</v>
      </c>
      <c r="M998" t="s">
        <v>375</v>
      </c>
      <c r="N998" t="s">
        <v>159</v>
      </c>
      <c r="R998" t="s">
        <v>2000</v>
      </c>
      <c r="S998" t="s">
        <v>2003</v>
      </c>
      <c r="T998" t="s">
        <v>1249</v>
      </c>
      <c r="U998" t="s">
        <v>2005</v>
      </c>
      <c r="V998" t="s">
        <v>2001</v>
      </c>
      <c r="W998" t="s">
        <v>2002</v>
      </c>
    </row>
    <row r="999" spans="1:23" ht="15" customHeight="1" x14ac:dyDescent="0.3">
      <c r="A999" t="s">
        <v>8</v>
      </c>
      <c r="B999">
        <v>152</v>
      </c>
      <c r="C999" t="s">
        <v>554</v>
      </c>
      <c r="D999" t="s">
        <v>1995</v>
      </c>
      <c r="E999" t="s">
        <v>370</v>
      </c>
      <c r="F999" t="s">
        <v>1996</v>
      </c>
      <c r="G999" t="s">
        <v>36</v>
      </c>
      <c r="H999" t="s">
        <v>57</v>
      </c>
      <c r="I999" t="s">
        <v>1995</v>
      </c>
      <c r="J999" t="s">
        <v>2006</v>
      </c>
      <c r="K999" s="21" t="s">
        <v>2007</v>
      </c>
      <c r="L999" s="21" t="s">
        <v>1999</v>
      </c>
      <c r="M999" t="s">
        <v>375</v>
      </c>
      <c r="N999" t="s">
        <v>159</v>
      </c>
      <c r="R999" t="s">
        <v>2000</v>
      </c>
      <c r="S999" t="s">
        <v>2006</v>
      </c>
      <c r="T999" t="s">
        <v>1249</v>
      </c>
      <c r="U999" t="s">
        <v>1621</v>
      </c>
      <c r="V999" t="s">
        <v>2001</v>
      </c>
      <c r="W999" t="s">
        <v>2002</v>
      </c>
    </row>
    <row r="1000" spans="1:23" ht="15" customHeight="1" x14ac:dyDescent="0.3">
      <c r="A1000" t="s">
        <v>8</v>
      </c>
      <c r="B1000">
        <v>152</v>
      </c>
      <c r="C1000" t="s">
        <v>554</v>
      </c>
      <c r="D1000" t="s">
        <v>1995</v>
      </c>
      <c r="E1000" t="s">
        <v>370</v>
      </c>
      <c r="F1000" t="s">
        <v>1996</v>
      </c>
      <c r="G1000" t="s">
        <v>36</v>
      </c>
      <c r="H1000" t="s">
        <v>49</v>
      </c>
      <c r="I1000" t="s">
        <v>1995</v>
      </c>
      <c r="J1000" t="s">
        <v>2008</v>
      </c>
      <c r="K1000" s="21" t="s">
        <v>2009</v>
      </c>
      <c r="L1000" s="21" t="s">
        <v>1999</v>
      </c>
      <c r="M1000" t="s">
        <v>375</v>
      </c>
      <c r="N1000" t="s">
        <v>159</v>
      </c>
      <c r="R1000" t="s">
        <v>2000</v>
      </c>
      <c r="S1000" t="s">
        <v>2008</v>
      </c>
      <c r="T1000" t="s">
        <v>1249</v>
      </c>
      <c r="U1000" t="s">
        <v>1624</v>
      </c>
      <c r="V1000" t="s">
        <v>2001</v>
      </c>
      <c r="W1000" t="s">
        <v>2002</v>
      </c>
    </row>
    <row r="1001" spans="1:23" ht="15" customHeight="1" x14ac:dyDescent="0.3">
      <c r="A1001" t="s">
        <v>8</v>
      </c>
      <c r="B1001">
        <v>153</v>
      </c>
      <c r="C1001" t="s">
        <v>554</v>
      </c>
      <c r="D1001" t="s">
        <v>2010</v>
      </c>
      <c r="E1001" t="s">
        <v>34</v>
      </c>
      <c r="F1001" t="s">
        <v>2011</v>
      </c>
      <c r="G1001" t="s">
        <v>36</v>
      </c>
      <c r="H1001" t="s">
        <v>2010</v>
      </c>
      <c r="I1001" t="s">
        <v>2010</v>
      </c>
      <c r="J1001" t="s">
        <v>1988</v>
      </c>
      <c r="K1001" t="s">
        <v>1989</v>
      </c>
      <c r="L1001" t="s">
        <v>1989</v>
      </c>
      <c r="M1001" t="s">
        <v>2012</v>
      </c>
      <c r="N1001" t="s">
        <v>561</v>
      </c>
      <c r="R1001" t="s">
        <v>2013</v>
      </c>
      <c r="S1001" t="s">
        <v>1988</v>
      </c>
      <c r="T1001" t="s">
        <v>1249</v>
      </c>
      <c r="U1001" t="s">
        <v>1795</v>
      </c>
      <c r="V1001" t="s">
        <v>1993</v>
      </c>
      <c r="W1001" t="s">
        <v>1994</v>
      </c>
    </row>
    <row r="1002" spans="1:23" ht="15" customHeight="1" x14ac:dyDescent="0.3">
      <c r="A1002" t="s">
        <v>8</v>
      </c>
      <c r="B1002">
        <v>154</v>
      </c>
      <c r="C1002" t="s">
        <v>554</v>
      </c>
      <c r="D1002" t="s">
        <v>2014</v>
      </c>
      <c r="E1002" t="s">
        <v>34</v>
      </c>
      <c r="F1002" t="s">
        <v>2015</v>
      </c>
      <c r="G1002" t="s">
        <v>36</v>
      </c>
      <c r="H1002" t="s">
        <v>37</v>
      </c>
      <c r="I1002" t="s">
        <v>2014</v>
      </c>
      <c r="J1002" t="s">
        <v>557</v>
      </c>
      <c r="K1002" t="s">
        <v>558</v>
      </c>
      <c r="L1002" s="21" t="s">
        <v>2016</v>
      </c>
      <c r="M1002" t="s">
        <v>2017</v>
      </c>
      <c r="N1002" t="s">
        <v>42</v>
      </c>
      <c r="R1002" t="s">
        <v>2018</v>
      </c>
      <c r="S1002" t="s">
        <v>557</v>
      </c>
      <c r="T1002" t="s">
        <v>45</v>
      </c>
      <c r="U1002" t="s">
        <v>46</v>
      </c>
      <c r="V1002" t="s">
        <v>564</v>
      </c>
      <c r="W1002" t="s">
        <v>565</v>
      </c>
    </row>
    <row r="1003" spans="1:23" ht="15" customHeight="1" x14ac:dyDescent="0.3">
      <c r="A1003" t="s">
        <v>8</v>
      </c>
      <c r="B1003">
        <v>154</v>
      </c>
      <c r="C1003" t="s">
        <v>554</v>
      </c>
      <c r="D1003" t="s">
        <v>2014</v>
      </c>
      <c r="E1003" t="s">
        <v>34</v>
      </c>
      <c r="F1003" t="s">
        <v>2015</v>
      </c>
      <c r="G1003" t="s">
        <v>36</v>
      </c>
      <c r="H1003" t="s">
        <v>52</v>
      </c>
      <c r="I1003" t="s">
        <v>2014</v>
      </c>
      <c r="J1003" t="s">
        <v>2019</v>
      </c>
      <c r="K1003" s="21" t="s">
        <v>2020</v>
      </c>
      <c r="L1003" s="21" t="s">
        <v>2016</v>
      </c>
      <c r="M1003" t="s">
        <v>2017</v>
      </c>
      <c r="N1003" t="s">
        <v>42</v>
      </c>
      <c r="R1003" t="s">
        <v>2018</v>
      </c>
      <c r="S1003" t="s">
        <v>2019</v>
      </c>
      <c r="T1003" t="s">
        <v>45</v>
      </c>
      <c r="U1003" t="s">
        <v>1428</v>
      </c>
      <c r="V1003" t="s">
        <v>2021</v>
      </c>
      <c r="W1003" t="s">
        <v>2022</v>
      </c>
    </row>
    <row r="1004" spans="1:23" ht="15" customHeight="1" x14ac:dyDescent="0.3">
      <c r="A1004" t="s">
        <v>8</v>
      </c>
      <c r="B1004">
        <v>154</v>
      </c>
      <c r="C1004" t="s">
        <v>554</v>
      </c>
      <c r="D1004" t="s">
        <v>2014</v>
      </c>
      <c r="E1004" t="s">
        <v>34</v>
      </c>
      <c r="F1004" t="s">
        <v>2015</v>
      </c>
      <c r="G1004" t="s">
        <v>36</v>
      </c>
      <c r="H1004" t="s">
        <v>57</v>
      </c>
      <c r="I1004" t="s">
        <v>2014</v>
      </c>
      <c r="J1004" t="s">
        <v>2023</v>
      </c>
      <c r="K1004" s="21" t="s">
        <v>2024</v>
      </c>
      <c r="L1004" s="21" t="s">
        <v>2016</v>
      </c>
      <c r="M1004" t="s">
        <v>2017</v>
      </c>
      <c r="N1004" t="s">
        <v>42</v>
      </c>
      <c r="R1004" t="s">
        <v>2018</v>
      </c>
      <c r="S1004" t="s">
        <v>2023</v>
      </c>
      <c r="T1004" t="s">
        <v>45</v>
      </c>
      <c r="U1004" t="s">
        <v>1416</v>
      </c>
      <c r="V1004" t="s">
        <v>2021</v>
      </c>
      <c r="W1004" t="s">
        <v>2025</v>
      </c>
    </row>
    <row r="1005" spans="1:23" ht="15" customHeight="1" x14ac:dyDescent="0.3">
      <c r="A1005" t="s">
        <v>8</v>
      </c>
      <c r="B1005">
        <v>154</v>
      </c>
      <c r="C1005" t="s">
        <v>554</v>
      </c>
      <c r="D1005" t="s">
        <v>2014</v>
      </c>
      <c r="E1005" t="s">
        <v>34</v>
      </c>
      <c r="F1005" t="s">
        <v>2015</v>
      </c>
      <c r="G1005" t="s">
        <v>36</v>
      </c>
      <c r="H1005" t="s">
        <v>49</v>
      </c>
      <c r="I1005" t="s">
        <v>2014</v>
      </c>
      <c r="J1005" t="s">
        <v>2026</v>
      </c>
      <c r="K1005" s="21" t="s">
        <v>2027</v>
      </c>
      <c r="L1005" s="21" t="s">
        <v>2016</v>
      </c>
      <c r="M1005" t="s">
        <v>2017</v>
      </c>
      <c r="N1005" t="s">
        <v>42</v>
      </c>
      <c r="R1005" t="s">
        <v>2018</v>
      </c>
      <c r="S1005" t="s">
        <v>2026</v>
      </c>
      <c r="T1005" t="s">
        <v>1544</v>
      </c>
      <c r="U1005" t="s">
        <v>2028</v>
      </c>
      <c r="V1005" t="s">
        <v>564</v>
      </c>
      <c r="W1005" t="s">
        <v>2029</v>
      </c>
    </row>
    <row r="1006" spans="1:23" ht="15" customHeight="1" x14ac:dyDescent="0.3">
      <c r="A1006" t="s">
        <v>8</v>
      </c>
      <c r="B1006">
        <v>154</v>
      </c>
      <c r="C1006" t="s">
        <v>554</v>
      </c>
      <c r="D1006" t="s">
        <v>2014</v>
      </c>
      <c r="E1006" t="s">
        <v>34</v>
      </c>
      <c r="F1006" t="s">
        <v>2015</v>
      </c>
      <c r="G1006" t="s">
        <v>36</v>
      </c>
      <c r="H1006" t="s">
        <v>87</v>
      </c>
      <c r="I1006" t="s">
        <v>2014</v>
      </c>
      <c r="J1006" t="s">
        <v>2030</v>
      </c>
      <c r="K1006" s="21" t="s">
        <v>2031</v>
      </c>
      <c r="L1006" s="21" t="s">
        <v>2016</v>
      </c>
      <c r="M1006" t="s">
        <v>2017</v>
      </c>
      <c r="N1006" t="s">
        <v>42</v>
      </c>
      <c r="R1006" t="s">
        <v>2018</v>
      </c>
      <c r="S1006" t="s">
        <v>2030</v>
      </c>
      <c r="T1006" t="s">
        <v>1544</v>
      </c>
      <c r="U1006" t="s">
        <v>2032</v>
      </c>
      <c r="V1006" t="s">
        <v>564</v>
      </c>
      <c r="W1006" t="s">
        <v>2033</v>
      </c>
    </row>
    <row r="1007" spans="1:23" ht="15" customHeight="1" x14ac:dyDescent="0.3">
      <c r="A1007" t="s">
        <v>8</v>
      </c>
      <c r="B1007">
        <v>154</v>
      </c>
      <c r="C1007" t="s">
        <v>554</v>
      </c>
      <c r="D1007" t="s">
        <v>2014</v>
      </c>
      <c r="E1007" t="s">
        <v>34</v>
      </c>
      <c r="F1007" t="s">
        <v>2015</v>
      </c>
      <c r="G1007" t="s">
        <v>36</v>
      </c>
      <c r="H1007" t="s">
        <v>421</v>
      </c>
      <c r="I1007" t="s">
        <v>2014</v>
      </c>
      <c r="J1007" t="s">
        <v>2034</v>
      </c>
      <c r="K1007" s="21" t="s">
        <v>2035</v>
      </c>
      <c r="L1007" s="21" t="s">
        <v>2016</v>
      </c>
      <c r="M1007" t="s">
        <v>2017</v>
      </c>
      <c r="N1007" t="s">
        <v>42</v>
      </c>
      <c r="R1007" t="s">
        <v>2018</v>
      </c>
      <c r="S1007" t="s">
        <v>2034</v>
      </c>
      <c r="T1007" t="s">
        <v>1290</v>
      </c>
      <c r="U1007" t="s">
        <v>2036</v>
      </c>
      <c r="V1007" t="s">
        <v>2037</v>
      </c>
      <c r="W1007" t="s">
        <v>2038</v>
      </c>
    </row>
    <row r="1008" spans="1:23" ht="15" customHeight="1" x14ac:dyDescent="0.3">
      <c r="A1008" t="s">
        <v>8</v>
      </c>
      <c r="B1008">
        <v>154</v>
      </c>
      <c r="C1008" t="s">
        <v>554</v>
      </c>
      <c r="D1008" t="s">
        <v>2014</v>
      </c>
      <c r="E1008" t="s">
        <v>34</v>
      </c>
      <c r="F1008" t="s">
        <v>2015</v>
      </c>
      <c r="G1008" t="s">
        <v>36</v>
      </c>
      <c r="H1008" t="s">
        <v>182</v>
      </c>
      <c r="I1008" t="s">
        <v>2014</v>
      </c>
      <c r="J1008" t="s">
        <v>2039</v>
      </c>
      <c r="K1008" s="21" t="s">
        <v>2040</v>
      </c>
      <c r="L1008" s="21" t="s">
        <v>2016</v>
      </c>
      <c r="M1008" t="s">
        <v>2017</v>
      </c>
      <c r="N1008" t="s">
        <v>42</v>
      </c>
      <c r="R1008" t="s">
        <v>2018</v>
      </c>
      <c r="S1008" t="s">
        <v>2039</v>
      </c>
      <c r="T1008" t="s">
        <v>1290</v>
      </c>
      <c r="U1008" t="s">
        <v>1296</v>
      </c>
      <c r="V1008" t="s">
        <v>2041</v>
      </c>
      <c r="W1008" t="s">
        <v>2038</v>
      </c>
    </row>
    <row r="1009" spans="1:23" ht="15" customHeight="1" x14ac:dyDescent="0.3">
      <c r="A1009" t="s">
        <v>8</v>
      </c>
      <c r="B1009">
        <v>154</v>
      </c>
      <c r="C1009" t="s">
        <v>554</v>
      </c>
      <c r="D1009" t="s">
        <v>2014</v>
      </c>
      <c r="E1009" t="s">
        <v>34</v>
      </c>
      <c r="F1009" t="s">
        <v>2015</v>
      </c>
      <c r="G1009" t="s">
        <v>36</v>
      </c>
      <c r="H1009" t="s">
        <v>1242</v>
      </c>
      <c r="I1009" t="s">
        <v>2014</v>
      </c>
      <c r="J1009" t="s">
        <v>2042</v>
      </c>
      <c r="K1009" s="21" t="s">
        <v>2043</v>
      </c>
      <c r="L1009" s="21" t="s">
        <v>2016</v>
      </c>
      <c r="M1009" t="s">
        <v>2017</v>
      </c>
      <c r="N1009" t="s">
        <v>42</v>
      </c>
      <c r="R1009" t="s">
        <v>2018</v>
      </c>
      <c r="S1009" t="s">
        <v>2042</v>
      </c>
      <c r="T1009" t="s">
        <v>1544</v>
      </c>
      <c r="U1009" t="s">
        <v>2044</v>
      </c>
      <c r="V1009" t="s">
        <v>2045</v>
      </c>
      <c r="W1009" t="s">
        <v>2046</v>
      </c>
    </row>
    <row r="1010" spans="1:23" ht="15" customHeight="1" x14ac:dyDescent="0.3">
      <c r="A1010" t="s">
        <v>8</v>
      </c>
      <c r="B1010">
        <v>154</v>
      </c>
      <c r="C1010" t="s">
        <v>554</v>
      </c>
      <c r="D1010" t="s">
        <v>2014</v>
      </c>
      <c r="E1010" t="s">
        <v>34</v>
      </c>
      <c r="F1010" t="s">
        <v>2015</v>
      </c>
      <c r="G1010" t="s">
        <v>36</v>
      </c>
      <c r="H1010" t="s">
        <v>425</v>
      </c>
      <c r="I1010" t="s">
        <v>2014</v>
      </c>
      <c r="J1010" t="s">
        <v>2047</v>
      </c>
      <c r="K1010" s="21" t="s">
        <v>2048</v>
      </c>
      <c r="L1010" s="21" t="s">
        <v>2016</v>
      </c>
      <c r="M1010" t="s">
        <v>2017</v>
      </c>
      <c r="N1010" t="s">
        <v>42</v>
      </c>
      <c r="R1010" t="s">
        <v>2018</v>
      </c>
      <c r="S1010" t="s">
        <v>2047</v>
      </c>
      <c r="T1010" t="s">
        <v>1544</v>
      </c>
      <c r="U1010" t="s">
        <v>1511</v>
      </c>
      <c r="V1010" t="s">
        <v>2045</v>
      </c>
      <c r="W1010" t="s">
        <v>2049</v>
      </c>
    </row>
    <row r="1011" spans="1:23" ht="15" customHeight="1" x14ac:dyDescent="0.3">
      <c r="A1011" t="s">
        <v>8</v>
      </c>
      <c r="B1011">
        <v>154</v>
      </c>
      <c r="C1011" t="s">
        <v>554</v>
      </c>
      <c r="D1011" t="s">
        <v>2014</v>
      </c>
      <c r="E1011" t="s">
        <v>34</v>
      </c>
      <c r="F1011" t="s">
        <v>2015</v>
      </c>
      <c r="G1011" t="s">
        <v>36</v>
      </c>
      <c r="H1011" t="s">
        <v>996</v>
      </c>
      <c r="I1011" t="s">
        <v>2014</v>
      </c>
      <c r="J1011" t="s">
        <v>2050</v>
      </c>
      <c r="K1011" s="21" t="s">
        <v>2051</v>
      </c>
      <c r="L1011" s="21" t="s">
        <v>2016</v>
      </c>
      <c r="M1011" t="s">
        <v>2017</v>
      </c>
      <c r="N1011" t="s">
        <v>42</v>
      </c>
      <c r="R1011" t="s">
        <v>2018</v>
      </c>
      <c r="S1011" t="s">
        <v>2050</v>
      </c>
      <c r="T1011" t="s">
        <v>1544</v>
      </c>
      <c r="U1011" t="s">
        <v>1699</v>
      </c>
      <c r="V1011" t="s">
        <v>2045</v>
      </c>
      <c r="W1011" t="s">
        <v>2052</v>
      </c>
    </row>
    <row r="1012" spans="1:23" ht="15" customHeight="1" x14ac:dyDescent="0.3">
      <c r="A1012" t="s">
        <v>8</v>
      </c>
      <c r="B1012">
        <v>154</v>
      </c>
      <c r="C1012" t="s">
        <v>554</v>
      </c>
      <c r="D1012" t="s">
        <v>2014</v>
      </c>
      <c r="E1012" t="s">
        <v>34</v>
      </c>
      <c r="F1012" t="s">
        <v>2015</v>
      </c>
      <c r="G1012" t="s">
        <v>36</v>
      </c>
      <c r="H1012" t="s">
        <v>1000</v>
      </c>
      <c r="I1012" t="s">
        <v>2014</v>
      </c>
      <c r="J1012" t="s">
        <v>2053</v>
      </c>
      <c r="K1012" s="21" t="s">
        <v>2054</v>
      </c>
      <c r="L1012" s="21" t="s">
        <v>2016</v>
      </c>
      <c r="M1012" t="s">
        <v>2017</v>
      </c>
      <c r="N1012" t="s">
        <v>42</v>
      </c>
      <c r="R1012" t="s">
        <v>2018</v>
      </c>
      <c r="S1012" t="s">
        <v>2053</v>
      </c>
      <c r="T1012" t="s">
        <v>1544</v>
      </c>
      <c r="U1012" t="s">
        <v>2055</v>
      </c>
      <c r="V1012" t="s">
        <v>2021</v>
      </c>
      <c r="W1012" t="s">
        <v>2056</v>
      </c>
    </row>
    <row r="1013" spans="1:23" ht="15" customHeight="1" x14ac:dyDescent="0.3">
      <c r="A1013" t="s">
        <v>8</v>
      </c>
      <c r="B1013">
        <v>154</v>
      </c>
      <c r="C1013" t="s">
        <v>554</v>
      </c>
      <c r="D1013" t="s">
        <v>2014</v>
      </c>
      <c r="E1013" t="s">
        <v>34</v>
      </c>
      <c r="F1013" t="s">
        <v>2015</v>
      </c>
      <c r="G1013" t="s">
        <v>36</v>
      </c>
      <c r="H1013" t="s">
        <v>1272</v>
      </c>
      <c r="I1013" t="s">
        <v>2014</v>
      </c>
      <c r="J1013" t="s">
        <v>2057</v>
      </c>
      <c r="K1013" s="21" t="s">
        <v>2058</v>
      </c>
      <c r="L1013" s="21" t="s">
        <v>2016</v>
      </c>
      <c r="M1013" t="s">
        <v>2017</v>
      </c>
      <c r="N1013" t="s">
        <v>42</v>
      </c>
      <c r="R1013" t="s">
        <v>2018</v>
      </c>
      <c r="S1013" t="s">
        <v>2057</v>
      </c>
      <c r="T1013" t="s">
        <v>1544</v>
      </c>
      <c r="U1013" t="s">
        <v>2059</v>
      </c>
      <c r="V1013" t="s">
        <v>2021</v>
      </c>
      <c r="W1013" t="s">
        <v>2033</v>
      </c>
    </row>
    <row r="1014" spans="1:23" ht="15" customHeight="1" x14ac:dyDescent="0.3">
      <c r="A1014" t="s">
        <v>8</v>
      </c>
      <c r="B1014">
        <v>154</v>
      </c>
      <c r="C1014" t="s">
        <v>554</v>
      </c>
      <c r="D1014" t="s">
        <v>2014</v>
      </c>
      <c r="E1014" t="s">
        <v>34</v>
      </c>
      <c r="F1014" t="s">
        <v>2015</v>
      </c>
      <c r="G1014" t="s">
        <v>36</v>
      </c>
      <c r="H1014" t="s">
        <v>1276</v>
      </c>
      <c r="I1014" t="s">
        <v>2014</v>
      </c>
      <c r="J1014" t="s">
        <v>2060</v>
      </c>
      <c r="K1014" s="21" t="s">
        <v>2061</v>
      </c>
      <c r="L1014" s="21" t="s">
        <v>2016</v>
      </c>
      <c r="M1014" t="s">
        <v>2017</v>
      </c>
      <c r="N1014" t="s">
        <v>42</v>
      </c>
      <c r="R1014" t="s">
        <v>2018</v>
      </c>
      <c r="S1014" t="s">
        <v>2060</v>
      </c>
      <c r="T1014" t="s">
        <v>1544</v>
      </c>
      <c r="U1014" t="s">
        <v>2062</v>
      </c>
      <c r="V1014" t="s">
        <v>2021</v>
      </c>
      <c r="W1014" t="s">
        <v>2033</v>
      </c>
    </row>
    <row r="1015" spans="1:23" ht="15" customHeight="1" x14ac:dyDescent="0.3">
      <c r="A1015" t="s">
        <v>8</v>
      </c>
      <c r="B1015">
        <v>154</v>
      </c>
      <c r="C1015" t="s">
        <v>554</v>
      </c>
      <c r="D1015" t="s">
        <v>2014</v>
      </c>
      <c r="E1015" t="s">
        <v>34</v>
      </c>
      <c r="F1015" t="s">
        <v>2015</v>
      </c>
      <c r="G1015" t="s">
        <v>36</v>
      </c>
      <c r="H1015" t="s">
        <v>1279</v>
      </c>
      <c r="I1015" t="s">
        <v>2014</v>
      </c>
      <c r="J1015" t="s">
        <v>2063</v>
      </c>
      <c r="K1015" s="21" t="s">
        <v>2064</v>
      </c>
      <c r="L1015" s="21" t="s">
        <v>2016</v>
      </c>
      <c r="M1015" t="s">
        <v>2017</v>
      </c>
      <c r="N1015" t="s">
        <v>42</v>
      </c>
      <c r="R1015" t="s">
        <v>2018</v>
      </c>
      <c r="S1015" t="s">
        <v>2063</v>
      </c>
      <c r="T1015" t="s">
        <v>1544</v>
      </c>
      <c r="U1015" t="s">
        <v>2065</v>
      </c>
      <c r="V1015" t="s">
        <v>2021</v>
      </c>
      <c r="W1015" t="s">
        <v>2033</v>
      </c>
    </row>
    <row r="1016" spans="1:23" ht="15" customHeight="1" x14ac:dyDescent="0.3">
      <c r="A1016" t="s">
        <v>8</v>
      </c>
      <c r="B1016">
        <v>158</v>
      </c>
      <c r="C1016" t="s">
        <v>554</v>
      </c>
      <c r="D1016" t="s">
        <v>566</v>
      </c>
      <c r="E1016" t="s">
        <v>153</v>
      </c>
      <c r="F1016" t="s">
        <v>567</v>
      </c>
      <c r="G1016" t="s">
        <v>36</v>
      </c>
      <c r="H1016" t="s">
        <v>37</v>
      </c>
      <c r="I1016" t="s">
        <v>566</v>
      </c>
      <c r="J1016" t="s">
        <v>2066</v>
      </c>
      <c r="K1016" t="s">
        <v>2067</v>
      </c>
      <c r="L1016" s="21" t="s">
        <v>570</v>
      </c>
      <c r="M1016" t="s">
        <v>571</v>
      </c>
      <c r="N1016" t="s">
        <v>572</v>
      </c>
      <c r="R1016" t="s">
        <v>574</v>
      </c>
      <c r="S1016" t="s">
        <v>2066</v>
      </c>
      <c r="T1016" t="s">
        <v>45</v>
      </c>
      <c r="U1016" t="s">
        <v>1437</v>
      </c>
      <c r="V1016" t="s">
        <v>575</v>
      </c>
      <c r="W1016" t="s">
        <v>2068</v>
      </c>
    </row>
    <row r="1017" spans="1:23" ht="15" customHeight="1" x14ac:dyDescent="0.3">
      <c r="A1017" t="s">
        <v>8</v>
      </c>
      <c r="B1017">
        <v>158</v>
      </c>
      <c r="C1017" t="s">
        <v>554</v>
      </c>
      <c r="D1017" t="s">
        <v>566</v>
      </c>
      <c r="E1017" t="s">
        <v>153</v>
      </c>
      <c r="F1017" t="s">
        <v>567</v>
      </c>
      <c r="G1017" t="s">
        <v>36</v>
      </c>
      <c r="H1017" t="s">
        <v>52</v>
      </c>
      <c r="I1017" t="s">
        <v>566</v>
      </c>
      <c r="J1017" t="s">
        <v>568</v>
      </c>
      <c r="K1017" s="21" t="s">
        <v>569</v>
      </c>
      <c r="L1017" s="21" t="s">
        <v>570</v>
      </c>
      <c r="M1017" t="s">
        <v>571</v>
      </c>
      <c r="N1017" t="s">
        <v>572</v>
      </c>
      <c r="R1017" t="s">
        <v>574</v>
      </c>
      <c r="S1017" t="s">
        <v>568</v>
      </c>
      <c r="T1017" t="s">
        <v>45</v>
      </c>
      <c r="U1017" t="s">
        <v>46</v>
      </c>
      <c r="V1017" t="s">
        <v>575</v>
      </c>
      <c r="W1017" t="s">
        <v>576</v>
      </c>
    </row>
    <row r="1018" spans="1:23" ht="15" customHeight="1" x14ac:dyDescent="0.3">
      <c r="A1018" t="s">
        <v>8</v>
      </c>
      <c r="B1018">
        <v>158</v>
      </c>
      <c r="C1018" t="s">
        <v>554</v>
      </c>
      <c r="D1018" t="s">
        <v>566</v>
      </c>
      <c r="E1018" t="s">
        <v>153</v>
      </c>
      <c r="F1018" t="s">
        <v>567</v>
      </c>
      <c r="G1018" t="s">
        <v>36</v>
      </c>
      <c r="H1018" t="s">
        <v>57</v>
      </c>
      <c r="I1018" t="s">
        <v>566</v>
      </c>
      <c r="J1018" t="s">
        <v>2069</v>
      </c>
      <c r="K1018" s="21" t="s">
        <v>2070</v>
      </c>
      <c r="L1018" s="21" t="s">
        <v>570</v>
      </c>
      <c r="M1018" t="s">
        <v>571</v>
      </c>
      <c r="N1018" t="s">
        <v>572</v>
      </c>
      <c r="R1018" t="s">
        <v>574</v>
      </c>
      <c r="S1018" t="s">
        <v>2069</v>
      </c>
      <c r="T1018" t="s">
        <v>45</v>
      </c>
      <c r="U1018" t="s">
        <v>1416</v>
      </c>
      <c r="V1018" t="s">
        <v>575</v>
      </c>
      <c r="W1018" t="s">
        <v>2071</v>
      </c>
    </row>
    <row r="1019" spans="1:23" ht="15" customHeight="1" x14ac:dyDescent="0.3">
      <c r="A1019" t="s">
        <v>8</v>
      </c>
      <c r="B1019">
        <v>158</v>
      </c>
      <c r="C1019" t="s">
        <v>554</v>
      </c>
      <c r="D1019" t="s">
        <v>566</v>
      </c>
      <c r="E1019" t="s">
        <v>153</v>
      </c>
      <c r="F1019" t="s">
        <v>567</v>
      </c>
      <c r="G1019" t="s">
        <v>36</v>
      </c>
      <c r="H1019" t="s">
        <v>49</v>
      </c>
      <c r="I1019" t="s">
        <v>566</v>
      </c>
      <c r="J1019" t="s">
        <v>2072</v>
      </c>
      <c r="K1019" s="21" t="s">
        <v>2073</v>
      </c>
      <c r="L1019" s="21" t="s">
        <v>570</v>
      </c>
      <c r="M1019" t="s">
        <v>571</v>
      </c>
      <c r="N1019" t="s">
        <v>572</v>
      </c>
      <c r="R1019" t="s">
        <v>574</v>
      </c>
      <c r="S1019" t="s">
        <v>2072</v>
      </c>
      <c r="T1019" t="s">
        <v>1544</v>
      </c>
      <c r="U1019" t="s">
        <v>2028</v>
      </c>
      <c r="V1019" t="s">
        <v>575</v>
      </c>
      <c r="W1019" t="s">
        <v>2074</v>
      </c>
    </row>
    <row r="1020" spans="1:23" ht="15" customHeight="1" x14ac:dyDescent="0.3">
      <c r="A1020" t="s">
        <v>8</v>
      </c>
      <c r="B1020">
        <v>158</v>
      </c>
      <c r="C1020" t="s">
        <v>554</v>
      </c>
      <c r="D1020" t="s">
        <v>566</v>
      </c>
      <c r="E1020" t="s">
        <v>153</v>
      </c>
      <c r="F1020" t="s">
        <v>567</v>
      </c>
      <c r="G1020" t="s">
        <v>36</v>
      </c>
      <c r="H1020" t="s">
        <v>87</v>
      </c>
      <c r="I1020" t="s">
        <v>566</v>
      </c>
      <c r="J1020" t="s">
        <v>2075</v>
      </c>
      <c r="K1020" s="21" t="s">
        <v>2076</v>
      </c>
      <c r="L1020" s="21" t="s">
        <v>570</v>
      </c>
      <c r="M1020" t="s">
        <v>571</v>
      </c>
      <c r="N1020" t="s">
        <v>572</v>
      </c>
      <c r="R1020" t="s">
        <v>574</v>
      </c>
      <c r="S1020" t="s">
        <v>2075</v>
      </c>
      <c r="T1020" t="s">
        <v>45</v>
      </c>
      <c r="U1020" t="s">
        <v>1428</v>
      </c>
      <c r="V1020" t="s">
        <v>2077</v>
      </c>
      <c r="W1020" t="s">
        <v>2078</v>
      </c>
    </row>
    <row r="1021" spans="1:23" ht="15" customHeight="1" x14ac:dyDescent="0.3">
      <c r="A1021" t="s">
        <v>8</v>
      </c>
      <c r="B1021">
        <v>43</v>
      </c>
      <c r="C1021" t="s">
        <v>2079</v>
      </c>
      <c r="D1021" t="s">
        <v>2080</v>
      </c>
      <c r="E1021" t="s">
        <v>399</v>
      </c>
      <c r="F1021" t="s">
        <v>2081</v>
      </c>
      <c r="G1021" t="s">
        <v>36</v>
      </c>
      <c r="H1021" t="s">
        <v>37</v>
      </c>
      <c r="I1021" t="s">
        <v>2080</v>
      </c>
      <c r="J1021" t="s">
        <v>2082</v>
      </c>
      <c r="K1021" t="s">
        <v>2083</v>
      </c>
      <c r="L1021" s="21" t="s">
        <v>2084</v>
      </c>
      <c r="M1021" t="s">
        <v>2085</v>
      </c>
      <c r="N1021" t="s">
        <v>405</v>
      </c>
      <c r="R1021" t="s">
        <v>2086</v>
      </c>
      <c r="S1021" t="s">
        <v>2082</v>
      </c>
      <c r="T1021" t="s">
        <v>1544</v>
      </c>
      <c r="U1021" t="s">
        <v>2055</v>
      </c>
      <c r="V1021" t="s">
        <v>2087</v>
      </c>
      <c r="W1021" t="s">
        <v>2088</v>
      </c>
    </row>
    <row r="1022" spans="1:23" ht="15" customHeight="1" x14ac:dyDescent="0.3">
      <c r="A1022" t="s">
        <v>8</v>
      </c>
      <c r="B1022">
        <v>43</v>
      </c>
      <c r="C1022" t="s">
        <v>2079</v>
      </c>
      <c r="D1022" t="s">
        <v>2080</v>
      </c>
      <c r="E1022" t="s">
        <v>399</v>
      </c>
      <c r="F1022" t="s">
        <v>2081</v>
      </c>
      <c r="G1022" t="s">
        <v>36</v>
      </c>
      <c r="H1022" t="s">
        <v>52</v>
      </c>
      <c r="I1022" t="s">
        <v>2080</v>
      </c>
      <c r="J1022" t="s">
        <v>2089</v>
      </c>
      <c r="K1022" s="21" t="s">
        <v>2090</v>
      </c>
      <c r="L1022" s="21" t="s">
        <v>2084</v>
      </c>
      <c r="M1022" t="s">
        <v>2085</v>
      </c>
      <c r="N1022" t="s">
        <v>405</v>
      </c>
      <c r="R1022" t="s">
        <v>2086</v>
      </c>
      <c r="S1022" t="s">
        <v>2089</v>
      </c>
      <c r="T1022" t="s">
        <v>1544</v>
      </c>
      <c r="U1022" t="s">
        <v>2044</v>
      </c>
      <c r="V1022" t="s">
        <v>2091</v>
      </c>
      <c r="W1022" t="s">
        <v>2092</v>
      </c>
    </row>
    <row r="1023" spans="1:23" ht="15" customHeight="1" x14ac:dyDescent="0.3">
      <c r="A1023" t="s">
        <v>8</v>
      </c>
      <c r="B1023">
        <v>43</v>
      </c>
      <c r="C1023" t="s">
        <v>2079</v>
      </c>
      <c r="D1023" t="s">
        <v>2080</v>
      </c>
      <c r="E1023" t="s">
        <v>399</v>
      </c>
      <c r="F1023" t="s">
        <v>2081</v>
      </c>
      <c r="G1023" t="s">
        <v>36</v>
      </c>
      <c r="H1023" t="s">
        <v>57</v>
      </c>
      <c r="I1023" t="s">
        <v>2080</v>
      </c>
      <c r="J1023" t="s">
        <v>2093</v>
      </c>
      <c r="K1023" s="21" t="s">
        <v>2094</v>
      </c>
      <c r="L1023" s="21" t="s">
        <v>2084</v>
      </c>
      <c r="M1023" t="s">
        <v>2085</v>
      </c>
      <c r="N1023" t="s">
        <v>405</v>
      </c>
      <c r="R1023" t="s">
        <v>2086</v>
      </c>
      <c r="S1023" t="s">
        <v>2093</v>
      </c>
      <c r="T1023" t="s">
        <v>1544</v>
      </c>
      <c r="U1023" t="s">
        <v>2059</v>
      </c>
      <c r="V1023" t="s">
        <v>2095</v>
      </c>
      <c r="W1023" t="s">
        <v>2096</v>
      </c>
    </row>
    <row r="1024" spans="1:23" ht="15" customHeight="1" x14ac:dyDescent="0.3">
      <c r="A1024" t="s">
        <v>8</v>
      </c>
      <c r="B1024">
        <v>43</v>
      </c>
      <c r="C1024" t="s">
        <v>2079</v>
      </c>
      <c r="D1024" t="s">
        <v>2080</v>
      </c>
      <c r="E1024" t="s">
        <v>399</v>
      </c>
      <c r="F1024" t="s">
        <v>2081</v>
      </c>
      <c r="G1024" t="s">
        <v>36</v>
      </c>
      <c r="H1024" t="s">
        <v>49</v>
      </c>
      <c r="I1024" t="s">
        <v>2080</v>
      </c>
      <c r="J1024" t="s">
        <v>2097</v>
      </c>
      <c r="K1024" s="21" t="s">
        <v>2098</v>
      </c>
      <c r="L1024" s="21" t="s">
        <v>2084</v>
      </c>
      <c r="M1024" t="s">
        <v>2085</v>
      </c>
      <c r="N1024" t="s">
        <v>405</v>
      </c>
      <c r="R1024" t="s">
        <v>2086</v>
      </c>
      <c r="S1024" t="s">
        <v>2097</v>
      </c>
      <c r="T1024" t="s">
        <v>1544</v>
      </c>
      <c r="U1024" t="s">
        <v>2062</v>
      </c>
      <c r="V1024" t="s">
        <v>2095</v>
      </c>
      <c r="W1024" t="s">
        <v>2096</v>
      </c>
    </row>
    <row r="1025" spans="1:23" ht="15" customHeight="1" x14ac:dyDescent="0.3">
      <c r="A1025" t="s">
        <v>8</v>
      </c>
      <c r="B1025">
        <v>43</v>
      </c>
      <c r="C1025" t="s">
        <v>2079</v>
      </c>
      <c r="D1025" t="s">
        <v>2080</v>
      </c>
      <c r="E1025" t="s">
        <v>399</v>
      </c>
      <c r="F1025" t="s">
        <v>2081</v>
      </c>
      <c r="G1025" t="s">
        <v>36</v>
      </c>
      <c r="H1025" t="s">
        <v>87</v>
      </c>
      <c r="I1025" t="s">
        <v>2080</v>
      </c>
      <c r="J1025" t="s">
        <v>2099</v>
      </c>
      <c r="K1025" s="21" t="s">
        <v>2100</v>
      </c>
      <c r="L1025" s="21" t="s">
        <v>2084</v>
      </c>
      <c r="M1025" t="s">
        <v>2085</v>
      </c>
      <c r="N1025" t="s">
        <v>405</v>
      </c>
      <c r="R1025" t="s">
        <v>2086</v>
      </c>
      <c r="S1025" t="s">
        <v>2099</v>
      </c>
      <c r="T1025" t="s">
        <v>1544</v>
      </c>
      <c r="U1025" t="s">
        <v>1501</v>
      </c>
      <c r="V1025" t="s">
        <v>2095</v>
      </c>
      <c r="W1025" t="s">
        <v>2101</v>
      </c>
    </row>
    <row r="1026" spans="1:23" ht="15" customHeight="1" x14ac:dyDescent="0.3">
      <c r="A1026" t="s">
        <v>8</v>
      </c>
      <c r="B1026">
        <v>43</v>
      </c>
      <c r="C1026" t="s">
        <v>2079</v>
      </c>
      <c r="D1026" t="s">
        <v>2080</v>
      </c>
      <c r="E1026" t="s">
        <v>399</v>
      </c>
      <c r="F1026" t="s">
        <v>2081</v>
      </c>
      <c r="G1026" t="s">
        <v>36</v>
      </c>
      <c r="H1026" t="s">
        <v>421</v>
      </c>
      <c r="I1026" t="s">
        <v>2080</v>
      </c>
      <c r="J1026" t="s">
        <v>2102</v>
      </c>
      <c r="K1026" s="21" t="s">
        <v>2103</v>
      </c>
      <c r="L1026" s="21" t="s">
        <v>2084</v>
      </c>
      <c r="M1026" t="s">
        <v>2085</v>
      </c>
      <c r="N1026" t="s">
        <v>405</v>
      </c>
      <c r="R1026" t="s">
        <v>2086</v>
      </c>
      <c r="S1026" t="s">
        <v>2102</v>
      </c>
      <c r="T1026" t="s">
        <v>1544</v>
      </c>
      <c r="U1026" t="s">
        <v>2104</v>
      </c>
      <c r="V1026" t="s">
        <v>2091</v>
      </c>
      <c r="W1026" t="s">
        <v>2105</v>
      </c>
    </row>
    <row r="1027" spans="1:23" ht="15" customHeight="1" x14ac:dyDescent="0.3">
      <c r="A1027" t="s">
        <v>8</v>
      </c>
      <c r="B1027">
        <v>43</v>
      </c>
      <c r="C1027" t="s">
        <v>2079</v>
      </c>
      <c r="D1027" t="s">
        <v>2080</v>
      </c>
      <c r="E1027" t="s">
        <v>399</v>
      </c>
      <c r="F1027" t="s">
        <v>2081</v>
      </c>
      <c r="G1027" t="s">
        <v>36</v>
      </c>
      <c r="H1027" t="s">
        <v>182</v>
      </c>
      <c r="I1027" t="s">
        <v>2080</v>
      </c>
      <c r="J1027" t="s">
        <v>2106</v>
      </c>
      <c r="K1027" s="21" t="s">
        <v>2107</v>
      </c>
      <c r="L1027" s="21" t="s">
        <v>2084</v>
      </c>
      <c r="M1027" t="s">
        <v>2085</v>
      </c>
      <c r="N1027" t="s">
        <v>405</v>
      </c>
      <c r="R1027" t="s">
        <v>2086</v>
      </c>
      <c r="S1027" t="s">
        <v>2106</v>
      </c>
      <c r="T1027" t="s">
        <v>1544</v>
      </c>
      <c r="U1027" t="s">
        <v>2108</v>
      </c>
      <c r="V1027" t="s">
        <v>2095</v>
      </c>
      <c r="W1027" t="s">
        <v>2109</v>
      </c>
    </row>
    <row r="1028" spans="1:23" ht="15" customHeight="1" x14ac:dyDescent="0.3">
      <c r="A1028" t="s">
        <v>8</v>
      </c>
      <c r="B1028">
        <v>43</v>
      </c>
      <c r="C1028" t="s">
        <v>2079</v>
      </c>
      <c r="D1028" t="s">
        <v>2080</v>
      </c>
      <c r="E1028" t="s">
        <v>399</v>
      </c>
      <c r="F1028" t="s">
        <v>2081</v>
      </c>
      <c r="G1028" t="s">
        <v>36</v>
      </c>
      <c r="H1028" t="s">
        <v>1242</v>
      </c>
      <c r="I1028" t="s">
        <v>2080</v>
      </c>
      <c r="J1028" t="s">
        <v>2110</v>
      </c>
      <c r="K1028" s="21" t="s">
        <v>2111</v>
      </c>
      <c r="L1028" s="21" t="s">
        <v>2084</v>
      </c>
      <c r="M1028" t="s">
        <v>2085</v>
      </c>
      <c r="N1028" t="s">
        <v>405</v>
      </c>
      <c r="R1028" t="s">
        <v>2086</v>
      </c>
      <c r="S1028" t="s">
        <v>2110</v>
      </c>
      <c r="T1028" t="s">
        <v>1544</v>
      </c>
      <c r="U1028" t="s">
        <v>1699</v>
      </c>
      <c r="V1028" t="s">
        <v>2112</v>
      </c>
      <c r="W1028" t="s">
        <v>2113</v>
      </c>
    </row>
    <row r="1029" spans="1:23" ht="15" customHeight="1" x14ac:dyDescent="0.3">
      <c r="A1029" t="s">
        <v>8</v>
      </c>
      <c r="B1029">
        <v>43</v>
      </c>
      <c r="C1029" t="s">
        <v>2079</v>
      </c>
      <c r="D1029" t="s">
        <v>2080</v>
      </c>
      <c r="E1029" t="s">
        <v>399</v>
      </c>
      <c r="F1029" t="s">
        <v>2081</v>
      </c>
      <c r="G1029" t="s">
        <v>36</v>
      </c>
      <c r="H1029" t="s">
        <v>425</v>
      </c>
      <c r="I1029" t="s">
        <v>2080</v>
      </c>
      <c r="J1029" t="s">
        <v>2114</v>
      </c>
      <c r="K1029" s="21" t="s">
        <v>2115</v>
      </c>
      <c r="L1029" s="21" t="s">
        <v>2084</v>
      </c>
      <c r="M1029" t="s">
        <v>2085</v>
      </c>
      <c r="N1029" t="s">
        <v>405</v>
      </c>
      <c r="R1029" t="s">
        <v>2086</v>
      </c>
      <c r="S1029" t="s">
        <v>2114</v>
      </c>
      <c r="T1029" t="s">
        <v>1544</v>
      </c>
      <c r="U1029" t="s">
        <v>1699</v>
      </c>
      <c r="V1029" t="s">
        <v>2116</v>
      </c>
      <c r="W1029" t="s">
        <v>2117</v>
      </c>
    </row>
    <row r="1030" spans="1:23" ht="15" customHeight="1" x14ac:dyDescent="0.3">
      <c r="A1030" t="s">
        <v>8</v>
      </c>
      <c r="B1030">
        <v>43</v>
      </c>
      <c r="C1030" t="s">
        <v>2079</v>
      </c>
      <c r="D1030" t="s">
        <v>2080</v>
      </c>
      <c r="E1030" t="s">
        <v>399</v>
      </c>
      <c r="F1030" t="s">
        <v>2081</v>
      </c>
      <c r="G1030" t="s">
        <v>36</v>
      </c>
      <c r="H1030" t="s">
        <v>996</v>
      </c>
      <c r="I1030" t="s">
        <v>2080</v>
      </c>
      <c r="J1030" t="s">
        <v>2118</v>
      </c>
      <c r="K1030" s="21" t="s">
        <v>2119</v>
      </c>
      <c r="L1030" s="21" t="s">
        <v>2084</v>
      </c>
      <c r="M1030" t="s">
        <v>2085</v>
      </c>
      <c r="N1030" t="s">
        <v>405</v>
      </c>
      <c r="R1030" t="s">
        <v>2086</v>
      </c>
      <c r="S1030" t="s">
        <v>2118</v>
      </c>
      <c r="T1030" t="s">
        <v>1544</v>
      </c>
      <c r="U1030" t="s">
        <v>1699</v>
      </c>
      <c r="V1030" t="s">
        <v>2120</v>
      </c>
      <c r="W1030" t="s">
        <v>2121</v>
      </c>
    </row>
    <row r="1031" spans="1:23" ht="15" customHeight="1" x14ac:dyDescent="0.3">
      <c r="A1031" t="s">
        <v>8</v>
      </c>
      <c r="B1031">
        <v>43</v>
      </c>
      <c r="C1031" t="s">
        <v>2079</v>
      </c>
      <c r="D1031" t="s">
        <v>2080</v>
      </c>
      <c r="E1031" t="s">
        <v>399</v>
      </c>
      <c r="F1031" t="s">
        <v>2081</v>
      </c>
      <c r="G1031" t="s">
        <v>36</v>
      </c>
      <c r="H1031" t="s">
        <v>1000</v>
      </c>
      <c r="I1031" t="s">
        <v>2080</v>
      </c>
      <c r="J1031" t="s">
        <v>2122</v>
      </c>
      <c r="K1031" s="21" t="s">
        <v>2123</v>
      </c>
      <c r="L1031" s="21" t="s">
        <v>2084</v>
      </c>
      <c r="M1031" t="s">
        <v>2085</v>
      </c>
      <c r="N1031" t="s">
        <v>405</v>
      </c>
      <c r="R1031" t="s">
        <v>2086</v>
      </c>
      <c r="S1031" t="s">
        <v>2122</v>
      </c>
      <c r="T1031" t="s">
        <v>1544</v>
      </c>
      <c r="U1031" t="s">
        <v>2032</v>
      </c>
      <c r="V1031" t="s">
        <v>2124</v>
      </c>
      <c r="W1031" t="s">
        <v>2125</v>
      </c>
    </row>
    <row r="1032" spans="1:23" ht="15" customHeight="1" x14ac:dyDescent="0.3">
      <c r="A1032" t="s">
        <v>8</v>
      </c>
      <c r="B1032">
        <v>43</v>
      </c>
      <c r="C1032" t="s">
        <v>2079</v>
      </c>
      <c r="D1032" t="s">
        <v>2080</v>
      </c>
      <c r="E1032" t="s">
        <v>399</v>
      </c>
      <c r="F1032" t="s">
        <v>2081</v>
      </c>
      <c r="G1032" t="s">
        <v>36</v>
      </c>
      <c r="H1032" t="s">
        <v>1272</v>
      </c>
      <c r="I1032" t="s">
        <v>2080</v>
      </c>
      <c r="J1032" t="s">
        <v>2126</v>
      </c>
      <c r="K1032" s="21" t="s">
        <v>2127</v>
      </c>
      <c r="L1032" s="21" t="s">
        <v>2084</v>
      </c>
      <c r="M1032" t="s">
        <v>2085</v>
      </c>
      <c r="N1032" t="s">
        <v>405</v>
      </c>
      <c r="R1032" t="s">
        <v>2086</v>
      </c>
      <c r="S1032" t="s">
        <v>2126</v>
      </c>
      <c r="T1032" t="s">
        <v>1544</v>
      </c>
      <c r="U1032" t="s">
        <v>2128</v>
      </c>
      <c r="V1032" t="s">
        <v>2091</v>
      </c>
      <c r="W1032" t="s">
        <v>2105</v>
      </c>
    </row>
    <row r="1033" spans="1:23" ht="15" customHeight="1" x14ac:dyDescent="0.3">
      <c r="A1033" t="s">
        <v>8</v>
      </c>
      <c r="B1033">
        <v>43</v>
      </c>
      <c r="C1033" t="s">
        <v>2079</v>
      </c>
      <c r="D1033" t="s">
        <v>2080</v>
      </c>
      <c r="E1033" t="s">
        <v>399</v>
      </c>
      <c r="F1033" t="s">
        <v>2081</v>
      </c>
      <c r="G1033" t="s">
        <v>36</v>
      </c>
      <c r="H1033" t="s">
        <v>1276</v>
      </c>
      <c r="I1033" t="s">
        <v>2080</v>
      </c>
      <c r="J1033" t="s">
        <v>2129</v>
      </c>
      <c r="K1033" s="21" t="s">
        <v>2130</v>
      </c>
      <c r="L1033" s="21" t="s">
        <v>2084</v>
      </c>
      <c r="M1033" t="s">
        <v>2085</v>
      </c>
      <c r="N1033" t="s">
        <v>405</v>
      </c>
      <c r="R1033" t="s">
        <v>2086</v>
      </c>
      <c r="S1033" t="s">
        <v>2129</v>
      </c>
      <c r="T1033" t="s">
        <v>1544</v>
      </c>
      <c r="U1033" t="s">
        <v>1695</v>
      </c>
      <c r="V1033" t="s">
        <v>2131</v>
      </c>
      <c r="W1033" t="s">
        <v>2132</v>
      </c>
    </row>
    <row r="1034" spans="1:23" ht="15" customHeight="1" x14ac:dyDescent="0.3">
      <c r="A1034" t="s">
        <v>8</v>
      </c>
      <c r="B1034">
        <v>43</v>
      </c>
      <c r="C1034" t="s">
        <v>2079</v>
      </c>
      <c r="D1034" t="s">
        <v>2080</v>
      </c>
      <c r="E1034" t="s">
        <v>399</v>
      </c>
      <c r="F1034" t="s">
        <v>2081</v>
      </c>
      <c r="G1034" t="s">
        <v>36</v>
      </c>
      <c r="H1034" t="s">
        <v>1279</v>
      </c>
      <c r="I1034" t="s">
        <v>2080</v>
      </c>
      <c r="J1034" t="s">
        <v>2133</v>
      </c>
      <c r="K1034" s="21" t="s">
        <v>2134</v>
      </c>
      <c r="L1034" s="21" t="s">
        <v>2084</v>
      </c>
      <c r="M1034" t="s">
        <v>2085</v>
      </c>
      <c r="N1034" t="s">
        <v>405</v>
      </c>
      <c r="R1034" t="s">
        <v>2086</v>
      </c>
      <c r="S1034" t="s">
        <v>2133</v>
      </c>
      <c r="T1034" t="s">
        <v>1290</v>
      </c>
      <c r="U1034" t="s">
        <v>2036</v>
      </c>
      <c r="V1034" t="s">
        <v>2131</v>
      </c>
      <c r="W1034" t="s">
        <v>2135</v>
      </c>
    </row>
    <row r="1035" spans="1:23" ht="15" customHeight="1" x14ac:dyDescent="0.3">
      <c r="A1035" t="s">
        <v>8</v>
      </c>
      <c r="B1035">
        <v>43</v>
      </c>
      <c r="C1035" t="s">
        <v>2079</v>
      </c>
      <c r="D1035" t="s">
        <v>2080</v>
      </c>
      <c r="E1035" t="s">
        <v>399</v>
      </c>
      <c r="F1035" t="s">
        <v>2081</v>
      </c>
      <c r="G1035" t="s">
        <v>36</v>
      </c>
      <c r="H1035" t="s">
        <v>1283</v>
      </c>
      <c r="I1035" t="s">
        <v>2080</v>
      </c>
      <c r="J1035" t="s">
        <v>2136</v>
      </c>
      <c r="K1035" s="21" t="s">
        <v>2137</v>
      </c>
      <c r="L1035" s="21" t="s">
        <v>2084</v>
      </c>
      <c r="M1035" t="s">
        <v>2085</v>
      </c>
      <c r="N1035" t="s">
        <v>405</v>
      </c>
      <c r="R1035" t="s">
        <v>2086</v>
      </c>
      <c r="S1035" t="s">
        <v>2136</v>
      </c>
      <c r="T1035" t="s">
        <v>1544</v>
      </c>
      <c r="U1035" t="s">
        <v>2065</v>
      </c>
      <c r="V1035" t="s">
        <v>2095</v>
      </c>
      <c r="W1035" t="s">
        <v>2138</v>
      </c>
    </row>
    <row r="1036" spans="1:23" ht="15" customHeight="1" x14ac:dyDescent="0.3">
      <c r="A1036" t="s">
        <v>8</v>
      </c>
      <c r="B1036">
        <v>170</v>
      </c>
      <c r="C1036" t="s">
        <v>2139</v>
      </c>
      <c r="D1036" t="s">
        <v>2140</v>
      </c>
      <c r="E1036" t="s">
        <v>34</v>
      </c>
      <c r="F1036" t="s">
        <v>2141</v>
      </c>
      <c r="G1036" t="s">
        <v>440</v>
      </c>
      <c r="H1036" t="s">
        <v>37</v>
      </c>
      <c r="I1036" t="s">
        <v>2140</v>
      </c>
      <c r="J1036" t="s">
        <v>2142</v>
      </c>
      <c r="K1036" t="s">
        <v>2143</v>
      </c>
      <c r="L1036" s="21" t="s">
        <v>2144</v>
      </c>
      <c r="M1036" t="s">
        <v>2145</v>
      </c>
      <c r="N1036" t="s">
        <v>159</v>
      </c>
      <c r="R1036" t="s">
        <v>2146</v>
      </c>
      <c r="S1036" t="s">
        <v>2142</v>
      </c>
      <c r="T1036" t="s">
        <v>1544</v>
      </c>
      <c r="U1036" t="s">
        <v>2059</v>
      </c>
      <c r="V1036" t="s">
        <v>2147</v>
      </c>
      <c r="W1036" t="s">
        <v>2148</v>
      </c>
    </row>
    <row r="1037" spans="1:23" ht="15" customHeight="1" x14ac:dyDescent="0.3">
      <c r="A1037" t="s">
        <v>8</v>
      </c>
      <c r="B1037">
        <v>170</v>
      </c>
      <c r="C1037" t="s">
        <v>2139</v>
      </c>
      <c r="D1037" t="s">
        <v>2140</v>
      </c>
      <c r="E1037" t="s">
        <v>34</v>
      </c>
      <c r="F1037" t="s">
        <v>2141</v>
      </c>
      <c r="G1037" t="s">
        <v>440</v>
      </c>
      <c r="H1037" t="s">
        <v>52</v>
      </c>
      <c r="I1037" t="s">
        <v>2140</v>
      </c>
      <c r="J1037" t="s">
        <v>2149</v>
      </c>
      <c r="K1037" s="21" t="s">
        <v>2150</v>
      </c>
      <c r="L1037" s="21" t="s">
        <v>2144</v>
      </c>
      <c r="M1037" t="s">
        <v>2145</v>
      </c>
      <c r="N1037" t="s">
        <v>159</v>
      </c>
      <c r="R1037" t="s">
        <v>2146</v>
      </c>
      <c r="S1037" t="s">
        <v>2149</v>
      </c>
      <c r="T1037" t="s">
        <v>1544</v>
      </c>
      <c r="U1037" t="s">
        <v>2062</v>
      </c>
      <c r="V1037" t="s">
        <v>2147</v>
      </c>
      <c r="W1037" t="s">
        <v>2148</v>
      </c>
    </row>
    <row r="1038" spans="1:23" ht="15" customHeight="1" x14ac:dyDescent="0.3">
      <c r="A1038" t="s">
        <v>8</v>
      </c>
      <c r="B1038">
        <v>170</v>
      </c>
      <c r="C1038" t="s">
        <v>2139</v>
      </c>
      <c r="D1038" t="s">
        <v>2140</v>
      </c>
      <c r="E1038" t="s">
        <v>34</v>
      </c>
      <c r="F1038" t="s">
        <v>2141</v>
      </c>
      <c r="G1038" t="s">
        <v>440</v>
      </c>
      <c r="H1038" t="s">
        <v>57</v>
      </c>
      <c r="I1038" t="s">
        <v>2140</v>
      </c>
      <c r="J1038" t="s">
        <v>2151</v>
      </c>
      <c r="K1038" s="21" t="s">
        <v>2152</v>
      </c>
      <c r="L1038" s="21" t="s">
        <v>2144</v>
      </c>
      <c r="M1038" t="s">
        <v>2145</v>
      </c>
      <c r="N1038" t="s">
        <v>159</v>
      </c>
      <c r="R1038" t="s">
        <v>2146</v>
      </c>
      <c r="S1038" t="s">
        <v>2151</v>
      </c>
      <c r="T1038" t="s">
        <v>1544</v>
      </c>
      <c r="U1038" t="s">
        <v>1501</v>
      </c>
      <c r="V1038" t="s">
        <v>2147</v>
      </c>
      <c r="W1038" t="s">
        <v>2153</v>
      </c>
    </row>
    <row r="1039" spans="1:23" ht="15" customHeight="1" x14ac:dyDescent="0.3">
      <c r="A1039" t="s">
        <v>8</v>
      </c>
      <c r="B1039">
        <v>170</v>
      </c>
      <c r="C1039" t="s">
        <v>2139</v>
      </c>
      <c r="D1039" t="s">
        <v>2140</v>
      </c>
      <c r="E1039" t="s">
        <v>34</v>
      </c>
      <c r="F1039" t="s">
        <v>2141</v>
      </c>
      <c r="G1039" t="s">
        <v>440</v>
      </c>
      <c r="H1039" t="s">
        <v>49</v>
      </c>
      <c r="I1039" t="s">
        <v>2140</v>
      </c>
      <c r="J1039" t="s">
        <v>2154</v>
      </c>
      <c r="K1039" s="21" t="s">
        <v>2155</v>
      </c>
      <c r="L1039" s="21" t="s">
        <v>2144</v>
      </c>
      <c r="M1039" t="s">
        <v>2145</v>
      </c>
      <c r="N1039" t="s">
        <v>159</v>
      </c>
      <c r="R1039" t="s">
        <v>2146</v>
      </c>
      <c r="S1039" t="s">
        <v>2154</v>
      </c>
      <c r="T1039" t="s">
        <v>1544</v>
      </c>
      <c r="U1039" t="s">
        <v>1511</v>
      </c>
      <c r="V1039" t="s">
        <v>2147</v>
      </c>
      <c r="W1039" t="s">
        <v>2156</v>
      </c>
    </row>
    <row r="1040" spans="1:23" ht="15" customHeight="1" x14ac:dyDescent="0.3">
      <c r="A1040" t="s">
        <v>8</v>
      </c>
      <c r="B1040">
        <v>170</v>
      </c>
      <c r="C1040" t="s">
        <v>2139</v>
      </c>
      <c r="D1040" t="s">
        <v>2140</v>
      </c>
      <c r="E1040" t="s">
        <v>34</v>
      </c>
      <c r="F1040" t="s">
        <v>2141</v>
      </c>
      <c r="G1040" t="s">
        <v>440</v>
      </c>
      <c r="H1040" t="s">
        <v>87</v>
      </c>
      <c r="I1040" t="s">
        <v>2140</v>
      </c>
      <c r="J1040" t="s">
        <v>2157</v>
      </c>
      <c r="K1040" s="21" t="s">
        <v>2158</v>
      </c>
      <c r="L1040" s="21" t="s">
        <v>2144</v>
      </c>
      <c r="M1040" t="s">
        <v>2145</v>
      </c>
      <c r="N1040" t="s">
        <v>159</v>
      </c>
      <c r="R1040" t="s">
        <v>2146</v>
      </c>
      <c r="S1040" t="s">
        <v>2157</v>
      </c>
      <c r="T1040" t="s">
        <v>1544</v>
      </c>
      <c r="U1040" t="s">
        <v>2159</v>
      </c>
      <c r="V1040" t="s">
        <v>2147</v>
      </c>
      <c r="W1040" t="s">
        <v>2160</v>
      </c>
    </row>
    <row r="1041" spans="1:23" ht="15" customHeight="1" x14ac:dyDescent="0.3">
      <c r="A1041" t="s">
        <v>8</v>
      </c>
      <c r="B1041">
        <v>170</v>
      </c>
      <c r="C1041" t="s">
        <v>2139</v>
      </c>
      <c r="D1041" t="s">
        <v>2140</v>
      </c>
      <c r="E1041" t="s">
        <v>34</v>
      </c>
      <c r="F1041" t="s">
        <v>2141</v>
      </c>
      <c r="G1041" t="s">
        <v>440</v>
      </c>
      <c r="H1041" t="s">
        <v>421</v>
      </c>
      <c r="I1041" t="s">
        <v>2140</v>
      </c>
      <c r="J1041" t="s">
        <v>2161</v>
      </c>
      <c r="K1041" s="21" t="s">
        <v>2162</v>
      </c>
      <c r="L1041" s="21" t="s">
        <v>2144</v>
      </c>
      <c r="M1041" t="s">
        <v>2145</v>
      </c>
      <c r="N1041" t="s">
        <v>159</v>
      </c>
      <c r="R1041" t="s">
        <v>2146</v>
      </c>
      <c r="S1041" t="s">
        <v>2161</v>
      </c>
      <c r="T1041" t="s">
        <v>1544</v>
      </c>
      <c r="U1041" t="s">
        <v>2055</v>
      </c>
      <c r="V1041" t="s">
        <v>2163</v>
      </c>
      <c r="W1041" t="s">
        <v>2164</v>
      </c>
    </row>
    <row r="1042" spans="1:23" ht="15" customHeight="1" x14ac:dyDescent="0.3">
      <c r="A1042" t="s">
        <v>8</v>
      </c>
      <c r="B1042">
        <v>170</v>
      </c>
      <c r="C1042" t="s">
        <v>2139</v>
      </c>
      <c r="D1042" t="s">
        <v>2140</v>
      </c>
      <c r="E1042" t="s">
        <v>34</v>
      </c>
      <c r="F1042" t="s">
        <v>2141</v>
      </c>
      <c r="G1042" t="s">
        <v>440</v>
      </c>
      <c r="H1042" t="s">
        <v>182</v>
      </c>
      <c r="I1042" t="s">
        <v>2140</v>
      </c>
      <c r="J1042" t="s">
        <v>2165</v>
      </c>
      <c r="K1042" s="21" t="s">
        <v>2166</v>
      </c>
      <c r="L1042" s="21" t="s">
        <v>2144</v>
      </c>
      <c r="M1042" t="s">
        <v>2145</v>
      </c>
      <c r="N1042" t="s">
        <v>159</v>
      </c>
      <c r="R1042" t="s">
        <v>2146</v>
      </c>
      <c r="S1042" t="s">
        <v>2165</v>
      </c>
      <c r="T1042" t="s">
        <v>1231</v>
      </c>
      <c r="U1042" t="s">
        <v>2167</v>
      </c>
      <c r="V1042" t="s">
        <v>2168</v>
      </c>
      <c r="W1042" t="s">
        <v>2169</v>
      </c>
    </row>
    <row r="1043" spans="1:23" ht="15" customHeight="1" x14ac:dyDescent="0.3">
      <c r="A1043" t="s">
        <v>8</v>
      </c>
      <c r="B1043">
        <v>170</v>
      </c>
      <c r="C1043" t="s">
        <v>2139</v>
      </c>
      <c r="D1043" t="s">
        <v>2140</v>
      </c>
      <c r="E1043" t="s">
        <v>34</v>
      </c>
      <c r="F1043" t="s">
        <v>2141</v>
      </c>
      <c r="G1043" t="s">
        <v>440</v>
      </c>
      <c r="H1043" t="s">
        <v>1242</v>
      </c>
      <c r="I1043" t="s">
        <v>2140</v>
      </c>
      <c r="J1043" t="s">
        <v>2170</v>
      </c>
      <c r="K1043" s="21" t="s">
        <v>2171</v>
      </c>
      <c r="L1043" s="21" t="s">
        <v>2144</v>
      </c>
      <c r="M1043" t="s">
        <v>2145</v>
      </c>
      <c r="N1043" t="s">
        <v>159</v>
      </c>
      <c r="R1043" t="s">
        <v>2146</v>
      </c>
      <c r="S1043" t="s">
        <v>2170</v>
      </c>
      <c r="T1043" t="s">
        <v>1231</v>
      </c>
      <c r="U1043" t="s">
        <v>1801</v>
      </c>
      <c r="V1043" t="s">
        <v>2168</v>
      </c>
      <c r="W1043" t="s">
        <v>2169</v>
      </c>
    </row>
    <row r="1044" spans="1:23" ht="15" customHeight="1" x14ac:dyDescent="0.3">
      <c r="A1044" t="s">
        <v>8</v>
      </c>
      <c r="B1044">
        <v>170</v>
      </c>
      <c r="C1044" t="s">
        <v>2139</v>
      </c>
      <c r="D1044" t="s">
        <v>2140</v>
      </c>
      <c r="E1044" t="s">
        <v>34</v>
      </c>
      <c r="F1044" t="s">
        <v>2141</v>
      </c>
      <c r="G1044" t="s">
        <v>440</v>
      </c>
      <c r="H1044" t="s">
        <v>425</v>
      </c>
      <c r="I1044" t="s">
        <v>2140</v>
      </c>
      <c r="J1044" t="s">
        <v>2172</v>
      </c>
      <c r="K1044" s="21" t="s">
        <v>2173</v>
      </c>
      <c r="L1044" s="21" t="s">
        <v>2144</v>
      </c>
      <c r="M1044" t="s">
        <v>2145</v>
      </c>
      <c r="N1044" t="s">
        <v>159</v>
      </c>
      <c r="R1044" t="s">
        <v>2146</v>
      </c>
      <c r="S1044" t="s">
        <v>2172</v>
      </c>
      <c r="T1044" t="s">
        <v>1231</v>
      </c>
      <c r="U1044" t="s">
        <v>1232</v>
      </c>
      <c r="V1044" t="s">
        <v>2168</v>
      </c>
      <c r="W1044" t="s">
        <v>2169</v>
      </c>
    </row>
    <row r="1045" spans="1:23" ht="15" customHeight="1" x14ac:dyDescent="0.3">
      <c r="A1045" t="s">
        <v>8</v>
      </c>
      <c r="B1045">
        <v>170</v>
      </c>
      <c r="C1045" t="s">
        <v>2139</v>
      </c>
      <c r="D1045" t="s">
        <v>2140</v>
      </c>
      <c r="E1045" t="s">
        <v>34</v>
      </c>
      <c r="F1045" t="s">
        <v>2141</v>
      </c>
      <c r="G1045" t="s">
        <v>440</v>
      </c>
      <c r="H1045" t="s">
        <v>996</v>
      </c>
      <c r="I1045" t="s">
        <v>2140</v>
      </c>
      <c r="J1045" t="s">
        <v>2174</v>
      </c>
      <c r="K1045" s="21" t="s">
        <v>2175</v>
      </c>
      <c r="L1045" s="21" t="s">
        <v>2144</v>
      </c>
      <c r="M1045" t="s">
        <v>2145</v>
      </c>
      <c r="N1045" t="s">
        <v>159</v>
      </c>
      <c r="R1045" t="s">
        <v>2146</v>
      </c>
      <c r="S1045" t="s">
        <v>2174</v>
      </c>
      <c r="T1045" t="s">
        <v>1231</v>
      </c>
      <c r="U1045" t="s">
        <v>1232</v>
      </c>
      <c r="V1045" t="s">
        <v>2176</v>
      </c>
      <c r="W1045" t="s">
        <v>2177</v>
      </c>
    </row>
    <row r="1046" spans="1:23" ht="15" customHeight="1" x14ac:dyDescent="0.3">
      <c r="A1046" t="s">
        <v>8</v>
      </c>
      <c r="B1046">
        <v>170</v>
      </c>
      <c r="C1046" t="s">
        <v>2139</v>
      </c>
      <c r="D1046" t="s">
        <v>2140</v>
      </c>
      <c r="E1046" t="s">
        <v>34</v>
      </c>
      <c r="F1046" t="s">
        <v>2141</v>
      </c>
      <c r="G1046" t="s">
        <v>440</v>
      </c>
      <c r="H1046" t="s">
        <v>1000</v>
      </c>
      <c r="I1046" t="s">
        <v>2140</v>
      </c>
      <c r="J1046" t="s">
        <v>2178</v>
      </c>
      <c r="K1046" s="21" t="s">
        <v>2179</v>
      </c>
      <c r="L1046" s="21" t="s">
        <v>2144</v>
      </c>
      <c r="M1046" t="s">
        <v>2145</v>
      </c>
      <c r="N1046" t="s">
        <v>159</v>
      </c>
      <c r="R1046" t="s">
        <v>2146</v>
      </c>
      <c r="S1046" t="s">
        <v>2178</v>
      </c>
      <c r="T1046" t="s">
        <v>1544</v>
      </c>
      <c r="U1046" t="s">
        <v>2180</v>
      </c>
      <c r="V1046" t="s">
        <v>2181</v>
      </c>
      <c r="W1046" t="s">
        <v>2182</v>
      </c>
    </row>
    <row r="1047" spans="1:23" ht="15" customHeight="1" x14ac:dyDescent="0.3">
      <c r="A1047" t="s">
        <v>8</v>
      </c>
      <c r="B1047">
        <v>170</v>
      </c>
      <c r="C1047" t="s">
        <v>2139</v>
      </c>
      <c r="D1047" t="s">
        <v>2140</v>
      </c>
      <c r="E1047" t="s">
        <v>34</v>
      </c>
      <c r="F1047" t="s">
        <v>2141</v>
      </c>
      <c r="G1047" t="s">
        <v>440</v>
      </c>
      <c r="H1047" t="s">
        <v>1272</v>
      </c>
      <c r="I1047" t="s">
        <v>2140</v>
      </c>
      <c r="J1047" t="s">
        <v>2183</v>
      </c>
      <c r="K1047" s="21" t="s">
        <v>2184</v>
      </c>
      <c r="L1047" s="21" t="s">
        <v>2144</v>
      </c>
      <c r="M1047" t="s">
        <v>2145</v>
      </c>
      <c r="N1047" t="s">
        <v>159</v>
      </c>
      <c r="R1047" t="s">
        <v>2146</v>
      </c>
      <c r="S1047" t="s">
        <v>2183</v>
      </c>
      <c r="T1047" t="s">
        <v>1290</v>
      </c>
      <c r="U1047" t="s">
        <v>1291</v>
      </c>
      <c r="V1047" t="s">
        <v>2185</v>
      </c>
      <c r="W1047" t="s">
        <v>2186</v>
      </c>
    </row>
    <row r="1048" spans="1:23" ht="15" customHeight="1" x14ac:dyDescent="0.3">
      <c r="A1048" t="s">
        <v>8</v>
      </c>
      <c r="B1048">
        <v>170</v>
      </c>
      <c r="C1048" t="s">
        <v>2139</v>
      </c>
      <c r="D1048" t="s">
        <v>2140</v>
      </c>
      <c r="E1048" t="s">
        <v>34</v>
      </c>
      <c r="F1048" t="s">
        <v>2141</v>
      </c>
      <c r="G1048" t="s">
        <v>440</v>
      </c>
      <c r="H1048" t="s">
        <v>1276</v>
      </c>
      <c r="I1048" t="s">
        <v>2140</v>
      </c>
      <c r="J1048" t="s">
        <v>2187</v>
      </c>
      <c r="K1048" s="21" t="s">
        <v>2188</v>
      </c>
      <c r="L1048" s="21" t="s">
        <v>2144</v>
      </c>
      <c r="M1048" t="s">
        <v>2145</v>
      </c>
      <c r="N1048" t="s">
        <v>159</v>
      </c>
      <c r="R1048" t="s">
        <v>2146</v>
      </c>
      <c r="S1048" t="s">
        <v>2187</v>
      </c>
      <c r="T1048" t="s">
        <v>1290</v>
      </c>
      <c r="U1048" t="s">
        <v>2036</v>
      </c>
      <c r="V1048" t="s">
        <v>2185</v>
      </c>
      <c r="W1048" t="s">
        <v>2186</v>
      </c>
    </row>
    <row r="1049" spans="1:23" ht="15" customHeight="1" x14ac:dyDescent="0.3">
      <c r="A1049" t="s">
        <v>8</v>
      </c>
      <c r="B1049">
        <v>170</v>
      </c>
      <c r="C1049" t="s">
        <v>2139</v>
      </c>
      <c r="D1049" t="s">
        <v>2140</v>
      </c>
      <c r="E1049" t="s">
        <v>34</v>
      </c>
      <c r="F1049" t="s">
        <v>2141</v>
      </c>
      <c r="G1049" t="s">
        <v>440</v>
      </c>
      <c r="H1049" t="s">
        <v>1279</v>
      </c>
      <c r="I1049" t="s">
        <v>2140</v>
      </c>
      <c r="J1049" t="s">
        <v>2189</v>
      </c>
      <c r="K1049" s="21" t="s">
        <v>2190</v>
      </c>
      <c r="L1049" s="21" t="s">
        <v>2144</v>
      </c>
      <c r="M1049" t="s">
        <v>2145</v>
      </c>
      <c r="N1049" t="s">
        <v>159</v>
      </c>
      <c r="R1049" t="s">
        <v>2146</v>
      </c>
      <c r="S1049" t="s">
        <v>2189</v>
      </c>
      <c r="T1049" t="s">
        <v>1290</v>
      </c>
      <c r="U1049" t="s">
        <v>1296</v>
      </c>
      <c r="V1049" t="s">
        <v>2185</v>
      </c>
      <c r="W1049" t="s">
        <v>2186</v>
      </c>
    </row>
    <row r="1050" spans="1:23" ht="15" customHeight="1" x14ac:dyDescent="0.3">
      <c r="A1050" t="s">
        <v>8</v>
      </c>
      <c r="B1050">
        <v>258</v>
      </c>
      <c r="C1050" t="s">
        <v>577</v>
      </c>
      <c r="D1050" t="s">
        <v>578</v>
      </c>
      <c r="E1050" t="s">
        <v>34</v>
      </c>
      <c r="F1050" t="s">
        <v>579</v>
      </c>
      <c r="G1050" t="s">
        <v>36</v>
      </c>
      <c r="H1050" t="s">
        <v>37</v>
      </c>
      <c r="I1050" t="s">
        <v>578</v>
      </c>
      <c r="J1050" t="s">
        <v>580</v>
      </c>
      <c r="K1050" t="s">
        <v>581</v>
      </c>
      <c r="L1050" s="21" t="s">
        <v>582</v>
      </c>
      <c r="M1050" t="s">
        <v>375</v>
      </c>
      <c r="N1050" t="s">
        <v>159</v>
      </c>
      <c r="R1050" t="s">
        <v>584</v>
      </c>
      <c r="S1050" t="s">
        <v>580</v>
      </c>
      <c r="T1050" t="s">
        <v>45</v>
      </c>
      <c r="U1050" t="s">
        <v>46</v>
      </c>
      <c r="V1050" t="s">
        <v>585</v>
      </c>
      <c r="W1050" t="s">
        <v>586</v>
      </c>
    </row>
    <row r="1051" spans="1:23" ht="15" customHeight="1" x14ac:dyDescent="0.3">
      <c r="A1051" t="s">
        <v>8</v>
      </c>
      <c r="B1051">
        <v>258</v>
      </c>
      <c r="C1051" t="s">
        <v>577</v>
      </c>
      <c r="D1051" t="s">
        <v>578</v>
      </c>
      <c r="E1051" t="s">
        <v>34</v>
      </c>
      <c r="F1051" t="s">
        <v>579</v>
      </c>
      <c r="G1051" t="s">
        <v>36</v>
      </c>
      <c r="H1051" t="s">
        <v>52</v>
      </c>
      <c r="I1051" t="s">
        <v>578</v>
      </c>
      <c r="J1051" t="s">
        <v>2191</v>
      </c>
      <c r="K1051" s="21" t="s">
        <v>2192</v>
      </c>
      <c r="L1051" s="21" t="s">
        <v>582</v>
      </c>
      <c r="M1051" t="s">
        <v>375</v>
      </c>
      <c r="N1051" t="s">
        <v>159</v>
      </c>
      <c r="R1051" t="s">
        <v>584</v>
      </c>
      <c r="S1051" t="s">
        <v>2191</v>
      </c>
      <c r="T1051" t="s">
        <v>45</v>
      </c>
      <c r="U1051" t="s">
        <v>1257</v>
      </c>
      <c r="V1051" t="s">
        <v>589</v>
      </c>
      <c r="W1051" t="s">
        <v>2193</v>
      </c>
    </row>
    <row r="1052" spans="1:23" ht="15" customHeight="1" x14ac:dyDescent="0.3">
      <c r="A1052" t="s">
        <v>8</v>
      </c>
      <c r="B1052">
        <v>258</v>
      </c>
      <c r="C1052" t="s">
        <v>577</v>
      </c>
      <c r="D1052" t="s">
        <v>578</v>
      </c>
      <c r="E1052" t="s">
        <v>34</v>
      </c>
      <c r="F1052" t="s">
        <v>579</v>
      </c>
      <c r="G1052" t="s">
        <v>36</v>
      </c>
      <c r="H1052" t="s">
        <v>57</v>
      </c>
      <c r="I1052" t="s">
        <v>578</v>
      </c>
      <c r="J1052" t="s">
        <v>587</v>
      </c>
      <c r="K1052" s="21" t="s">
        <v>588</v>
      </c>
      <c r="L1052" s="21" t="s">
        <v>582</v>
      </c>
      <c r="M1052" t="s">
        <v>375</v>
      </c>
      <c r="N1052" t="s">
        <v>159</v>
      </c>
      <c r="R1052" t="s">
        <v>584</v>
      </c>
      <c r="S1052" t="s">
        <v>587</v>
      </c>
      <c r="T1052" t="s">
        <v>45</v>
      </c>
      <c r="U1052" t="s">
        <v>90</v>
      </c>
      <c r="V1052" t="s">
        <v>589</v>
      </c>
      <c r="W1052" t="s">
        <v>590</v>
      </c>
    </row>
    <row r="1053" spans="1:23" ht="15" customHeight="1" x14ac:dyDescent="0.3">
      <c r="A1053" t="s">
        <v>8</v>
      </c>
      <c r="B1053">
        <v>258</v>
      </c>
      <c r="C1053" t="s">
        <v>577</v>
      </c>
      <c r="D1053" t="s">
        <v>578</v>
      </c>
      <c r="E1053" t="s">
        <v>34</v>
      </c>
      <c r="F1053" t="s">
        <v>579</v>
      </c>
      <c r="G1053" t="s">
        <v>36</v>
      </c>
      <c r="H1053" t="s">
        <v>49</v>
      </c>
      <c r="I1053" t="s">
        <v>578</v>
      </c>
      <c r="J1053" t="s">
        <v>2194</v>
      </c>
      <c r="K1053" s="21" t="s">
        <v>2195</v>
      </c>
      <c r="L1053" s="21" t="s">
        <v>582</v>
      </c>
      <c r="M1053" t="s">
        <v>375</v>
      </c>
      <c r="N1053" t="s">
        <v>159</v>
      </c>
      <c r="R1053" t="s">
        <v>584</v>
      </c>
      <c r="S1053" t="s">
        <v>2194</v>
      </c>
      <c r="T1053" t="s">
        <v>1231</v>
      </c>
      <c r="U1053" t="s">
        <v>1232</v>
      </c>
      <c r="V1053" t="s">
        <v>585</v>
      </c>
      <c r="W1053" t="s">
        <v>2196</v>
      </c>
    </row>
    <row r="1054" spans="1:23" ht="15" customHeight="1" x14ac:dyDescent="0.3">
      <c r="A1054" t="s">
        <v>8</v>
      </c>
      <c r="B1054">
        <v>258</v>
      </c>
      <c r="C1054" t="s">
        <v>577</v>
      </c>
      <c r="D1054" t="s">
        <v>578</v>
      </c>
      <c r="E1054" t="s">
        <v>34</v>
      </c>
      <c r="F1054" t="s">
        <v>579</v>
      </c>
      <c r="G1054" t="s">
        <v>36</v>
      </c>
      <c r="H1054" t="s">
        <v>87</v>
      </c>
      <c r="I1054" t="s">
        <v>578</v>
      </c>
      <c r="J1054" t="s">
        <v>2197</v>
      </c>
      <c r="K1054" s="21" t="s">
        <v>2198</v>
      </c>
      <c r="L1054" s="21" t="s">
        <v>582</v>
      </c>
      <c r="M1054" t="s">
        <v>375</v>
      </c>
      <c r="N1054" t="s">
        <v>159</v>
      </c>
      <c r="R1054" t="s">
        <v>584</v>
      </c>
      <c r="S1054" t="s">
        <v>2197</v>
      </c>
      <c r="T1054" t="s">
        <v>1231</v>
      </c>
      <c r="U1054" t="s">
        <v>1241</v>
      </c>
      <c r="V1054" t="s">
        <v>585</v>
      </c>
      <c r="W1054" t="s">
        <v>2196</v>
      </c>
    </row>
    <row r="1055" spans="1:23" ht="15" customHeight="1" x14ac:dyDescent="0.3">
      <c r="A1055" t="s">
        <v>8</v>
      </c>
      <c r="B1055">
        <v>258</v>
      </c>
      <c r="C1055" t="s">
        <v>577</v>
      </c>
      <c r="D1055" t="s">
        <v>578</v>
      </c>
      <c r="E1055" t="s">
        <v>34</v>
      </c>
      <c r="F1055" t="s">
        <v>579</v>
      </c>
      <c r="G1055" t="s">
        <v>36</v>
      </c>
      <c r="H1055" t="s">
        <v>421</v>
      </c>
      <c r="I1055" t="s">
        <v>578</v>
      </c>
      <c r="J1055" t="s">
        <v>2199</v>
      </c>
      <c r="K1055" s="21" t="s">
        <v>2200</v>
      </c>
      <c r="L1055" s="21" t="s">
        <v>582</v>
      </c>
      <c r="M1055" t="s">
        <v>375</v>
      </c>
      <c r="N1055" t="s">
        <v>159</v>
      </c>
      <c r="R1055" t="s">
        <v>584</v>
      </c>
      <c r="S1055" t="s">
        <v>2199</v>
      </c>
      <c r="T1055" t="s">
        <v>1249</v>
      </c>
      <c r="U1055" t="s">
        <v>2201</v>
      </c>
      <c r="V1055" t="s">
        <v>589</v>
      </c>
      <c r="W1055" t="s">
        <v>2202</v>
      </c>
    </row>
    <row r="1056" spans="1:23" ht="15" customHeight="1" x14ac:dyDescent="0.3">
      <c r="A1056" t="s">
        <v>8</v>
      </c>
      <c r="B1056">
        <v>258</v>
      </c>
      <c r="C1056" t="s">
        <v>577</v>
      </c>
      <c r="D1056" t="s">
        <v>578</v>
      </c>
      <c r="E1056" t="s">
        <v>34</v>
      </c>
      <c r="F1056" t="s">
        <v>579</v>
      </c>
      <c r="G1056" t="s">
        <v>36</v>
      </c>
      <c r="H1056" t="s">
        <v>182</v>
      </c>
      <c r="I1056" t="s">
        <v>578</v>
      </c>
      <c r="J1056" t="s">
        <v>2203</v>
      </c>
      <c r="K1056" s="21" t="s">
        <v>2204</v>
      </c>
      <c r="L1056" s="21" t="s">
        <v>582</v>
      </c>
      <c r="M1056" t="s">
        <v>375</v>
      </c>
      <c r="N1056" t="s">
        <v>159</v>
      </c>
      <c r="R1056" t="s">
        <v>584</v>
      </c>
      <c r="S1056" t="s">
        <v>2203</v>
      </c>
      <c r="T1056" t="s">
        <v>1249</v>
      </c>
      <c r="U1056" t="s">
        <v>2205</v>
      </c>
      <c r="V1056" t="s">
        <v>589</v>
      </c>
      <c r="W1056" t="s">
        <v>2202</v>
      </c>
    </row>
    <row r="1057" spans="1:23" ht="15" customHeight="1" x14ac:dyDescent="0.3">
      <c r="A1057" t="s">
        <v>8</v>
      </c>
      <c r="B1057">
        <v>258</v>
      </c>
      <c r="C1057" t="s">
        <v>577</v>
      </c>
      <c r="D1057" t="s">
        <v>578</v>
      </c>
      <c r="E1057" t="s">
        <v>34</v>
      </c>
      <c r="F1057" t="s">
        <v>579</v>
      </c>
      <c r="G1057" t="s">
        <v>36</v>
      </c>
      <c r="H1057" t="s">
        <v>1242</v>
      </c>
      <c r="I1057" t="s">
        <v>578</v>
      </c>
      <c r="J1057" t="s">
        <v>2206</v>
      </c>
      <c r="K1057" s="21" t="s">
        <v>2207</v>
      </c>
      <c r="L1057" s="21" t="s">
        <v>582</v>
      </c>
      <c r="M1057" t="s">
        <v>375</v>
      </c>
      <c r="N1057" t="s">
        <v>159</v>
      </c>
      <c r="R1057" t="s">
        <v>584</v>
      </c>
      <c r="S1057" t="s">
        <v>2206</v>
      </c>
      <c r="T1057" t="s">
        <v>1249</v>
      </c>
      <c r="U1057" t="s">
        <v>1286</v>
      </c>
      <c r="V1057" t="s">
        <v>589</v>
      </c>
      <c r="W1057" t="s">
        <v>2202</v>
      </c>
    </row>
    <row r="1058" spans="1:23" ht="15" customHeight="1" x14ac:dyDescent="0.3">
      <c r="A1058" t="s">
        <v>8</v>
      </c>
      <c r="B1058">
        <v>258</v>
      </c>
      <c r="C1058" t="s">
        <v>577</v>
      </c>
      <c r="D1058" t="s">
        <v>578</v>
      </c>
      <c r="E1058" t="s">
        <v>34</v>
      </c>
      <c r="F1058" t="s">
        <v>579</v>
      </c>
      <c r="G1058" t="s">
        <v>36</v>
      </c>
      <c r="H1058" t="s">
        <v>425</v>
      </c>
      <c r="I1058" t="s">
        <v>578</v>
      </c>
      <c r="J1058" t="s">
        <v>2208</v>
      </c>
      <c r="K1058" s="21" t="s">
        <v>2209</v>
      </c>
      <c r="L1058" s="21" t="s">
        <v>582</v>
      </c>
      <c r="M1058" t="s">
        <v>375</v>
      </c>
      <c r="N1058" t="s">
        <v>159</v>
      </c>
      <c r="R1058" t="s">
        <v>584</v>
      </c>
      <c r="S1058" t="s">
        <v>2208</v>
      </c>
      <c r="T1058" t="s">
        <v>1290</v>
      </c>
      <c r="U1058" t="s">
        <v>1291</v>
      </c>
      <c r="V1058" t="s">
        <v>2210</v>
      </c>
      <c r="W1058" t="s">
        <v>2211</v>
      </c>
    </row>
    <row r="1059" spans="1:23" ht="15" customHeight="1" x14ac:dyDescent="0.3">
      <c r="A1059" t="s">
        <v>8</v>
      </c>
      <c r="B1059">
        <v>258</v>
      </c>
      <c r="C1059" t="s">
        <v>577</v>
      </c>
      <c r="D1059" t="s">
        <v>578</v>
      </c>
      <c r="E1059" t="s">
        <v>34</v>
      </c>
      <c r="F1059" t="s">
        <v>579</v>
      </c>
      <c r="G1059" t="s">
        <v>36</v>
      </c>
      <c r="H1059" t="s">
        <v>996</v>
      </c>
      <c r="I1059" t="s">
        <v>578</v>
      </c>
      <c r="J1059" t="s">
        <v>2212</v>
      </c>
      <c r="K1059" s="21" t="s">
        <v>2213</v>
      </c>
      <c r="L1059" s="21" t="s">
        <v>582</v>
      </c>
      <c r="M1059" t="s">
        <v>375</v>
      </c>
      <c r="N1059" t="s">
        <v>159</v>
      </c>
      <c r="R1059" t="s">
        <v>584</v>
      </c>
      <c r="S1059" t="s">
        <v>2212</v>
      </c>
      <c r="T1059" t="s">
        <v>1290</v>
      </c>
      <c r="U1059" t="s">
        <v>2036</v>
      </c>
      <c r="V1059" t="s">
        <v>585</v>
      </c>
      <c r="W1059" t="s">
        <v>2214</v>
      </c>
    </row>
    <row r="1060" spans="1:23" ht="15" customHeight="1" x14ac:dyDescent="0.3">
      <c r="A1060" t="s">
        <v>8</v>
      </c>
      <c r="B1060">
        <v>258</v>
      </c>
      <c r="C1060" t="s">
        <v>577</v>
      </c>
      <c r="D1060" t="s">
        <v>578</v>
      </c>
      <c r="E1060" t="s">
        <v>34</v>
      </c>
      <c r="F1060" t="s">
        <v>579</v>
      </c>
      <c r="G1060" t="s">
        <v>36</v>
      </c>
      <c r="H1060" t="s">
        <v>1000</v>
      </c>
      <c r="I1060" t="s">
        <v>578</v>
      </c>
      <c r="J1060" t="s">
        <v>2215</v>
      </c>
      <c r="K1060" s="21" t="s">
        <v>2216</v>
      </c>
      <c r="L1060" s="21" t="s">
        <v>582</v>
      </c>
      <c r="M1060" t="s">
        <v>375</v>
      </c>
      <c r="N1060" t="s">
        <v>159</v>
      </c>
      <c r="R1060" t="s">
        <v>584</v>
      </c>
      <c r="S1060" t="s">
        <v>2215</v>
      </c>
      <c r="T1060" t="s">
        <v>1290</v>
      </c>
      <c r="U1060" t="s">
        <v>1296</v>
      </c>
      <c r="V1060" t="s">
        <v>585</v>
      </c>
      <c r="W1060" t="s">
        <v>2214</v>
      </c>
    </row>
    <row r="1061" spans="1:23" ht="15" customHeight="1" x14ac:dyDescent="0.3">
      <c r="A1061" t="s">
        <v>8</v>
      </c>
      <c r="B1061">
        <v>258</v>
      </c>
      <c r="C1061" t="s">
        <v>577</v>
      </c>
      <c r="D1061" t="s">
        <v>578</v>
      </c>
      <c r="E1061" t="s">
        <v>34</v>
      </c>
      <c r="F1061" t="s">
        <v>579</v>
      </c>
      <c r="G1061" t="s">
        <v>36</v>
      </c>
      <c r="H1061" t="s">
        <v>1272</v>
      </c>
      <c r="I1061" t="s">
        <v>578</v>
      </c>
      <c r="J1061" t="s">
        <v>2217</v>
      </c>
      <c r="K1061" s="21" t="s">
        <v>2218</v>
      </c>
      <c r="L1061" s="21" t="s">
        <v>582</v>
      </c>
      <c r="M1061" t="s">
        <v>375</v>
      </c>
      <c r="N1061" t="s">
        <v>159</v>
      </c>
      <c r="R1061" t="s">
        <v>584</v>
      </c>
      <c r="S1061" t="s">
        <v>2217</v>
      </c>
      <c r="T1061" t="s">
        <v>1249</v>
      </c>
      <c r="U1061" t="s">
        <v>1621</v>
      </c>
      <c r="V1061" t="s">
        <v>2219</v>
      </c>
      <c r="W1061" t="s">
        <v>2220</v>
      </c>
    </row>
    <row r="1062" spans="1:23" ht="15" customHeight="1" x14ac:dyDescent="0.3">
      <c r="A1062" t="s">
        <v>8</v>
      </c>
      <c r="B1062">
        <v>258</v>
      </c>
      <c r="C1062" t="s">
        <v>577</v>
      </c>
      <c r="D1062" t="s">
        <v>578</v>
      </c>
      <c r="E1062" t="s">
        <v>34</v>
      </c>
      <c r="F1062" t="s">
        <v>579</v>
      </c>
      <c r="G1062" t="s">
        <v>36</v>
      </c>
      <c r="H1062" t="s">
        <v>1276</v>
      </c>
      <c r="I1062" t="s">
        <v>578</v>
      </c>
      <c r="J1062" t="s">
        <v>2221</v>
      </c>
      <c r="K1062" s="21" t="s">
        <v>2222</v>
      </c>
      <c r="L1062" s="21" t="s">
        <v>582</v>
      </c>
      <c r="M1062" t="s">
        <v>375</v>
      </c>
      <c r="N1062" t="s">
        <v>159</v>
      </c>
      <c r="R1062" t="s">
        <v>584</v>
      </c>
      <c r="S1062" t="s">
        <v>2221</v>
      </c>
      <c r="T1062" t="s">
        <v>1249</v>
      </c>
      <c r="U1062" t="s">
        <v>1624</v>
      </c>
      <c r="V1062" t="s">
        <v>2219</v>
      </c>
      <c r="W1062" t="s">
        <v>2220</v>
      </c>
    </row>
    <row r="1063" spans="1:23" ht="15" customHeight="1" x14ac:dyDescent="0.3">
      <c r="A1063" t="s">
        <v>8</v>
      </c>
      <c r="B1063">
        <v>259</v>
      </c>
      <c r="C1063" t="s">
        <v>577</v>
      </c>
      <c r="D1063" t="s">
        <v>591</v>
      </c>
      <c r="E1063" t="s">
        <v>153</v>
      </c>
      <c r="F1063" t="s">
        <v>592</v>
      </c>
      <c r="G1063" t="s">
        <v>36</v>
      </c>
      <c r="H1063" t="s">
        <v>37</v>
      </c>
      <c r="I1063" t="s">
        <v>591</v>
      </c>
      <c r="J1063" t="s">
        <v>593</v>
      </c>
      <c r="K1063" t="s">
        <v>594</v>
      </c>
      <c r="L1063" s="21" t="s">
        <v>595</v>
      </c>
      <c r="M1063" t="s">
        <v>190</v>
      </c>
      <c r="N1063" t="s">
        <v>596</v>
      </c>
      <c r="R1063" t="s">
        <v>197</v>
      </c>
      <c r="S1063" t="s">
        <v>593</v>
      </c>
      <c r="T1063" t="s">
        <v>45</v>
      </c>
      <c r="U1063" t="s">
        <v>46</v>
      </c>
      <c r="V1063" t="s">
        <v>598</v>
      </c>
      <c r="W1063" t="s">
        <v>599</v>
      </c>
    </row>
    <row r="1064" spans="1:23" ht="15" customHeight="1" x14ac:dyDescent="0.3">
      <c r="A1064" t="s">
        <v>8</v>
      </c>
      <c r="B1064">
        <v>259</v>
      </c>
      <c r="C1064" t="s">
        <v>577</v>
      </c>
      <c r="D1064" t="s">
        <v>591</v>
      </c>
      <c r="E1064" t="s">
        <v>153</v>
      </c>
      <c r="F1064" t="s">
        <v>592</v>
      </c>
      <c r="G1064" t="s">
        <v>36</v>
      </c>
      <c r="H1064" t="s">
        <v>52</v>
      </c>
      <c r="I1064" t="s">
        <v>591</v>
      </c>
      <c r="J1064" t="s">
        <v>2223</v>
      </c>
      <c r="K1064" s="21" t="s">
        <v>2224</v>
      </c>
      <c r="L1064" s="21" t="s">
        <v>595</v>
      </c>
      <c r="M1064" t="s">
        <v>190</v>
      </c>
      <c r="N1064" t="s">
        <v>596</v>
      </c>
      <c r="R1064" t="s">
        <v>197</v>
      </c>
      <c r="S1064" t="s">
        <v>2223</v>
      </c>
      <c r="T1064" t="s">
        <v>45</v>
      </c>
      <c r="U1064" t="s">
        <v>1257</v>
      </c>
      <c r="V1064" t="s">
        <v>602</v>
      </c>
      <c r="W1064" t="s">
        <v>2225</v>
      </c>
    </row>
    <row r="1065" spans="1:23" ht="15" customHeight="1" x14ac:dyDescent="0.3">
      <c r="A1065" t="s">
        <v>8</v>
      </c>
      <c r="B1065">
        <v>259</v>
      </c>
      <c r="C1065" t="s">
        <v>577</v>
      </c>
      <c r="D1065" t="s">
        <v>591</v>
      </c>
      <c r="E1065" t="s">
        <v>153</v>
      </c>
      <c r="F1065" t="s">
        <v>592</v>
      </c>
      <c r="G1065" t="s">
        <v>36</v>
      </c>
      <c r="H1065" t="s">
        <v>57</v>
      </c>
      <c r="I1065" t="s">
        <v>591</v>
      </c>
      <c r="J1065" t="s">
        <v>600</v>
      </c>
      <c r="K1065" s="21" t="s">
        <v>601</v>
      </c>
      <c r="L1065" s="21" t="s">
        <v>595</v>
      </c>
      <c r="M1065" t="s">
        <v>190</v>
      </c>
      <c r="N1065" t="s">
        <v>596</v>
      </c>
      <c r="R1065" t="s">
        <v>197</v>
      </c>
      <c r="S1065" t="s">
        <v>600</v>
      </c>
      <c r="T1065" t="s">
        <v>45</v>
      </c>
      <c r="U1065" t="s">
        <v>90</v>
      </c>
      <c r="V1065" t="s">
        <v>602</v>
      </c>
      <c r="W1065" t="s">
        <v>603</v>
      </c>
    </row>
    <row r="1066" spans="1:23" ht="15" customHeight="1" x14ac:dyDescent="0.3">
      <c r="A1066" t="s">
        <v>8</v>
      </c>
      <c r="B1066">
        <v>259</v>
      </c>
      <c r="C1066" t="s">
        <v>577</v>
      </c>
      <c r="D1066" t="s">
        <v>591</v>
      </c>
      <c r="E1066" t="s">
        <v>153</v>
      </c>
      <c r="F1066" t="s">
        <v>592</v>
      </c>
      <c r="G1066" t="s">
        <v>36</v>
      </c>
      <c r="H1066" t="s">
        <v>49</v>
      </c>
      <c r="I1066" t="s">
        <v>591</v>
      </c>
      <c r="J1066" t="s">
        <v>2226</v>
      </c>
      <c r="K1066" s="21" t="s">
        <v>2227</v>
      </c>
      <c r="L1066" s="21" t="s">
        <v>595</v>
      </c>
      <c r="M1066" t="s">
        <v>190</v>
      </c>
      <c r="N1066" t="s">
        <v>596</v>
      </c>
      <c r="R1066" t="s">
        <v>197</v>
      </c>
      <c r="S1066" t="s">
        <v>2226</v>
      </c>
      <c r="T1066" t="s">
        <v>1290</v>
      </c>
      <c r="U1066" t="s">
        <v>1291</v>
      </c>
      <c r="V1066" t="s">
        <v>2228</v>
      </c>
      <c r="W1066" t="s">
        <v>2229</v>
      </c>
    </row>
    <row r="1067" spans="1:23" ht="15" customHeight="1" x14ac:dyDescent="0.3">
      <c r="A1067" t="s">
        <v>8</v>
      </c>
      <c r="B1067">
        <v>259</v>
      </c>
      <c r="C1067" t="s">
        <v>577</v>
      </c>
      <c r="D1067" t="s">
        <v>591</v>
      </c>
      <c r="E1067" t="s">
        <v>153</v>
      </c>
      <c r="F1067" t="s">
        <v>592</v>
      </c>
      <c r="G1067" t="s">
        <v>36</v>
      </c>
      <c r="H1067" t="s">
        <v>87</v>
      </c>
      <c r="I1067" t="s">
        <v>591</v>
      </c>
      <c r="J1067" t="s">
        <v>2230</v>
      </c>
      <c r="K1067" s="21" t="s">
        <v>2231</v>
      </c>
      <c r="L1067" s="21" t="s">
        <v>595</v>
      </c>
      <c r="M1067" t="s">
        <v>190</v>
      </c>
      <c r="N1067" t="s">
        <v>596</v>
      </c>
      <c r="R1067" t="s">
        <v>197</v>
      </c>
      <c r="S1067" t="s">
        <v>2230</v>
      </c>
      <c r="T1067" t="s">
        <v>1290</v>
      </c>
      <c r="U1067" t="s">
        <v>2036</v>
      </c>
      <c r="V1067" t="s">
        <v>2228</v>
      </c>
      <c r="W1067" t="s">
        <v>2229</v>
      </c>
    </row>
    <row r="1068" spans="1:23" ht="15" customHeight="1" x14ac:dyDescent="0.3">
      <c r="A1068" t="s">
        <v>8</v>
      </c>
      <c r="B1068">
        <v>259</v>
      </c>
      <c r="C1068" t="s">
        <v>577</v>
      </c>
      <c r="D1068" t="s">
        <v>591</v>
      </c>
      <c r="E1068" t="s">
        <v>153</v>
      </c>
      <c r="F1068" t="s">
        <v>592</v>
      </c>
      <c r="G1068" t="s">
        <v>36</v>
      </c>
      <c r="H1068" t="s">
        <v>421</v>
      </c>
      <c r="I1068" t="s">
        <v>591</v>
      </c>
      <c r="J1068" t="s">
        <v>2232</v>
      </c>
      <c r="K1068" s="21" t="s">
        <v>2233</v>
      </c>
      <c r="L1068" s="21" t="s">
        <v>595</v>
      </c>
      <c r="M1068" t="s">
        <v>190</v>
      </c>
      <c r="N1068" t="s">
        <v>596</v>
      </c>
      <c r="R1068" t="s">
        <v>197</v>
      </c>
      <c r="S1068" t="s">
        <v>2232</v>
      </c>
      <c r="T1068" t="s">
        <v>1290</v>
      </c>
      <c r="U1068" t="s">
        <v>1296</v>
      </c>
      <c r="V1068" t="s">
        <v>2228</v>
      </c>
      <c r="W1068" t="s">
        <v>2229</v>
      </c>
    </row>
    <row r="1069" spans="1:23" ht="15" customHeight="1" x14ac:dyDescent="0.3">
      <c r="A1069" t="s">
        <v>8</v>
      </c>
      <c r="B1069">
        <v>260</v>
      </c>
      <c r="C1069" t="s">
        <v>577</v>
      </c>
      <c r="D1069" t="s">
        <v>604</v>
      </c>
      <c r="E1069" t="s">
        <v>605</v>
      </c>
      <c r="F1069" t="s">
        <v>2234</v>
      </c>
      <c r="G1069" t="s">
        <v>36</v>
      </c>
      <c r="H1069" t="s">
        <v>37</v>
      </c>
      <c r="I1069" t="s">
        <v>604</v>
      </c>
      <c r="J1069" t="s">
        <v>607</v>
      </c>
      <c r="K1069" t="s">
        <v>608</v>
      </c>
      <c r="L1069" s="21" t="s">
        <v>609</v>
      </c>
      <c r="M1069" t="s">
        <v>610</v>
      </c>
      <c r="N1069" t="s">
        <v>611</v>
      </c>
      <c r="R1069" t="s">
        <v>2235</v>
      </c>
      <c r="S1069" t="s">
        <v>607</v>
      </c>
      <c r="T1069" t="s">
        <v>45</v>
      </c>
      <c r="U1069" t="s">
        <v>46</v>
      </c>
      <c r="V1069" t="s">
        <v>614</v>
      </c>
      <c r="W1069" t="s">
        <v>615</v>
      </c>
    </row>
    <row r="1070" spans="1:23" ht="15" customHeight="1" x14ac:dyDescent="0.3">
      <c r="A1070" t="s">
        <v>8</v>
      </c>
      <c r="B1070">
        <v>260</v>
      </c>
      <c r="C1070" t="s">
        <v>577</v>
      </c>
      <c r="D1070" t="s">
        <v>604</v>
      </c>
      <c r="E1070" t="s">
        <v>605</v>
      </c>
      <c r="F1070" t="s">
        <v>2234</v>
      </c>
      <c r="G1070" t="s">
        <v>36</v>
      </c>
      <c r="H1070" t="s">
        <v>52</v>
      </c>
      <c r="I1070" t="s">
        <v>604</v>
      </c>
      <c r="J1070" t="s">
        <v>2236</v>
      </c>
      <c r="K1070" s="21" t="s">
        <v>2237</v>
      </c>
      <c r="L1070" s="21" t="s">
        <v>609</v>
      </c>
      <c r="M1070" t="s">
        <v>610</v>
      </c>
      <c r="N1070" t="s">
        <v>611</v>
      </c>
      <c r="R1070" t="s">
        <v>2235</v>
      </c>
      <c r="S1070" t="s">
        <v>2236</v>
      </c>
      <c r="T1070" t="s">
        <v>45</v>
      </c>
      <c r="U1070" t="s">
        <v>1257</v>
      </c>
      <c r="V1070" t="s">
        <v>618</v>
      </c>
      <c r="W1070" t="s">
        <v>2238</v>
      </c>
    </row>
    <row r="1071" spans="1:23" ht="15" customHeight="1" x14ac:dyDescent="0.3">
      <c r="A1071" t="s">
        <v>8</v>
      </c>
      <c r="B1071">
        <v>260</v>
      </c>
      <c r="C1071" t="s">
        <v>577</v>
      </c>
      <c r="D1071" t="s">
        <v>604</v>
      </c>
      <c r="E1071" t="s">
        <v>605</v>
      </c>
      <c r="F1071" t="s">
        <v>2234</v>
      </c>
      <c r="G1071" t="s">
        <v>36</v>
      </c>
      <c r="H1071" t="s">
        <v>57</v>
      </c>
      <c r="I1071" t="s">
        <v>604</v>
      </c>
      <c r="J1071" t="s">
        <v>616</v>
      </c>
      <c r="K1071" s="21" t="s">
        <v>617</v>
      </c>
      <c r="L1071" s="21" t="s">
        <v>609</v>
      </c>
      <c r="M1071" t="s">
        <v>610</v>
      </c>
      <c r="N1071" t="s">
        <v>611</v>
      </c>
      <c r="R1071" t="s">
        <v>2235</v>
      </c>
      <c r="S1071" t="s">
        <v>616</v>
      </c>
      <c r="T1071" t="s">
        <v>45</v>
      </c>
      <c r="U1071" t="s">
        <v>90</v>
      </c>
      <c r="V1071" t="s">
        <v>618</v>
      </c>
      <c r="W1071" t="s">
        <v>619</v>
      </c>
    </row>
    <row r="1072" spans="1:23" ht="15" customHeight="1" x14ac:dyDescent="0.3">
      <c r="A1072" t="s">
        <v>8</v>
      </c>
      <c r="B1072">
        <v>260</v>
      </c>
      <c r="C1072" t="s">
        <v>577</v>
      </c>
      <c r="D1072" t="s">
        <v>604</v>
      </c>
      <c r="E1072" t="s">
        <v>605</v>
      </c>
      <c r="F1072" t="s">
        <v>2234</v>
      </c>
      <c r="G1072" t="s">
        <v>36</v>
      </c>
      <c r="H1072" t="s">
        <v>49</v>
      </c>
      <c r="I1072" t="s">
        <v>604</v>
      </c>
      <c r="J1072" t="s">
        <v>2239</v>
      </c>
      <c r="K1072" s="21" t="s">
        <v>2240</v>
      </c>
      <c r="L1072" s="21" t="s">
        <v>609</v>
      </c>
      <c r="M1072" t="s">
        <v>610</v>
      </c>
      <c r="N1072" t="s">
        <v>611</v>
      </c>
      <c r="R1072" t="s">
        <v>2235</v>
      </c>
      <c r="S1072" t="s">
        <v>2239</v>
      </c>
      <c r="T1072" t="s">
        <v>1249</v>
      </c>
      <c r="U1072" t="s">
        <v>2005</v>
      </c>
      <c r="V1072" t="s">
        <v>2241</v>
      </c>
      <c r="W1072" t="s">
        <v>2242</v>
      </c>
    </row>
    <row r="1073" spans="1:23" ht="15" customHeight="1" x14ac:dyDescent="0.3">
      <c r="A1073" t="s">
        <v>8</v>
      </c>
      <c r="B1073">
        <v>260</v>
      </c>
      <c r="C1073" t="s">
        <v>577</v>
      </c>
      <c r="D1073" t="s">
        <v>604</v>
      </c>
      <c r="E1073" t="s">
        <v>605</v>
      </c>
      <c r="F1073" t="s">
        <v>2234</v>
      </c>
      <c r="G1073" t="s">
        <v>36</v>
      </c>
      <c r="H1073" t="s">
        <v>87</v>
      </c>
      <c r="I1073" t="s">
        <v>604</v>
      </c>
      <c r="J1073" t="s">
        <v>2243</v>
      </c>
      <c r="K1073" s="21" t="s">
        <v>2244</v>
      </c>
      <c r="L1073" s="21" t="s">
        <v>609</v>
      </c>
      <c r="M1073" t="s">
        <v>610</v>
      </c>
      <c r="N1073" t="s">
        <v>611</v>
      </c>
      <c r="R1073" t="s">
        <v>2235</v>
      </c>
      <c r="S1073" t="s">
        <v>2243</v>
      </c>
      <c r="T1073" t="s">
        <v>1249</v>
      </c>
      <c r="U1073" t="s">
        <v>2201</v>
      </c>
      <c r="V1073" t="s">
        <v>618</v>
      </c>
      <c r="W1073" t="s">
        <v>2245</v>
      </c>
    </row>
    <row r="1074" spans="1:23" ht="15" customHeight="1" x14ac:dyDescent="0.3">
      <c r="A1074" t="s">
        <v>8</v>
      </c>
      <c r="B1074">
        <v>260</v>
      </c>
      <c r="C1074" t="s">
        <v>577</v>
      </c>
      <c r="D1074" t="s">
        <v>604</v>
      </c>
      <c r="E1074" t="s">
        <v>605</v>
      </c>
      <c r="F1074" t="s">
        <v>2234</v>
      </c>
      <c r="G1074" t="s">
        <v>36</v>
      </c>
      <c r="H1074" t="s">
        <v>421</v>
      </c>
      <c r="I1074" t="s">
        <v>604</v>
      </c>
      <c r="J1074" t="s">
        <v>2246</v>
      </c>
      <c r="K1074" s="21" t="s">
        <v>2247</v>
      </c>
      <c r="L1074" s="21" t="s">
        <v>609</v>
      </c>
      <c r="M1074" t="s">
        <v>610</v>
      </c>
      <c r="N1074" t="s">
        <v>611</v>
      </c>
      <c r="R1074" t="s">
        <v>2235</v>
      </c>
      <c r="S1074" t="s">
        <v>2246</v>
      </c>
      <c r="T1074" t="s">
        <v>1249</v>
      </c>
      <c r="U1074" t="s">
        <v>2205</v>
      </c>
      <c r="V1074" t="s">
        <v>618</v>
      </c>
      <c r="W1074" t="s">
        <v>2245</v>
      </c>
    </row>
    <row r="1075" spans="1:23" ht="15" customHeight="1" x14ac:dyDescent="0.3">
      <c r="A1075" t="s">
        <v>8</v>
      </c>
      <c r="B1075">
        <v>322</v>
      </c>
      <c r="C1075" t="s">
        <v>620</v>
      </c>
      <c r="D1075" t="s">
        <v>621</v>
      </c>
      <c r="E1075" t="s">
        <v>34</v>
      </c>
      <c r="F1075" t="s">
        <v>622</v>
      </c>
      <c r="G1075" t="s">
        <v>36</v>
      </c>
      <c r="H1075" t="s">
        <v>37</v>
      </c>
      <c r="I1075" t="s">
        <v>621</v>
      </c>
      <c r="J1075" t="s">
        <v>2248</v>
      </c>
      <c r="K1075" t="s">
        <v>2249</v>
      </c>
      <c r="L1075" s="21" t="s">
        <v>625</v>
      </c>
      <c r="M1075" t="s">
        <v>626</v>
      </c>
      <c r="N1075" t="s">
        <v>42</v>
      </c>
      <c r="R1075" t="s">
        <v>628</v>
      </c>
      <c r="S1075" t="s">
        <v>2248</v>
      </c>
      <c r="T1075" t="s">
        <v>45</v>
      </c>
      <c r="U1075" t="s">
        <v>1257</v>
      </c>
      <c r="V1075" t="s">
        <v>629</v>
      </c>
      <c r="W1075" t="s">
        <v>2250</v>
      </c>
    </row>
    <row r="1076" spans="1:23" ht="15" customHeight="1" x14ac:dyDescent="0.3">
      <c r="A1076" t="s">
        <v>8</v>
      </c>
      <c r="B1076">
        <v>322</v>
      </c>
      <c r="C1076" t="s">
        <v>620</v>
      </c>
      <c r="D1076" t="s">
        <v>621</v>
      </c>
      <c r="E1076" t="s">
        <v>34</v>
      </c>
      <c r="F1076" t="s">
        <v>622</v>
      </c>
      <c r="G1076" t="s">
        <v>36</v>
      </c>
      <c r="H1076" t="s">
        <v>52</v>
      </c>
      <c r="I1076" t="s">
        <v>621</v>
      </c>
      <c r="J1076" t="s">
        <v>623</v>
      </c>
      <c r="K1076" s="21" t="s">
        <v>624</v>
      </c>
      <c r="L1076" s="21" t="s">
        <v>625</v>
      </c>
      <c r="M1076" t="s">
        <v>626</v>
      </c>
      <c r="N1076" t="s">
        <v>42</v>
      </c>
      <c r="R1076" t="s">
        <v>628</v>
      </c>
      <c r="S1076" t="s">
        <v>623</v>
      </c>
      <c r="T1076" t="s">
        <v>45</v>
      </c>
      <c r="U1076" t="s">
        <v>90</v>
      </c>
      <c r="V1076" t="s">
        <v>629</v>
      </c>
      <c r="W1076" t="s">
        <v>630</v>
      </c>
    </row>
    <row r="1077" spans="1:23" ht="15" customHeight="1" x14ac:dyDescent="0.3">
      <c r="A1077" t="s">
        <v>8</v>
      </c>
      <c r="B1077">
        <v>322</v>
      </c>
      <c r="C1077" t="s">
        <v>620</v>
      </c>
      <c r="D1077" t="s">
        <v>621</v>
      </c>
      <c r="E1077" t="s">
        <v>34</v>
      </c>
      <c r="F1077" t="s">
        <v>622</v>
      </c>
      <c r="G1077" t="s">
        <v>36</v>
      </c>
      <c r="H1077" t="s">
        <v>57</v>
      </c>
      <c r="I1077" t="s">
        <v>621</v>
      </c>
      <c r="J1077" t="s">
        <v>631</v>
      </c>
      <c r="K1077" s="21" t="s">
        <v>632</v>
      </c>
      <c r="L1077" s="21" t="s">
        <v>625</v>
      </c>
      <c r="M1077" t="s">
        <v>626</v>
      </c>
      <c r="N1077" t="s">
        <v>42</v>
      </c>
      <c r="R1077" t="s">
        <v>628</v>
      </c>
      <c r="S1077" t="s">
        <v>631</v>
      </c>
      <c r="T1077" t="s">
        <v>45</v>
      </c>
      <c r="U1077" t="s">
        <v>46</v>
      </c>
      <c r="V1077" t="s">
        <v>629</v>
      </c>
      <c r="W1077" t="s">
        <v>633</v>
      </c>
    </row>
    <row r="1078" spans="1:23" ht="15" customHeight="1" x14ac:dyDescent="0.3">
      <c r="A1078" t="s">
        <v>8</v>
      </c>
      <c r="B1078">
        <v>324</v>
      </c>
      <c r="C1078" t="s">
        <v>620</v>
      </c>
      <c r="D1078" t="s">
        <v>2251</v>
      </c>
      <c r="E1078" t="s">
        <v>840</v>
      </c>
      <c r="F1078" t="s">
        <v>2252</v>
      </c>
      <c r="G1078" t="s">
        <v>36</v>
      </c>
      <c r="H1078" t="s">
        <v>37</v>
      </c>
      <c r="I1078" t="s">
        <v>2251</v>
      </c>
      <c r="J1078" t="s">
        <v>2253</v>
      </c>
      <c r="K1078" t="s">
        <v>2254</v>
      </c>
      <c r="L1078" s="21" t="s">
        <v>2255</v>
      </c>
      <c r="M1078" t="s">
        <v>2256</v>
      </c>
      <c r="N1078" t="s">
        <v>846</v>
      </c>
      <c r="R1078" t="s">
        <v>2257</v>
      </c>
      <c r="S1078" t="s">
        <v>2253</v>
      </c>
      <c r="T1078" t="s">
        <v>45</v>
      </c>
      <c r="U1078" t="s">
        <v>1573</v>
      </c>
      <c r="V1078" t="s">
        <v>2258</v>
      </c>
      <c r="W1078" t="s">
        <v>2259</v>
      </c>
    </row>
    <row r="1079" spans="1:23" ht="15" customHeight="1" x14ac:dyDescent="0.3">
      <c r="A1079" t="s">
        <v>8</v>
      </c>
      <c r="B1079">
        <v>324</v>
      </c>
      <c r="C1079" t="s">
        <v>620</v>
      </c>
      <c r="D1079" t="s">
        <v>2251</v>
      </c>
      <c r="E1079" t="s">
        <v>840</v>
      </c>
      <c r="F1079" t="s">
        <v>2252</v>
      </c>
      <c r="G1079" t="s">
        <v>36</v>
      </c>
      <c r="H1079" t="s">
        <v>52</v>
      </c>
      <c r="I1079" t="s">
        <v>2251</v>
      </c>
      <c r="J1079" t="s">
        <v>2260</v>
      </c>
      <c r="K1079" s="21" t="s">
        <v>2261</v>
      </c>
      <c r="L1079" s="21" t="s">
        <v>2255</v>
      </c>
      <c r="M1079" t="s">
        <v>2256</v>
      </c>
      <c r="N1079" t="s">
        <v>846</v>
      </c>
      <c r="R1079" t="s">
        <v>2257</v>
      </c>
      <c r="S1079" t="s">
        <v>2260</v>
      </c>
      <c r="T1079" t="s">
        <v>1249</v>
      </c>
      <c r="U1079" t="s">
        <v>2262</v>
      </c>
      <c r="V1079" t="s">
        <v>2263</v>
      </c>
      <c r="W1079" t="s">
        <v>2264</v>
      </c>
    </row>
    <row r="1080" spans="1:23" ht="15" customHeight="1" x14ac:dyDescent="0.3">
      <c r="A1080" t="s">
        <v>8</v>
      </c>
      <c r="B1080">
        <v>325</v>
      </c>
      <c r="C1080" t="s">
        <v>620</v>
      </c>
      <c r="D1080" t="s">
        <v>2265</v>
      </c>
      <c r="E1080" t="s">
        <v>34</v>
      </c>
      <c r="F1080" t="s">
        <v>2266</v>
      </c>
      <c r="G1080" t="s">
        <v>36</v>
      </c>
      <c r="H1080" t="s">
        <v>2265</v>
      </c>
      <c r="I1080" t="s">
        <v>2265</v>
      </c>
      <c r="J1080" t="s">
        <v>2267</v>
      </c>
      <c r="K1080" t="s">
        <v>2268</v>
      </c>
      <c r="L1080" t="s">
        <v>2268</v>
      </c>
      <c r="M1080" t="s">
        <v>2269</v>
      </c>
      <c r="N1080" t="s">
        <v>42</v>
      </c>
      <c r="R1080" t="s">
        <v>2270</v>
      </c>
      <c r="S1080" t="s">
        <v>2267</v>
      </c>
      <c r="T1080" t="s">
        <v>45</v>
      </c>
      <c r="U1080" t="s">
        <v>1573</v>
      </c>
      <c r="V1080" t="s">
        <v>2271</v>
      </c>
      <c r="W1080" t="s">
        <v>2272</v>
      </c>
    </row>
    <row r="1081" spans="1:23" ht="15" customHeight="1" x14ac:dyDescent="0.3">
      <c r="A1081" t="s">
        <v>8</v>
      </c>
      <c r="B1081">
        <v>323</v>
      </c>
      <c r="C1081" t="s">
        <v>620</v>
      </c>
      <c r="D1081" t="s">
        <v>634</v>
      </c>
      <c r="E1081" t="s">
        <v>34</v>
      </c>
      <c r="F1081" t="s">
        <v>635</v>
      </c>
      <c r="G1081" t="s">
        <v>36</v>
      </c>
      <c r="H1081" t="s">
        <v>37</v>
      </c>
      <c r="I1081" t="s">
        <v>634</v>
      </c>
      <c r="J1081" t="s">
        <v>636</v>
      </c>
      <c r="K1081" t="s">
        <v>637</v>
      </c>
      <c r="L1081" s="21" t="s">
        <v>638</v>
      </c>
      <c r="M1081" t="s">
        <v>639</v>
      </c>
      <c r="N1081" t="s">
        <v>42</v>
      </c>
      <c r="R1081" t="s">
        <v>641</v>
      </c>
      <c r="S1081" t="s">
        <v>636</v>
      </c>
      <c r="T1081" t="s">
        <v>45</v>
      </c>
      <c r="U1081" t="s">
        <v>46</v>
      </c>
      <c r="V1081" t="s">
        <v>642</v>
      </c>
      <c r="W1081" t="s">
        <v>643</v>
      </c>
    </row>
    <row r="1082" spans="1:23" ht="15" customHeight="1" x14ac:dyDescent="0.3">
      <c r="A1082" t="s">
        <v>8</v>
      </c>
      <c r="B1082">
        <v>323</v>
      </c>
      <c r="C1082" t="s">
        <v>620</v>
      </c>
      <c r="D1082" t="s">
        <v>634</v>
      </c>
      <c r="E1082" t="s">
        <v>34</v>
      </c>
      <c r="F1082" t="s">
        <v>635</v>
      </c>
      <c r="G1082" t="s">
        <v>36</v>
      </c>
      <c r="H1082" t="s">
        <v>52</v>
      </c>
      <c r="I1082" t="s">
        <v>634</v>
      </c>
      <c r="J1082" t="s">
        <v>2273</v>
      </c>
      <c r="K1082" s="21" t="s">
        <v>2274</v>
      </c>
      <c r="L1082" s="21" t="s">
        <v>638</v>
      </c>
      <c r="M1082" t="s">
        <v>639</v>
      </c>
      <c r="N1082" t="s">
        <v>42</v>
      </c>
      <c r="R1082" t="s">
        <v>641</v>
      </c>
      <c r="S1082" t="s">
        <v>2273</v>
      </c>
      <c r="T1082" t="s">
        <v>45</v>
      </c>
      <c r="U1082" t="s">
        <v>1257</v>
      </c>
      <c r="V1082" t="s">
        <v>646</v>
      </c>
      <c r="W1082" t="s">
        <v>2275</v>
      </c>
    </row>
    <row r="1083" spans="1:23" ht="15" customHeight="1" x14ac:dyDescent="0.3">
      <c r="A1083" t="s">
        <v>8</v>
      </c>
      <c r="B1083">
        <v>323</v>
      </c>
      <c r="C1083" t="s">
        <v>620</v>
      </c>
      <c r="D1083" t="s">
        <v>634</v>
      </c>
      <c r="E1083" t="s">
        <v>34</v>
      </c>
      <c r="F1083" t="s">
        <v>635</v>
      </c>
      <c r="G1083" t="s">
        <v>36</v>
      </c>
      <c r="H1083" t="s">
        <v>57</v>
      </c>
      <c r="I1083" t="s">
        <v>634</v>
      </c>
      <c r="J1083" t="s">
        <v>644</v>
      </c>
      <c r="K1083" s="21" t="s">
        <v>645</v>
      </c>
      <c r="L1083" s="21" t="s">
        <v>638</v>
      </c>
      <c r="M1083" t="s">
        <v>639</v>
      </c>
      <c r="N1083" t="s">
        <v>42</v>
      </c>
      <c r="R1083" t="s">
        <v>641</v>
      </c>
      <c r="S1083" t="s">
        <v>644</v>
      </c>
      <c r="T1083" t="s">
        <v>45</v>
      </c>
      <c r="U1083" t="s">
        <v>90</v>
      </c>
      <c r="V1083" t="s">
        <v>646</v>
      </c>
      <c r="W1083" t="s">
        <v>647</v>
      </c>
    </row>
    <row r="1084" spans="1:23" ht="15" customHeight="1" x14ac:dyDescent="0.3">
      <c r="A1084" t="s">
        <v>8</v>
      </c>
      <c r="B1084">
        <v>323</v>
      </c>
      <c r="C1084" t="s">
        <v>620</v>
      </c>
      <c r="D1084" t="s">
        <v>634</v>
      </c>
      <c r="E1084" t="s">
        <v>34</v>
      </c>
      <c r="F1084" t="s">
        <v>635</v>
      </c>
      <c r="G1084" t="s">
        <v>36</v>
      </c>
      <c r="H1084" t="s">
        <v>49</v>
      </c>
      <c r="I1084" t="s">
        <v>634</v>
      </c>
      <c r="J1084" t="s">
        <v>2276</v>
      </c>
      <c r="K1084" s="21" t="s">
        <v>2277</v>
      </c>
      <c r="L1084" s="21" t="s">
        <v>638</v>
      </c>
      <c r="M1084" t="s">
        <v>639</v>
      </c>
      <c r="N1084" t="s">
        <v>42</v>
      </c>
      <c r="R1084" t="s">
        <v>641</v>
      </c>
      <c r="S1084" t="s">
        <v>2276</v>
      </c>
      <c r="T1084" t="s">
        <v>1231</v>
      </c>
      <c r="U1084" t="s">
        <v>1241</v>
      </c>
      <c r="V1084" t="s">
        <v>642</v>
      </c>
      <c r="W1084" t="s">
        <v>2278</v>
      </c>
    </row>
    <row r="1085" spans="1:23" ht="15" customHeight="1" x14ac:dyDescent="0.3">
      <c r="A1085" t="s">
        <v>8</v>
      </c>
      <c r="B1085">
        <v>323</v>
      </c>
      <c r="C1085" t="s">
        <v>620</v>
      </c>
      <c r="D1085" t="s">
        <v>634</v>
      </c>
      <c r="E1085" t="s">
        <v>34</v>
      </c>
      <c r="F1085" t="s">
        <v>635</v>
      </c>
      <c r="G1085" t="s">
        <v>36</v>
      </c>
      <c r="H1085" t="s">
        <v>87</v>
      </c>
      <c r="I1085" t="s">
        <v>634</v>
      </c>
      <c r="J1085" t="s">
        <v>2279</v>
      </c>
      <c r="K1085" s="21" t="s">
        <v>2280</v>
      </c>
      <c r="L1085" s="21" t="s">
        <v>638</v>
      </c>
      <c r="M1085" t="s">
        <v>639</v>
      </c>
      <c r="N1085" t="s">
        <v>42</v>
      </c>
      <c r="R1085" t="s">
        <v>641</v>
      </c>
      <c r="S1085" t="s">
        <v>2279</v>
      </c>
      <c r="T1085" t="s">
        <v>1249</v>
      </c>
      <c r="U1085" t="s">
        <v>1282</v>
      </c>
      <c r="V1085" t="s">
        <v>642</v>
      </c>
      <c r="W1085" t="s">
        <v>2278</v>
      </c>
    </row>
    <row r="1086" spans="1:23" ht="15" customHeight="1" x14ac:dyDescent="0.3">
      <c r="A1086" t="s">
        <v>8</v>
      </c>
      <c r="B1086">
        <v>73</v>
      </c>
      <c r="C1086" t="s">
        <v>648</v>
      </c>
      <c r="D1086" t="s">
        <v>649</v>
      </c>
      <c r="E1086" t="s">
        <v>34</v>
      </c>
      <c r="F1086" t="s">
        <v>650</v>
      </c>
      <c r="G1086" t="s">
        <v>36</v>
      </c>
      <c r="H1086" t="s">
        <v>37</v>
      </c>
      <c r="I1086" t="s">
        <v>649</v>
      </c>
      <c r="J1086" t="s">
        <v>651</v>
      </c>
      <c r="K1086" t="s">
        <v>652</v>
      </c>
      <c r="L1086" s="21" t="s">
        <v>653</v>
      </c>
      <c r="M1086" t="s">
        <v>375</v>
      </c>
      <c r="N1086" t="s">
        <v>159</v>
      </c>
      <c r="R1086" t="s">
        <v>655</v>
      </c>
      <c r="S1086" t="s">
        <v>651</v>
      </c>
      <c r="T1086" t="s">
        <v>45</v>
      </c>
      <c r="U1086" t="s">
        <v>46</v>
      </c>
      <c r="V1086" t="s">
        <v>656</v>
      </c>
      <c r="W1086" t="s">
        <v>657</v>
      </c>
    </row>
    <row r="1087" spans="1:23" ht="15" customHeight="1" x14ac:dyDescent="0.3">
      <c r="A1087" t="s">
        <v>8</v>
      </c>
      <c r="B1087">
        <v>73</v>
      </c>
      <c r="C1087" t="s">
        <v>648</v>
      </c>
      <c r="D1087" t="s">
        <v>649</v>
      </c>
      <c r="E1087" t="s">
        <v>34</v>
      </c>
      <c r="F1087" t="s">
        <v>650</v>
      </c>
      <c r="G1087" t="s">
        <v>36</v>
      </c>
      <c r="H1087" t="s">
        <v>52</v>
      </c>
      <c r="I1087" t="s">
        <v>649</v>
      </c>
      <c r="J1087" t="s">
        <v>2281</v>
      </c>
      <c r="K1087" s="21" t="s">
        <v>2282</v>
      </c>
      <c r="L1087" s="21" t="s">
        <v>653</v>
      </c>
      <c r="M1087" t="s">
        <v>375</v>
      </c>
      <c r="N1087" t="s">
        <v>159</v>
      </c>
      <c r="R1087" t="s">
        <v>655</v>
      </c>
      <c r="S1087" t="s">
        <v>2281</v>
      </c>
      <c r="T1087" t="s">
        <v>45</v>
      </c>
      <c r="U1087" t="s">
        <v>1428</v>
      </c>
      <c r="V1087" t="s">
        <v>656</v>
      </c>
      <c r="W1087" t="s">
        <v>2283</v>
      </c>
    </row>
    <row r="1088" spans="1:23" ht="15" customHeight="1" x14ac:dyDescent="0.3">
      <c r="A1088" t="s">
        <v>8</v>
      </c>
      <c r="B1088">
        <v>73</v>
      </c>
      <c r="C1088" t="s">
        <v>648</v>
      </c>
      <c r="D1088" t="s">
        <v>649</v>
      </c>
      <c r="E1088" t="s">
        <v>34</v>
      </c>
      <c r="F1088" t="s">
        <v>650</v>
      </c>
      <c r="G1088" t="s">
        <v>36</v>
      </c>
      <c r="H1088" t="s">
        <v>57</v>
      </c>
      <c r="I1088" t="s">
        <v>649</v>
      </c>
      <c r="J1088" t="s">
        <v>2284</v>
      </c>
      <c r="K1088" s="21" t="s">
        <v>2285</v>
      </c>
      <c r="L1088" s="21" t="s">
        <v>653</v>
      </c>
      <c r="M1088" t="s">
        <v>375</v>
      </c>
      <c r="N1088" t="s">
        <v>159</v>
      </c>
      <c r="R1088" t="s">
        <v>655</v>
      </c>
      <c r="S1088" t="s">
        <v>2284</v>
      </c>
      <c r="T1088" t="s">
        <v>45</v>
      </c>
      <c r="U1088" t="s">
        <v>1416</v>
      </c>
      <c r="V1088" t="s">
        <v>656</v>
      </c>
      <c r="W1088" t="s">
        <v>2286</v>
      </c>
    </row>
    <row r="1089" spans="1:23" ht="15" customHeight="1" x14ac:dyDescent="0.3">
      <c r="A1089" t="s">
        <v>8</v>
      </c>
      <c r="B1089">
        <v>73</v>
      </c>
      <c r="C1089" t="s">
        <v>648</v>
      </c>
      <c r="D1089" t="s">
        <v>649</v>
      </c>
      <c r="E1089" t="s">
        <v>34</v>
      </c>
      <c r="F1089" t="s">
        <v>650</v>
      </c>
      <c r="G1089" t="s">
        <v>36</v>
      </c>
      <c r="H1089" t="s">
        <v>49</v>
      </c>
      <c r="I1089" t="s">
        <v>649</v>
      </c>
      <c r="J1089" t="s">
        <v>2287</v>
      </c>
      <c r="K1089" s="21" t="s">
        <v>2288</v>
      </c>
      <c r="L1089" s="21" t="s">
        <v>653</v>
      </c>
      <c r="M1089" t="s">
        <v>375</v>
      </c>
      <c r="N1089" t="s">
        <v>159</v>
      </c>
      <c r="R1089" t="s">
        <v>655</v>
      </c>
      <c r="S1089" t="s">
        <v>2287</v>
      </c>
      <c r="T1089" t="s">
        <v>1544</v>
      </c>
      <c r="U1089" t="s">
        <v>1511</v>
      </c>
      <c r="V1089" t="s">
        <v>656</v>
      </c>
      <c r="W1089" t="s">
        <v>2289</v>
      </c>
    </row>
    <row r="1090" spans="1:23" ht="15" customHeight="1" x14ac:dyDescent="0.3">
      <c r="A1090" t="s">
        <v>8</v>
      </c>
      <c r="B1090">
        <v>73</v>
      </c>
      <c r="C1090" t="s">
        <v>648</v>
      </c>
      <c r="D1090" t="s">
        <v>649</v>
      </c>
      <c r="E1090" t="s">
        <v>34</v>
      </c>
      <c r="F1090" t="s">
        <v>650</v>
      </c>
      <c r="G1090" t="s">
        <v>36</v>
      </c>
      <c r="H1090" t="s">
        <v>87</v>
      </c>
      <c r="I1090" t="s">
        <v>649</v>
      </c>
      <c r="J1090" t="s">
        <v>2290</v>
      </c>
      <c r="K1090" s="21" t="s">
        <v>2291</v>
      </c>
      <c r="L1090" s="21" t="s">
        <v>653</v>
      </c>
      <c r="M1090" t="s">
        <v>375</v>
      </c>
      <c r="N1090" t="s">
        <v>159</v>
      </c>
      <c r="R1090" t="s">
        <v>655</v>
      </c>
      <c r="S1090" t="s">
        <v>2290</v>
      </c>
      <c r="T1090" t="s">
        <v>1231</v>
      </c>
      <c r="U1090" t="s">
        <v>2292</v>
      </c>
      <c r="V1090" t="s">
        <v>656</v>
      </c>
      <c r="W1090" t="s">
        <v>2293</v>
      </c>
    </row>
    <row r="1091" spans="1:23" ht="15" customHeight="1" x14ac:dyDescent="0.3">
      <c r="A1091" t="s">
        <v>8</v>
      </c>
      <c r="B1091">
        <v>73</v>
      </c>
      <c r="C1091" t="s">
        <v>648</v>
      </c>
      <c r="D1091" t="s">
        <v>649</v>
      </c>
      <c r="E1091" t="s">
        <v>34</v>
      </c>
      <c r="F1091" t="s">
        <v>650</v>
      </c>
      <c r="G1091" t="s">
        <v>36</v>
      </c>
      <c r="H1091" t="s">
        <v>421</v>
      </c>
      <c r="I1091" t="s">
        <v>649</v>
      </c>
      <c r="J1091" t="s">
        <v>2294</v>
      </c>
      <c r="K1091" s="21" t="s">
        <v>2295</v>
      </c>
      <c r="L1091" s="21" t="s">
        <v>653</v>
      </c>
      <c r="M1091" t="s">
        <v>375</v>
      </c>
      <c r="N1091" t="s">
        <v>159</v>
      </c>
      <c r="R1091" t="s">
        <v>655</v>
      </c>
      <c r="S1091" t="s">
        <v>2294</v>
      </c>
      <c r="T1091" t="s">
        <v>1290</v>
      </c>
      <c r="U1091" t="s">
        <v>1291</v>
      </c>
      <c r="V1091" t="s">
        <v>656</v>
      </c>
      <c r="W1091" t="s">
        <v>2296</v>
      </c>
    </row>
    <row r="1092" spans="1:23" ht="15" customHeight="1" x14ac:dyDescent="0.3">
      <c r="A1092" t="s">
        <v>8</v>
      </c>
      <c r="B1092">
        <v>73</v>
      </c>
      <c r="C1092" t="s">
        <v>648</v>
      </c>
      <c r="D1092" t="s">
        <v>649</v>
      </c>
      <c r="E1092" t="s">
        <v>34</v>
      </c>
      <c r="F1092" t="s">
        <v>650</v>
      </c>
      <c r="G1092" t="s">
        <v>36</v>
      </c>
      <c r="H1092" t="s">
        <v>182</v>
      </c>
      <c r="I1092" t="s">
        <v>649</v>
      </c>
      <c r="J1092" t="s">
        <v>2297</v>
      </c>
      <c r="K1092" s="21" t="s">
        <v>2298</v>
      </c>
      <c r="L1092" s="21" t="s">
        <v>653</v>
      </c>
      <c r="M1092" t="s">
        <v>375</v>
      </c>
      <c r="N1092" t="s">
        <v>159</v>
      </c>
      <c r="R1092" t="s">
        <v>655</v>
      </c>
      <c r="S1092" t="s">
        <v>2297</v>
      </c>
      <c r="T1092" t="s">
        <v>1290</v>
      </c>
      <c r="U1092" t="s">
        <v>2036</v>
      </c>
      <c r="V1092" t="s">
        <v>656</v>
      </c>
      <c r="W1092" t="s">
        <v>2296</v>
      </c>
    </row>
    <row r="1093" spans="1:23" ht="15" customHeight="1" x14ac:dyDescent="0.3">
      <c r="A1093" t="s">
        <v>8</v>
      </c>
      <c r="B1093">
        <v>73</v>
      </c>
      <c r="C1093" t="s">
        <v>648</v>
      </c>
      <c r="D1093" t="s">
        <v>649</v>
      </c>
      <c r="E1093" t="s">
        <v>34</v>
      </c>
      <c r="F1093" t="s">
        <v>650</v>
      </c>
      <c r="G1093" t="s">
        <v>36</v>
      </c>
      <c r="H1093" t="s">
        <v>1242</v>
      </c>
      <c r="I1093" t="s">
        <v>649</v>
      </c>
      <c r="J1093" t="s">
        <v>2299</v>
      </c>
      <c r="K1093" s="21" t="s">
        <v>2300</v>
      </c>
      <c r="L1093" s="21" t="s">
        <v>653</v>
      </c>
      <c r="M1093" t="s">
        <v>375</v>
      </c>
      <c r="N1093" t="s">
        <v>159</v>
      </c>
      <c r="R1093" t="s">
        <v>655</v>
      </c>
      <c r="S1093" t="s">
        <v>2299</v>
      </c>
      <c r="T1093" t="s">
        <v>1290</v>
      </c>
      <c r="U1093" t="s">
        <v>1296</v>
      </c>
      <c r="V1093" t="s">
        <v>656</v>
      </c>
      <c r="W1093" t="s">
        <v>2296</v>
      </c>
    </row>
    <row r="1094" spans="1:23" ht="15" customHeight="1" x14ac:dyDescent="0.3">
      <c r="A1094" t="s">
        <v>8</v>
      </c>
      <c r="B1094">
        <v>73</v>
      </c>
      <c r="C1094" t="s">
        <v>648</v>
      </c>
      <c r="D1094" t="s">
        <v>649</v>
      </c>
      <c r="E1094" t="s">
        <v>34</v>
      </c>
      <c r="F1094" t="s">
        <v>650</v>
      </c>
      <c r="G1094" t="s">
        <v>36</v>
      </c>
      <c r="H1094" t="s">
        <v>425</v>
      </c>
      <c r="I1094" t="s">
        <v>649</v>
      </c>
      <c r="J1094" t="s">
        <v>2301</v>
      </c>
      <c r="K1094" s="21" t="s">
        <v>2302</v>
      </c>
      <c r="L1094" s="21" t="s">
        <v>653</v>
      </c>
      <c r="M1094" t="s">
        <v>375</v>
      </c>
      <c r="N1094" t="s">
        <v>159</v>
      </c>
      <c r="R1094" t="s">
        <v>655</v>
      </c>
      <c r="S1094" t="s">
        <v>2301</v>
      </c>
      <c r="T1094" t="s">
        <v>45</v>
      </c>
      <c r="U1094" t="s">
        <v>2303</v>
      </c>
      <c r="V1094" t="s">
        <v>2304</v>
      </c>
      <c r="W1094" t="s">
        <v>2305</v>
      </c>
    </row>
    <row r="1095" spans="1:23" ht="15" customHeight="1" x14ac:dyDescent="0.3">
      <c r="A1095" t="s">
        <v>8</v>
      </c>
      <c r="B1095">
        <v>9</v>
      </c>
      <c r="C1095" t="s">
        <v>2306</v>
      </c>
      <c r="D1095" t="s">
        <v>2307</v>
      </c>
      <c r="E1095" t="s">
        <v>34</v>
      </c>
      <c r="F1095" t="s">
        <v>2308</v>
      </c>
      <c r="G1095" t="s">
        <v>36</v>
      </c>
      <c r="H1095" t="s">
        <v>37</v>
      </c>
      <c r="I1095" t="s">
        <v>2307</v>
      </c>
      <c r="J1095" t="s">
        <v>2309</v>
      </c>
      <c r="K1095" t="s">
        <v>2310</v>
      </c>
      <c r="L1095" s="21" t="s">
        <v>2311</v>
      </c>
      <c r="M1095" t="s">
        <v>1112</v>
      </c>
      <c r="N1095" t="s">
        <v>42</v>
      </c>
      <c r="R1095" t="s">
        <v>2312</v>
      </c>
      <c r="S1095" t="s">
        <v>2309</v>
      </c>
      <c r="T1095" t="s">
        <v>1544</v>
      </c>
      <c r="U1095" t="s">
        <v>2104</v>
      </c>
      <c r="V1095" t="s">
        <v>2313</v>
      </c>
      <c r="W1095" t="s">
        <v>2314</v>
      </c>
    </row>
    <row r="1096" spans="1:23" ht="15" customHeight="1" x14ac:dyDescent="0.3">
      <c r="A1096" t="s">
        <v>8</v>
      </c>
      <c r="B1096">
        <v>9</v>
      </c>
      <c r="C1096" t="s">
        <v>2306</v>
      </c>
      <c r="D1096" t="s">
        <v>2307</v>
      </c>
      <c r="E1096" t="s">
        <v>34</v>
      </c>
      <c r="F1096" t="s">
        <v>2308</v>
      </c>
      <c r="G1096" t="s">
        <v>36</v>
      </c>
      <c r="H1096" t="s">
        <v>52</v>
      </c>
      <c r="I1096" t="s">
        <v>2307</v>
      </c>
      <c r="J1096" t="s">
        <v>2315</v>
      </c>
      <c r="K1096" s="21" t="s">
        <v>2316</v>
      </c>
      <c r="L1096" s="21" t="s">
        <v>2311</v>
      </c>
      <c r="M1096" t="s">
        <v>1112</v>
      </c>
      <c r="N1096" t="s">
        <v>42</v>
      </c>
      <c r="R1096" t="s">
        <v>2312</v>
      </c>
      <c r="S1096" t="s">
        <v>2315</v>
      </c>
      <c r="T1096" t="s">
        <v>1544</v>
      </c>
      <c r="U1096" t="s">
        <v>2108</v>
      </c>
      <c r="V1096" t="s">
        <v>2313</v>
      </c>
      <c r="W1096" t="s">
        <v>2317</v>
      </c>
    </row>
    <row r="1097" spans="1:23" ht="15" customHeight="1" x14ac:dyDescent="0.3">
      <c r="A1097" t="s">
        <v>8</v>
      </c>
      <c r="B1097">
        <v>9</v>
      </c>
      <c r="C1097" t="s">
        <v>2306</v>
      </c>
      <c r="D1097" t="s">
        <v>2307</v>
      </c>
      <c r="E1097" t="s">
        <v>34</v>
      </c>
      <c r="F1097" t="s">
        <v>2308</v>
      </c>
      <c r="G1097" t="s">
        <v>36</v>
      </c>
      <c r="H1097" t="s">
        <v>57</v>
      </c>
      <c r="I1097" t="s">
        <v>2307</v>
      </c>
      <c r="J1097" t="s">
        <v>2318</v>
      </c>
      <c r="K1097" s="21" t="s">
        <v>2319</v>
      </c>
      <c r="L1097" s="21" t="s">
        <v>2311</v>
      </c>
      <c r="M1097" t="s">
        <v>1112</v>
      </c>
      <c r="N1097" t="s">
        <v>42</v>
      </c>
      <c r="R1097" t="s">
        <v>2312</v>
      </c>
      <c r="S1097" t="s">
        <v>2318</v>
      </c>
      <c r="T1097" t="s">
        <v>1544</v>
      </c>
      <c r="U1097" t="s">
        <v>2032</v>
      </c>
      <c r="V1097" t="s">
        <v>2320</v>
      </c>
      <c r="W1097" t="s">
        <v>2321</v>
      </c>
    </row>
    <row r="1098" spans="1:23" ht="15" customHeight="1" x14ac:dyDescent="0.3">
      <c r="A1098" t="s">
        <v>8</v>
      </c>
      <c r="B1098">
        <v>9</v>
      </c>
      <c r="C1098" t="s">
        <v>2306</v>
      </c>
      <c r="D1098" t="s">
        <v>2307</v>
      </c>
      <c r="E1098" t="s">
        <v>34</v>
      </c>
      <c r="F1098" t="s">
        <v>2308</v>
      </c>
      <c r="G1098" t="s">
        <v>36</v>
      </c>
      <c r="H1098" t="s">
        <v>49</v>
      </c>
      <c r="I1098" t="s">
        <v>2307</v>
      </c>
      <c r="J1098" t="s">
        <v>2322</v>
      </c>
      <c r="K1098" s="21" t="s">
        <v>2323</v>
      </c>
      <c r="L1098" s="21" t="s">
        <v>2311</v>
      </c>
      <c r="M1098" t="s">
        <v>1112</v>
      </c>
      <c r="N1098" t="s">
        <v>42</v>
      </c>
      <c r="R1098" t="s">
        <v>2312</v>
      </c>
      <c r="S1098" t="s">
        <v>2322</v>
      </c>
      <c r="T1098" t="s">
        <v>1544</v>
      </c>
      <c r="U1098" t="s">
        <v>2324</v>
      </c>
      <c r="V1098" t="s">
        <v>2325</v>
      </c>
      <c r="W1098" t="s">
        <v>2321</v>
      </c>
    </row>
    <row r="1099" spans="1:23" ht="15" customHeight="1" x14ac:dyDescent="0.3">
      <c r="A1099" t="s">
        <v>8</v>
      </c>
      <c r="B1099">
        <v>9</v>
      </c>
      <c r="C1099" t="s">
        <v>2306</v>
      </c>
      <c r="D1099" t="s">
        <v>2307</v>
      </c>
      <c r="E1099" t="s">
        <v>34</v>
      </c>
      <c r="F1099" t="s">
        <v>2308</v>
      </c>
      <c r="G1099" t="s">
        <v>36</v>
      </c>
      <c r="H1099" t="s">
        <v>87</v>
      </c>
      <c r="I1099" t="s">
        <v>2307</v>
      </c>
      <c r="J1099" t="s">
        <v>2326</v>
      </c>
      <c r="K1099" s="21" t="s">
        <v>2327</v>
      </c>
      <c r="L1099" s="21" t="s">
        <v>2311</v>
      </c>
      <c r="M1099" t="s">
        <v>1112</v>
      </c>
      <c r="N1099" t="s">
        <v>42</v>
      </c>
      <c r="R1099" t="s">
        <v>2312</v>
      </c>
      <c r="S1099" t="s">
        <v>2326</v>
      </c>
      <c r="T1099" t="s">
        <v>1544</v>
      </c>
      <c r="U1099" t="s">
        <v>2128</v>
      </c>
      <c r="V1099" t="s">
        <v>2313</v>
      </c>
      <c r="W1099" t="s">
        <v>2314</v>
      </c>
    </row>
    <row r="1100" spans="1:23" ht="15" customHeight="1" x14ac:dyDescent="0.3">
      <c r="A1100" t="s">
        <v>8</v>
      </c>
      <c r="B1100">
        <v>9</v>
      </c>
      <c r="C1100" t="s">
        <v>2306</v>
      </c>
      <c r="D1100" t="s">
        <v>2307</v>
      </c>
      <c r="E1100" t="s">
        <v>34</v>
      </c>
      <c r="F1100" t="s">
        <v>2308</v>
      </c>
      <c r="G1100" t="s">
        <v>36</v>
      </c>
      <c r="H1100" t="s">
        <v>421</v>
      </c>
      <c r="I1100" t="s">
        <v>2307</v>
      </c>
      <c r="J1100" t="s">
        <v>2136</v>
      </c>
      <c r="K1100" s="21" t="s">
        <v>2328</v>
      </c>
      <c r="L1100" s="21" t="s">
        <v>2311</v>
      </c>
      <c r="M1100" t="s">
        <v>1112</v>
      </c>
      <c r="N1100" t="s">
        <v>42</v>
      </c>
      <c r="R1100" t="s">
        <v>2312</v>
      </c>
      <c r="S1100" t="s">
        <v>2136</v>
      </c>
      <c r="T1100" t="s">
        <v>1544</v>
      </c>
      <c r="U1100" t="s">
        <v>2065</v>
      </c>
      <c r="V1100" t="s">
        <v>2095</v>
      </c>
      <c r="W1100" t="s">
        <v>2138</v>
      </c>
    </row>
    <row r="1101" spans="1:23" ht="15" customHeight="1" x14ac:dyDescent="0.3">
      <c r="A1101" t="s">
        <v>8</v>
      </c>
      <c r="B1101">
        <v>9</v>
      </c>
      <c r="C1101" t="s">
        <v>2306</v>
      </c>
      <c r="D1101" t="s">
        <v>2307</v>
      </c>
      <c r="E1101" t="s">
        <v>34</v>
      </c>
      <c r="F1101" t="s">
        <v>2308</v>
      </c>
      <c r="G1101" t="s">
        <v>36</v>
      </c>
      <c r="H1101" t="s">
        <v>182</v>
      </c>
      <c r="I1101" t="s">
        <v>2307</v>
      </c>
      <c r="J1101" t="s">
        <v>2329</v>
      </c>
      <c r="K1101" s="21" t="s">
        <v>2330</v>
      </c>
      <c r="L1101" s="21" t="s">
        <v>2311</v>
      </c>
      <c r="M1101" t="s">
        <v>1112</v>
      </c>
      <c r="N1101" t="s">
        <v>42</v>
      </c>
      <c r="R1101" t="s">
        <v>2312</v>
      </c>
      <c r="S1101" t="s">
        <v>2329</v>
      </c>
      <c r="T1101" t="s">
        <v>1544</v>
      </c>
      <c r="U1101" t="s">
        <v>2044</v>
      </c>
      <c r="V1101" t="s">
        <v>2331</v>
      </c>
      <c r="W1101" t="s">
        <v>2332</v>
      </c>
    </row>
    <row r="1102" spans="1:23" ht="15" customHeight="1" x14ac:dyDescent="0.3">
      <c r="A1102" t="s">
        <v>8</v>
      </c>
      <c r="B1102">
        <v>9</v>
      </c>
      <c r="C1102" t="s">
        <v>2306</v>
      </c>
      <c r="D1102" t="s">
        <v>2307</v>
      </c>
      <c r="E1102" t="s">
        <v>34</v>
      </c>
      <c r="F1102" t="s">
        <v>2308</v>
      </c>
      <c r="G1102" t="s">
        <v>36</v>
      </c>
      <c r="H1102" t="s">
        <v>1242</v>
      </c>
      <c r="I1102" t="s">
        <v>2307</v>
      </c>
      <c r="J1102" t="s">
        <v>2333</v>
      </c>
      <c r="K1102" s="21" t="s">
        <v>2334</v>
      </c>
      <c r="L1102" s="21" t="s">
        <v>2311</v>
      </c>
      <c r="M1102" t="s">
        <v>1112</v>
      </c>
      <c r="N1102" t="s">
        <v>42</v>
      </c>
      <c r="R1102" t="s">
        <v>2312</v>
      </c>
      <c r="S1102" t="s">
        <v>2333</v>
      </c>
      <c r="T1102" t="s">
        <v>1544</v>
      </c>
      <c r="U1102" t="s">
        <v>2055</v>
      </c>
      <c r="V1102" t="s">
        <v>2335</v>
      </c>
      <c r="W1102" t="s">
        <v>2336</v>
      </c>
    </row>
    <row r="1103" spans="1:23" ht="15" customHeight="1" x14ac:dyDescent="0.3">
      <c r="A1103" t="s">
        <v>8</v>
      </c>
      <c r="B1103">
        <v>9</v>
      </c>
      <c r="C1103" t="s">
        <v>2306</v>
      </c>
      <c r="D1103" t="s">
        <v>2307</v>
      </c>
      <c r="E1103" t="s">
        <v>34</v>
      </c>
      <c r="F1103" t="s">
        <v>2308</v>
      </c>
      <c r="G1103" t="s">
        <v>36</v>
      </c>
      <c r="H1103" t="s">
        <v>425</v>
      </c>
      <c r="I1103" t="s">
        <v>2307</v>
      </c>
      <c r="J1103" t="s">
        <v>2337</v>
      </c>
      <c r="K1103" s="21" t="s">
        <v>2338</v>
      </c>
      <c r="L1103" s="21" t="s">
        <v>2311</v>
      </c>
      <c r="M1103" t="s">
        <v>1112</v>
      </c>
      <c r="N1103" t="s">
        <v>42</v>
      </c>
      <c r="R1103" t="s">
        <v>2312</v>
      </c>
      <c r="S1103" t="s">
        <v>2337</v>
      </c>
      <c r="T1103" t="s">
        <v>1544</v>
      </c>
      <c r="U1103" t="s">
        <v>2059</v>
      </c>
      <c r="V1103" t="s">
        <v>2339</v>
      </c>
      <c r="W1103" t="s">
        <v>2340</v>
      </c>
    </row>
    <row r="1104" spans="1:23" ht="15" customHeight="1" x14ac:dyDescent="0.3">
      <c r="A1104" t="s">
        <v>8</v>
      </c>
      <c r="B1104">
        <v>9</v>
      </c>
      <c r="C1104" t="s">
        <v>2306</v>
      </c>
      <c r="D1104" t="s">
        <v>2307</v>
      </c>
      <c r="E1104" t="s">
        <v>34</v>
      </c>
      <c r="F1104" t="s">
        <v>2308</v>
      </c>
      <c r="G1104" t="s">
        <v>36</v>
      </c>
      <c r="H1104" t="s">
        <v>996</v>
      </c>
      <c r="I1104" t="s">
        <v>2307</v>
      </c>
      <c r="J1104" t="s">
        <v>2341</v>
      </c>
      <c r="K1104" s="21" t="s">
        <v>2342</v>
      </c>
      <c r="L1104" s="21" t="s">
        <v>2311</v>
      </c>
      <c r="M1104" t="s">
        <v>1112</v>
      </c>
      <c r="N1104" t="s">
        <v>42</v>
      </c>
      <c r="R1104" t="s">
        <v>2312</v>
      </c>
      <c r="S1104" t="s">
        <v>2341</v>
      </c>
      <c r="T1104" t="s">
        <v>1544</v>
      </c>
      <c r="U1104" t="s">
        <v>2062</v>
      </c>
      <c r="V1104" t="s">
        <v>2339</v>
      </c>
      <c r="W1104" t="s">
        <v>2340</v>
      </c>
    </row>
    <row r="1105" spans="1:23" ht="15" customHeight="1" x14ac:dyDescent="0.3">
      <c r="A1105" t="s">
        <v>8</v>
      </c>
      <c r="B1105">
        <v>9</v>
      </c>
      <c r="C1105" t="s">
        <v>2306</v>
      </c>
      <c r="D1105" t="s">
        <v>2307</v>
      </c>
      <c r="E1105" t="s">
        <v>34</v>
      </c>
      <c r="F1105" t="s">
        <v>2308</v>
      </c>
      <c r="G1105" t="s">
        <v>36</v>
      </c>
      <c r="H1105" t="s">
        <v>1000</v>
      </c>
      <c r="I1105" t="s">
        <v>2307</v>
      </c>
      <c r="J1105" t="s">
        <v>2343</v>
      </c>
      <c r="K1105" s="21" t="s">
        <v>2344</v>
      </c>
      <c r="L1105" s="21" t="s">
        <v>2311</v>
      </c>
      <c r="M1105" t="s">
        <v>1112</v>
      </c>
      <c r="N1105" t="s">
        <v>42</v>
      </c>
      <c r="R1105" t="s">
        <v>2312</v>
      </c>
      <c r="S1105" t="s">
        <v>2343</v>
      </c>
      <c r="T1105" t="s">
        <v>1290</v>
      </c>
      <c r="U1105" t="s">
        <v>2036</v>
      </c>
      <c r="V1105" t="s">
        <v>2345</v>
      </c>
      <c r="W1105" t="s">
        <v>2346</v>
      </c>
    </row>
    <row r="1106" spans="1:23" ht="15" customHeight="1" x14ac:dyDescent="0.3">
      <c r="A1106" t="s">
        <v>8</v>
      </c>
      <c r="B1106">
        <v>173</v>
      </c>
      <c r="C1106" t="s">
        <v>658</v>
      </c>
      <c r="D1106" t="s">
        <v>659</v>
      </c>
      <c r="E1106" t="s">
        <v>34</v>
      </c>
      <c r="F1106" t="s">
        <v>660</v>
      </c>
      <c r="G1106" t="s">
        <v>440</v>
      </c>
      <c r="H1106" t="s">
        <v>37</v>
      </c>
      <c r="I1106" t="s">
        <v>659</v>
      </c>
      <c r="J1106" t="s">
        <v>661</v>
      </c>
      <c r="K1106" t="s">
        <v>662</v>
      </c>
      <c r="L1106" s="21" t="s">
        <v>663</v>
      </c>
      <c r="M1106" t="s">
        <v>375</v>
      </c>
      <c r="N1106" t="s">
        <v>159</v>
      </c>
      <c r="R1106" t="s">
        <v>665</v>
      </c>
      <c r="S1106" t="s">
        <v>661</v>
      </c>
      <c r="T1106" t="s">
        <v>45</v>
      </c>
      <c r="U1106" t="s">
        <v>46</v>
      </c>
      <c r="V1106" t="s">
        <v>666</v>
      </c>
      <c r="W1106" t="s">
        <v>667</v>
      </c>
    </row>
    <row r="1107" spans="1:23" ht="15" customHeight="1" x14ac:dyDescent="0.3">
      <c r="A1107" t="s">
        <v>8</v>
      </c>
      <c r="B1107">
        <v>173</v>
      </c>
      <c r="C1107" t="s">
        <v>658</v>
      </c>
      <c r="D1107" t="s">
        <v>659</v>
      </c>
      <c r="E1107" t="s">
        <v>34</v>
      </c>
      <c r="F1107" t="s">
        <v>660</v>
      </c>
      <c r="G1107" t="s">
        <v>440</v>
      </c>
      <c r="H1107" t="s">
        <v>37</v>
      </c>
      <c r="I1107" t="s">
        <v>659</v>
      </c>
      <c r="J1107" t="s">
        <v>661</v>
      </c>
      <c r="K1107" t="s">
        <v>662</v>
      </c>
      <c r="L1107" s="21" t="s">
        <v>663</v>
      </c>
      <c r="M1107" t="s">
        <v>375</v>
      </c>
      <c r="N1107" t="s">
        <v>159</v>
      </c>
      <c r="R1107" t="s">
        <v>670</v>
      </c>
      <c r="S1107" t="s">
        <v>661</v>
      </c>
      <c r="T1107" t="s">
        <v>45</v>
      </c>
      <c r="U1107" t="s">
        <v>46</v>
      </c>
      <c r="V1107" t="s">
        <v>666</v>
      </c>
      <c r="W1107" t="s">
        <v>667</v>
      </c>
    </row>
    <row r="1108" spans="1:23" ht="15" customHeight="1" x14ac:dyDescent="0.3">
      <c r="A1108" t="s">
        <v>8</v>
      </c>
      <c r="B1108">
        <v>173</v>
      </c>
      <c r="C1108" t="s">
        <v>658</v>
      </c>
      <c r="D1108" t="s">
        <v>659</v>
      </c>
      <c r="E1108" t="s">
        <v>34</v>
      </c>
      <c r="F1108" t="s">
        <v>660</v>
      </c>
      <c r="G1108" t="s">
        <v>440</v>
      </c>
      <c r="H1108" t="s">
        <v>52</v>
      </c>
      <c r="I1108" t="s">
        <v>659</v>
      </c>
      <c r="J1108" t="s">
        <v>668</v>
      </c>
      <c r="K1108" s="21" t="s">
        <v>669</v>
      </c>
      <c r="L1108" s="21" t="s">
        <v>663</v>
      </c>
      <c r="M1108" t="s">
        <v>375</v>
      </c>
      <c r="N1108" t="s">
        <v>159</v>
      </c>
      <c r="R1108" t="s">
        <v>665</v>
      </c>
      <c r="S1108" t="s">
        <v>668</v>
      </c>
      <c r="T1108" t="s">
        <v>45</v>
      </c>
      <c r="U1108" t="s">
        <v>46</v>
      </c>
      <c r="V1108" t="s">
        <v>671</v>
      </c>
      <c r="W1108" t="s">
        <v>672</v>
      </c>
    </row>
    <row r="1109" spans="1:23" ht="15" customHeight="1" x14ac:dyDescent="0.3">
      <c r="A1109" t="s">
        <v>8</v>
      </c>
      <c r="B1109">
        <v>173</v>
      </c>
      <c r="C1109" t="s">
        <v>658</v>
      </c>
      <c r="D1109" t="s">
        <v>659</v>
      </c>
      <c r="E1109" t="s">
        <v>34</v>
      </c>
      <c r="F1109" t="s">
        <v>660</v>
      </c>
      <c r="G1109" t="s">
        <v>440</v>
      </c>
      <c r="H1109" t="s">
        <v>52</v>
      </c>
      <c r="I1109" t="s">
        <v>659</v>
      </c>
      <c r="J1109" t="s">
        <v>668</v>
      </c>
      <c r="K1109" s="21" t="s">
        <v>669</v>
      </c>
      <c r="L1109" s="21" t="s">
        <v>663</v>
      </c>
      <c r="M1109" t="s">
        <v>375</v>
      </c>
      <c r="N1109" t="s">
        <v>159</v>
      </c>
      <c r="R1109" t="s">
        <v>670</v>
      </c>
      <c r="S1109" t="s">
        <v>668</v>
      </c>
      <c r="T1109" t="s">
        <v>45</v>
      </c>
      <c r="U1109" t="s">
        <v>46</v>
      </c>
      <c r="V1109" t="s">
        <v>671</v>
      </c>
      <c r="W1109" t="s">
        <v>672</v>
      </c>
    </row>
    <row r="1110" spans="1:23" ht="15" customHeight="1" x14ac:dyDescent="0.3">
      <c r="A1110" t="s">
        <v>8</v>
      </c>
      <c r="B1110">
        <v>173</v>
      </c>
      <c r="C1110" t="s">
        <v>658</v>
      </c>
      <c r="D1110" t="s">
        <v>659</v>
      </c>
      <c r="E1110" t="s">
        <v>34</v>
      </c>
      <c r="F1110" t="s">
        <v>660</v>
      </c>
      <c r="G1110" t="s">
        <v>440</v>
      </c>
      <c r="H1110" t="s">
        <v>57</v>
      </c>
      <c r="I1110" t="s">
        <v>659</v>
      </c>
      <c r="J1110" t="s">
        <v>673</v>
      </c>
      <c r="K1110" s="21" t="s">
        <v>674</v>
      </c>
      <c r="L1110" s="21" t="s">
        <v>663</v>
      </c>
      <c r="M1110" t="s">
        <v>375</v>
      </c>
      <c r="N1110" t="s">
        <v>159</v>
      </c>
      <c r="R1110" t="s">
        <v>665</v>
      </c>
      <c r="S1110" t="s">
        <v>673</v>
      </c>
      <c r="T1110" t="s">
        <v>45</v>
      </c>
      <c r="U1110" t="s">
        <v>90</v>
      </c>
      <c r="V1110" t="s">
        <v>666</v>
      </c>
      <c r="W1110" t="s">
        <v>675</v>
      </c>
    </row>
    <row r="1111" spans="1:23" ht="15" customHeight="1" x14ac:dyDescent="0.3">
      <c r="A1111" t="s">
        <v>8</v>
      </c>
      <c r="B1111">
        <v>173</v>
      </c>
      <c r="C1111" t="s">
        <v>658</v>
      </c>
      <c r="D1111" t="s">
        <v>659</v>
      </c>
      <c r="E1111" t="s">
        <v>34</v>
      </c>
      <c r="F1111" t="s">
        <v>660</v>
      </c>
      <c r="G1111" t="s">
        <v>440</v>
      </c>
      <c r="H1111" t="s">
        <v>57</v>
      </c>
      <c r="I1111" t="s">
        <v>659</v>
      </c>
      <c r="J1111" t="s">
        <v>673</v>
      </c>
      <c r="K1111" s="21" t="s">
        <v>674</v>
      </c>
      <c r="L1111" s="21" t="s">
        <v>663</v>
      </c>
      <c r="M1111" t="s">
        <v>375</v>
      </c>
      <c r="N1111" t="s">
        <v>159</v>
      </c>
      <c r="R1111" t="s">
        <v>670</v>
      </c>
      <c r="S1111" t="s">
        <v>673</v>
      </c>
      <c r="T1111" t="s">
        <v>45</v>
      </c>
      <c r="U1111" t="s">
        <v>90</v>
      </c>
      <c r="V1111" t="s">
        <v>666</v>
      </c>
      <c r="W1111" t="s">
        <v>675</v>
      </c>
    </row>
    <row r="1112" spans="1:23" ht="15" customHeight="1" x14ac:dyDescent="0.3">
      <c r="A1112" t="s">
        <v>8</v>
      </c>
      <c r="B1112">
        <v>173</v>
      </c>
      <c r="C1112" t="s">
        <v>658</v>
      </c>
      <c r="D1112" t="s">
        <v>659</v>
      </c>
      <c r="E1112" t="s">
        <v>34</v>
      </c>
      <c r="F1112" t="s">
        <v>660</v>
      </c>
      <c r="G1112" t="s">
        <v>440</v>
      </c>
      <c r="H1112" t="s">
        <v>49</v>
      </c>
      <c r="I1112" t="s">
        <v>659</v>
      </c>
      <c r="J1112" t="s">
        <v>676</v>
      </c>
      <c r="K1112" s="21" t="s">
        <v>677</v>
      </c>
      <c r="L1112" s="21" t="s">
        <v>663</v>
      </c>
      <c r="M1112" t="s">
        <v>375</v>
      </c>
      <c r="N1112" t="s">
        <v>159</v>
      </c>
      <c r="R1112" t="s">
        <v>665</v>
      </c>
      <c r="S1112" t="s">
        <v>676</v>
      </c>
      <c r="T1112" t="s">
        <v>45</v>
      </c>
      <c r="U1112" t="s">
        <v>90</v>
      </c>
      <c r="V1112" t="s">
        <v>678</v>
      </c>
      <c r="W1112" t="s">
        <v>679</v>
      </c>
    </row>
    <row r="1113" spans="1:23" ht="15" customHeight="1" x14ac:dyDescent="0.3">
      <c r="A1113" t="s">
        <v>8</v>
      </c>
      <c r="B1113">
        <v>173</v>
      </c>
      <c r="C1113" t="s">
        <v>658</v>
      </c>
      <c r="D1113" t="s">
        <v>659</v>
      </c>
      <c r="E1113" t="s">
        <v>34</v>
      </c>
      <c r="F1113" t="s">
        <v>660</v>
      </c>
      <c r="G1113" t="s">
        <v>440</v>
      </c>
      <c r="H1113" t="s">
        <v>49</v>
      </c>
      <c r="I1113" t="s">
        <v>659</v>
      </c>
      <c r="J1113" t="s">
        <v>676</v>
      </c>
      <c r="K1113" s="21" t="s">
        <v>677</v>
      </c>
      <c r="L1113" s="21" t="s">
        <v>663</v>
      </c>
      <c r="M1113" t="s">
        <v>375</v>
      </c>
      <c r="N1113" t="s">
        <v>159</v>
      </c>
      <c r="R1113" t="s">
        <v>670</v>
      </c>
      <c r="S1113" t="s">
        <v>676</v>
      </c>
      <c r="T1113" t="s">
        <v>45</v>
      </c>
      <c r="U1113" t="s">
        <v>90</v>
      </c>
      <c r="V1113" t="s">
        <v>678</v>
      </c>
      <c r="W1113" t="s">
        <v>679</v>
      </c>
    </row>
    <row r="1114" spans="1:23" ht="15" customHeight="1" x14ac:dyDescent="0.3">
      <c r="A1114" t="s">
        <v>8</v>
      </c>
      <c r="B1114">
        <v>173</v>
      </c>
      <c r="C1114" t="s">
        <v>658</v>
      </c>
      <c r="D1114" t="s">
        <v>659</v>
      </c>
      <c r="E1114" t="s">
        <v>34</v>
      </c>
      <c r="F1114" t="s">
        <v>660</v>
      </c>
      <c r="G1114" t="s">
        <v>440</v>
      </c>
      <c r="H1114" t="s">
        <v>87</v>
      </c>
      <c r="I1114" t="s">
        <v>659</v>
      </c>
      <c r="J1114" t="s">
        <v>2347</v>
      </c>
      <c r="K1114" s="21" t="s">
        <v>2348</v>
      </c>
      <c r="L1114" s="21" t="s">
        <v>663</v>
      </c>
      <c r="M1114" t="s">
        <v>375</v>
      </c>
      <c r="N1114" t="s">
        <v>159</v>
      </c>
      <c r="R1114" t="s">
        <v>665</v>
      </c>
      <c r="S1114" t="s">
        <v>2347</v>
      </c>
      <c r="T1114" t="s">
        <v>1231</v>
      </c>
      <c r="U1114" t="s">
        <v>2292</v>
      </c>
      <c r="V1114" t="s">
        <v>2349</v>
      </c>
      <c r="W1114" t="s">
        <v>2350</v>
      </c>
    </row>
    <row r="1115" spans="1:23" ht="15" customHeight="1" x14ac:dyDescent="0.3">
      <c r="A1115" t="s">
        <v>8</v>
      </c>
      <c r="B1115">
        <v>173</v>
      </c>
      <c r="C1115" t="s">
        <v>658</v>
      </c>
      <c r="D1115" t="s">
        <v>659</v>
      </c>
      <c r="E1115" t="s">
        <v>34</v>
      </c>
      <c r="F1115" t="s">
        <v>660</v>
      </c>
      <c r="G1115" t="s">
        <v>440</v>
      </c>
      <c r="H1115" t="s">
        <v>87</v>
      </c>
      <c r="I1115" t="s">
        <v>659</v>
      </c>
      <c r="J1115" t="s">
        <v>2347</v>
      </c>
      <c r="K1115" s="21" t="s">
        <v>2348</v>
      </c>
      <c r="L1115" s="21" t="s">
        <v>663</v>
      </c>
      <c r="M1115" t="s">
        <v>375</v>
      </c>
      <c r="N1115" t="s">
        <v>159</v>
      </c>
      <c r="R1115" t="s">
        <v>670</v>
      </c>
      <c r="S1115" t="s">
        <v>2347</v>
      </c>
      <c r="T1115" t="s">
        <v>1231</v>
      </c>
      <c r="U1115" t="s">
        <v>2292</v>
      </c>
      <c r="V1115" t="s">
        <v>2349</v>
      </c>
      <c r="W1115" t="s">
        <v>2350</v>
      </c>
    </row>
    <row r="1116" spans="1:23" ht="15" customHeight="1" x14ac:dyDescent="0.3">
      <c r="A1116" t="s">
        <v>8</v>
      </c>
      <c r="B1116">
        <v>173</v>
      </c>
      <c r="C1116" t="s">
        <v>658</v>
      </c>
      <c r="D1116" t="s">
        <v>659</v>
      </c>
      <c r="E1116" t="s">
        <v>34</v>
      </c>
      <c r="F1116" t="s">
        <v>660</v>
      </c>
      <c r="G1116" t="s">
        <v>440</v>
      </c>
      <c r="H1116" t="s">
        <v>421</v>
      </c>
      <c r="I1116" t="s">
        <v>659</v>
      </c>
      <c r="J1116" t="s">
        <v>2351</v>
      </c>
      <c r="K1116" s="21" t="s">
        <v>2352</v>
      </c>
      <c r="L1116" s="21" t="s">
        <v>663</v>
      </c>
      <c r="M1116" t="s">
        <v>375</v>
      </c>
      <c r="N1116" t="s">
        <v>159</v>
      </c>
      <c r="R1116" t="s">
        <v>665</v>
      </c>
      <c r="S1116" t="s">
        <v>2351</v>
      </c>
      <c r="T1116" t="s">
        <v>1231</v>
      </c>
      <c r="U1116" t="s">
        <v>2292</v>
      </c>
      <c r="V1116" t="s">
        <v>2353</v>
      </c>
      <c r="W1116" t="s">
        <v>2354</v>
      </c>
    </row>
    <row r="1117" spans="1:23" ht="15" customHeight="1" x14ac:dyDescent="0.3">
      <c r="A1117" t="s">
        <v>8</v>
      </c>
      <c r="B1117">
        <v>173</v>
      </c>
      <c r="C1117" t="s">
        <v>658</v>
      </c>
      <c r="D1117" t="s">
        <v>659</v>
      </c>
      <c r="E1117" t="s">
        <v>34</v>
      </c>
      <c r="F1117" t="s">
        <v>660</v>
      </c>
      <c r="G1117" t="s">
        <v>440</v>
      </c>
      <c r="H1117" t="s">
        <v>421</v>
      </c>
      <c r="I1117" t="s">
        <v>659</v>
      </c>
      <c r="J1117" t="s">
        <v>2351</v>
      </c>
      <c r="K1117" s="21" t="s">
        <v>2352</v>
      </c>
      <c r="L1117" s="21" t="s">
        <v>663</v>
      </c>
      <c r="M1117" t="s">
        <v>375</v>
      </c>
      <c r="N1117" t="s">
        <v>159</v>
      </c>
      <c r="R1117" t="s">
        <v>670</v>
      </c>
      <c r="S1117" t="s">
        <v>2351</v>
      </c>
      <c r="T1117" t="s">
        <v>1231</v>
      </c>
      <c r="U1117" t="s">
        <v>2292</v>
      </c>
      <c r="V1117" t="s">
        <v>2353</v>
      </c>
      <c r="W1117" t="s">
        <v>2354</v>
      </c>
    </row>
    <row r="1118" spans="1:23" ht="15" customHeight="1" x14ac:dyDescent="0.3">
      <c r="A1118" t="s">
        <v>8</v>
      </c>
      <c r="B1118">
        <v>173</v>
      </c>
      <c r="C1118" t="s">
        <v>658</v>
      </c>
      <c r="D1118" t="s">
        <v>659</v>
      </c>
      <c r="E1118" t="s">
        <v>34</v>
      </c>
      <c r="F1118" t="s">
        <v>660</v>
      </c>
      <c r="G1118" t="s">
        <v>440</v>
      </c>
      <c r="H1118" t="s">
        <v>182</v>
      </c>
      <c r="I1118" t="s">
        <v>659</v>
      </c>
      <c r="J1118" t="s">
        <v>2355</v>
      </c>
      <c r="K1118" s="21" t="s">
        <v>2356</v>
      </c>
      <c r="L1118" s="21" t="s">
        <v>663</v>
      </c>
      <c r="M1118" t="s">
        <v>375</v>
      </c>
      <c r="N1118" t="s">
        <v>159</v>
      </c>
      <c r="R1118" t="s">
        <v>665</v>
      </c>
      <c r="S1118" t="s">
        <v>2355</v>
      </c>
      <c r="T1118" t="s">
        <v>1231</v>
      </c>
      <c r="U1118" t="s">
        <v>2292</v>
      </c>
      <c r="V1118" t="s">
        <v>2357</v>
      </c>
      <c r="W1118" t="s">
        <v>2358</v>
      </c>
    </row>
    <row r="1119" spans="1:23" ht="15" customHeight="1" x14ac:dyDescent="0.3">
      <c r="A1119" t="s">
        <v>8</v>
      </c>
      <c r="B1119">
        <v>173</v>
      </c>
      <c r="C1119" t="s">
        <v>658</v>
      </c>
      <c r="D1119" t="s">
        <v>659</v>
      </c>
      <c r="E1119" t="s">
        <v>34</v>
      </c>
      <c r="F1119" t="s">
        <v>660</v>
      </c>
      <c r="G1119" t="s">
        <v>440</v>
      </c>
      <c r="H1119" t="s">
        <v>182</v>
      </c>
      <c r="I1119" t="s">
        <v>659</v>
      </c>
      <c r="J1119" t="s">
        <v>2355</v>
      </c>
      <c r="K1119" s="21" t="s">
        <v>2356</v>
      </c>
      <c r="L1119" s="21" t="s">
        <v>663</v>
      </c>
      <c r="M1119" t="s">
        <v>375</v>
      </c>
      <c r="N1119" t="s">
        <v>159</v>
      </c>
      <c r="R1119" t="s">
        <v>670</v>
      </c>
      <c r="S1119" t="s">
        <v>2355</v>
      </c>
      <c r="T1119" t="s">
        <v>1231</v>
      </c>
      <c r="U1119" t="s">
        <v>2292</v>
      </c>
      <c r="V1119" t="s">
        <v>2357</v>
      </c>
      <c r="W1119" t="s">
        <v>2358</v>
      </c>
    </row>
    <row r="1120" spans="1:23" ht="15" customHeight="1" x14ac:dyDescent="0.3">
      <c r="A1120" t="s">
        <v>8</v>
      </c>
      <c r="B1120">
        <v>173</v>
      </c>
      <c r="C1120" t="s">
        <v>658</v>
      </c>
      <c r="D1120" t="s">
        <v>659</v>
      </c>
      <c r="E1120" t="s">
        <v>34</v>
      </c>
      <c r="F1120" t="s">
        <v>660</v>
      </c>
      <c r="G1120" t="s">
        <v>440</v>
      </c>
      <c r="H1120" t="s">
        <v>1242</v>
      </c>
      <c r="I1120" t="s">
        <v>659</v>
      </c>
      <c r="J1120" t="s">
        <v>2359</v>
      </c>
      <c r="K1120" s="21" t="s">
        <v>2360</v>
      </c>
      <c r="L1120" s="21" t="s">
        <v>663</v>
      </c>
      <c r="M1120" t="s">
        <v>375</v>
      </c>
      <c r="N1120" t="s">
        <v>159</v>
      </c>
      <c r="R1120" t="s">
        <v>665</v>
      </c>
      <c r="S1120" t="s">
        <v>2359</v>
      </c>
      <c r="T1120" t="s">
        <v>1249</v>
      </c>
      <c r="U1120" t="s">
        <v>1461</v>
      </c>
      <c r="V1120" t="s">
        <v>2361</v>
      </c>
      <c r="W1120" t="s">
        <v>2362</v>
      </c>
    </row>
    <row r="1121" spans="1:23" ht="15" customHeight="1" x14ac:dyDescent="0.3">
      <c r="A1121" t="s">
        <v>8</v>
      </c>
      <c r="B1121">
        <v>173</v>
      </c>
      <c r="C1121" t="s">
        <v>658</v>
      </c>
      <c r="D1121" t="s">
        <v>659</v>
      </c>
      <c r="E1121" t="s">
        <v>34</v>
      </c>
      <c r="F1121" t="s">
        <v>660</v>
      </c>
      <c r="G1121" t="s">
        <v>440</v>
      </c>
      <c r="H1121" t="s">
        <v>1242</v>
      </c>
      <c r="I1121" t="s">
        <v>659</v>
      </c>
      <c r="J1121" t="s">
        <v>2359</v>
      </c>
      <c r="K1121" s="21" t="s">
        <v>2360</v>
      </c>
      <c r="L1121" s="21" t="s">
        <v>663</v>
      </c>
      <c r="M1121" t="s">
        <v>375</v>
      </c>
      <c r="N1121" t="s">
        <v>159</v>
      </c>
      <c r="R1121" t="s">
        <v>670</v>
      </c>
      <c r="S1121" t="s">
        <v>2359</v>
      </c>
      <c r="T1121" t="s">
        <v>1249</v>
      </c>
      <c r="U1121" t="s">
        <v>1461</v>
      </c>
      <c r="V1121" t="s">
        <v>2361</v>
      </c>
      <c r="W1121" t="s">
        <v>2362</v>
      </c>
    </row>
    <row r="1122" spans="1:23" ht="15" customHeight="1" x14ac:dyDescent="0.3">
      <c r="A1122" t="s">
        <v>8</v>
      </c>
      <c r="B1122">
        <v>173</v>
      </c>
      <c r="C1122" t="s">
        <v>658</v>
      </c>
      <c r="D1122" t="s">
        <v>659</v>
      </c>
      <c r="E1122" t="s">
        <v>34</v>
      </c>
      <c r="F1122" t="s">
        <v>660</v>
      </c>
      <c r="G1122" t="s">
        <v>440</v>
      </c>
      <c r="H1122" t="s">
        <v>425</v>
      </c>
      <c r="I1122" t="s">
        <v>659</v>
      </c>
      <c r="J1122" t="s">
        <v>2363</v>
      </c>
      <c r="K1122" s="21" t="s">
        <v>2364</v>
      </c>
      <c r="L1122" s="21" t="s">
        <v>663</v>
      </c>
      <c r="M1122" t="s">
        <v>375</v>
      </c>
      <c r="N1122" t="s">
        <v>159</v>
      </c>
      <c r="R1122" t="s">
        <v>665</v>
      </c>
      <c r="S1122" t="s">
        <v>2363</v>
      </c>
      <c r="T1122" t="s">
        <v>1290</v>
      </c>
      <c r="U1122" t="s">
        <v>1291</v>
      </c>
      <c r="V1122" t="s">
        <v>2361</v>
      </c>
      <c r="W1122" t="s">
        <v>2365</v>
      </c>
    </row>
    <row r="1123" spans="1:23" ht="15" customHeight="1" x14ac:dyDescent="0.3">
      <c r="A1123" t="s">
        <v>8</v>
      </c>
      <c r="B1123">
        <v>173</v>
      </c>
      <c r="C1123" t="s">
        <v>658</v>
      </c>
      <c r="D1123" t="s">
        <v>659</v>
      </c>
      <c r="E1123" t="s">
        <v>34</v>
      </c>
      <c r="F1123" t="s">
        <v>660</v>
      </c>
      <c r="G1123" t="s">
        <v>440</v>
      </c>
      <c r="H1123" t="s">
        <v>425</v>
      </c>
      <c r="I1123" t="s">
        <v>659</v>
      </c>
      <c r="J1123" t="s">
        <v>2363</v>
      </c>
      <c r="K1123" s="21" t="s">
        <v>2364</v>
      </c>
      <c r="L1123" s="21" t="s">
        <v>663</v>
      </c>
      <c r="M1123" t="s">
        <v>375</v>
      </c>
      <c r="N1123" t="s">
        <v>159</v>
      </c>
      <c r="R1123" t="s">
        <v>670</v>
      </c>
      <c r="S1123" t="s">
        <v>2363</v>
      </c>
      <c r="T1123" t="s">
        <v>1290</v>
      </c>
      <c r="U1123" t="s">
        <v>1291</v>
      </c>
      <c r="V1123" t="s">
        <v>2361</v>
      </c>
      <c r="W1123" t="s">
        <v>2365</v>
      </c>
    </row>
    <row r="1124" spans="1:23" ht="15" customHeight="1" x14ac:dyDescent="0.3">
      <c r="A1124" t="s">
        <v>8</v>
      </c>
      <c r="B1124">
        <v>173</v>
      </c>
      <c r="C1124" t="s">
        <v>658</v>
      </c>
      <c r="D1124" t="s">
        <v>659</v>
      </c>
      <c r="E1124" t="s">
        <v>34</v>
      </c>
      <c r="F1124" t="s">
        <v>660</v>
      </c>
      <c r="G1124" t="s">
        <v>440</v>
      </c>
      <c r="H1124" t="s">
        <v>996</v>
      </c>
      <c r="I1124" t="s">
        <v>659</v>
      </c>
      <c r="J1124" t="s">
        <v>2366</v>
      </c>
      <c r="K1124" s="21" t="s">
        <v>2367</v>
      </c>
      <c r="L1124" s="21" t="s">
        <v>663</v>
      </c>
      <c r="M1124" t="s">
        <v>375</v>
      </c>
      <c r="N1124" t="s">
        <v>159</v>
      </c>
      <c r="R1124" t="s">
        <v>665</v>
      </c>
      <c r="S1124" t="s">
        <v>2366</v>
      </c>
      <c r="T1124" t="s">
        <v>1290</v>
      </c>
      <c r="U1124" t="s">
        <v>1291</v>
      </c>
      <c r="V1124" t="s">
        <v>2368</v>
      </c>
      <c r="W1124" t="s">
        <v>2369</v>
      </c>
    </row>
    <row r="1125" spans="1:23" ht="15" customHeight="1" x14ac:dyDescent="0.3">
      <c r="A1125" t="s">
        <v>8</v>
      </c>
      <c r="B1125">
        <v>173</v>
      </c>
      <c r="C1125" t="s">
        <v>658</v>
      </c>
      <c r="D1125" t="s">
        <v>659</v>
      </c>
      <c r="E1125" t="s">
        <v>34</v>
      </c>
      <c r="F1125" t="s">
        <v>660</v>
      </c>
      <c r="G1125" t="s">
        <v>440</v>
      </c>
      <c r="H1125" t="s">
        <v>996</v>
      </c>
      <c r="I1125" t="s">
        <v>659</v>
      </c>
      <c r="J1125" t="s">
        <v>2366</v>
      </c>
      <c r="K1125" s="21" t="s">
        <v>2367</v>
      </c>
      <c r="L1125" s="21" t="s">
        <v>663</v>
      </c>
      <c r="M1125" t="s">
        <v>375</v>
      </c>
      <c r="N1125" t="s">
        <v>159</v>
      </c>
      <c r="R1125" t="s">
        <v>670</v>
      </c>
      <c r="S1125" t="s">
        <v>2366</v>
      </c>
      <c r="T1125" t="s">
        <v>1290</v>
      </c>
      <c r="U1125" t="s">
        <v>1291</v>
      </c>
      <c r="V1125" t="s">
        <v>2368</v>
      </c>
      <c r="W1125" t="s">
        <v>2369</v>
      </c>
    </row>
    <row r="1126" spans="1:23" ht="15" customHeight="1" x14ac:dyDescent="0.3">
      <c r="A1126" t="s">
        <v>8</v>
      </c>
      <c r="B1126">
        <v>173</v>
      </c>
      <c r="C1126" t="s">
        <v>658</v>
      </c>
      <c r="D1126" t="s">
        <v>659</v>
      </c>
      <c r="E1126" t="s">
        <v>34</v>
      </c>
      <c r="F1126" t="s">
        <v>660</v>
      </c>
      <c r="G1126" t="s">
        <v>440</v>
      </c>
      <c r="H1126" t="s">
        <v>1000</v>
      </c>
      <c r="I1126" t="s">
        <v>659</v>
      </c>
      <c r="J1126" t="s">
        <v>2370</v>
      </c>
      <c r="K1126" s="21" t="s">
        <v>2371</v>
      </c>
      <c r="L1126" s="21" t="s">
        <v>663</v>
      </c>
      <c r="M1126" t="s">
        <v>375</v>
      </c>
      <c r="N1126" t="s">
        <v>159</v>
      </c>
      <c r="R1126" t="s">
        <v>665</v>
      </c>
      <c r="S1126" t="s">
        <v>2370</v>
      </c>
      <c r="T1126" t="s">
        <v>1249</v>
      </c>
      <c r="U1126" t="s">
        <v>2372</v>
      </c>
      <c r="V1126" t="s">
        <v>2373</v>
      </c>
      <c r="W1126" t="s">
        <v>2374</v>
      </c>
    </row>
    <row r="1127" spans="1:23" ht="15" customHeight="1" x14ac:dyDescent="0.3">
      <c r="A1127" t="s">
        <v>8</v>
      </c>
      <c r="B1127">
        <v>173</v>
      </c>
      <c r="C1127" t="s">
        <v>658</v>
      </c>
      <c r="D1127" t="s">
        <v>659</v>
      </c>
      <c r="E1127" t="s">
        <v>34</v>
      </c>
      <c r="F1127" t="s">
        <v>660</v>
      </c>
      <c r="G1127" t="s">
        <v>440</v>
      </c>
      <c r="H1127" t="s">
        <v>1000</v>
      </c>
      <c r="I1127" t="s">
        <v>659</v>
      </c>
      <c r="J1127" t="s">
        <v>2370</v>
      </c>
      <c r="K1127" s="21" t="s">
        <v>2371</v>
      </c>
      <c r="L1127" s="21" t="s">
        <v>663</v>
      </c>
      <c r="M1127" t="s">
        <v>375</v>
      </c>
      <c r="N1127" t="s">
        <v>159</v>
      </c>
      <c r="R1127" t="s">
        <v>670</v>
      </c>
      <c r="S1127" t="s">
        <v>2370</v>
      </c>
      <c r="T1127" t="s">
        <v>1249</v>
      </c>
      <c r="U1127" t="s">
        <v>2372</v>
      </c>
      <c r="V1127" t="s">
        <v>2373</v>
      </c>
      <c r="W1127" t="s">
        <v>2374</v>
      </c>
    </row>
    <row r="1128" spans="1:23" ht="15" customHeight="1" x14ac:dyDescent="0.3">
      <c r="A1128" t="s">
        <v>8</v>
      </c>
      <c r="B1128">
        <v>173</v>
      </c>
      <c r="C1128" t="s">
        <v>658</v>
      </c>
      <c r="D1128" t="s">
        <v>659</v>
      </c>
      <c r="E1128" t="s">
        <v>34</v>
      </c>
      <c r="F1128" t="s">
        <v>660</v>
      </c>
      <c r="G1128" t="s">
        <v>440</v>
      </c>
      <c r="H1128" t="s">
        <v>1272</v>
      </c>
      <c r="I1128" t="s">
        <v>659</v>
      </c>
      <c r="J1128" t="s">
        <v>2375</v>
      </c>
      <c r="K1128" s="21" t="s">
        <v>2376</v>
      </c>
      <c r="L1128" s="21" t="s">
        <v>663</v>
      </c>
      <c r="M1128" t="s">
        <v>375</v>
      </c>
      <c r="N1128" t="s">
        <v>159</v>
      </c>
      <c r="R1128" t="s">
        <v>665</v>
      </c>
      <c r="S1128" t="s">
        <v>2375</v>
      </c>
      <c r="T1128" t="s">
        <v>1249</v>
      </c>
      <c r="U1128" t="s">
        <v>1454</v>
      </c>
      <c r="V1128" t="s">
        <v>2377</v>
      </c>
      <c r="W1128" t="s">
        <v>2378</v>
      </c>
    </row>
    <row r="1129" spans="1:23" ht="15" customHeight="1" x14ac:dyDescent="0.3">
      <c r="A1129" t="s">
        <v>8</v>
      </c>
      <c r="B1129">
        <v>173</v>
      </c>
      <c r="C1129" t="s">
        <v>658</v>
      </c>
      <c r="D1129" t="s">
        <v>659</v>
      </c>
      <c r="E1129" t="s">
        <v>34</v>
      </c>
      <c r="F1129" t="s">
        <v>660</v>
      </c>
      <c r="G1129" t="s">
        <v>440</v>
      </c>
      <c r="H1129" t="s">
        <v>1272</v>
      </c>
      <c r="I1129" t="s">
        <v>659</v>
      </c>
      <c r="J1129" t="s">
        <v>2375</v>
      </c>
      <c r="K1129" s="21" t="s">
        <v>2376</v>
      </c>
      <c r="L1129" s="21" t="s">
        <v>663</v>
      </c>
      <c r="M1129" t="s">
        <v>375</v>
      </c>
      <c r="N1129" t="s">
        <v>159</v>
      </c>
      <c r="R1129" t="s">
        <v>670</v>
      </c>
      <c r="S1129" t="s">
        <v>2375</v>
      </c>
      <c r="T1129" t="s">
        <v>1249</v>
      </c>
      <c r="U1129" t="s">
        <v>1454</v>
      </c>
      <c r="V1129" t="s">
        <v>2377</v>
      </c>
      <c r="W1129" t="s">
        <v>2378</v>
      </c>
    </row>
    <row r="1130" spans="1:23" ht="15" customHeight="1" x14ac:dyDescent="0.3">
      <c r="A1130" t="s">
        <v>8</v>
      </c>
      <c r="B1130">
        <v>177</v>
      </c>
      <c r="C1130" t="s">
        <v>658</v>
      </c>
      <c r="D1130" t="s">
        <v>680</v>
      </c>
      <c r="E1130" t="s">
        <v>681</v>
      </c>
      <c r="F1130" t="s">
        <v>682</v>
      </c>
      <c r="G1130" t="s">
        <v>440</v>
      </c>
      <c r="H1130" t="s">
        <v>37</v>
      </c>
      <c r="I1130" t="s">
        <v>680</v>
      </c>
      <c r="J1130" t="s">
        <v>661</v>
      </c>
      <c r="K1130" t="s">
        <v>662</v>
      </c>
      <c r="L1130" s="21" t="s">
        <v>663</v>
      </c>
      <c r="M1130" t="s">
        <v>683</v>
      </c>
      <c r="N1130" t="s">
        <v>684</v>
      </c>
      <c r="R1130" t="s">
        <v>686</v>
      </c>
      <c r="S1130" t="s">
        <v>661</v>
      </c>
      <c r="T1130" t="s">
        <v>45</v>
      </c>
      <c r="U1130" t="s">
        <v>46</v>
      </c>
      <c r="V1130" t="s">
        <v>666</v>
      </c>
      <c r="W1130" t="s">
        <v>667</v>
      </c>
    </row>
    <row r="1131" spans="1:23" ht="15" customHeight="1" x14ac:dyDescent="0.3">
      <c r="A1131" t="s">
        <v>8</v>
      </c>
      <c r="B1131">
        <v>177</v>
      </c>
      <c r="C1131" t="s">
        <v>658</v>
      </c>
      <c r="D1131" t="s">
        <v>680</v>
      </c>
      <c r="E1131" t="s">
        <v>681</v>
      </c>
      <c r="F1131" t="s">
        <v>682</v>
      </c>
      <c r="G1131" t="s">
        <v>440</v>
      </c>
      <c r="H1131" t="s">
        <v>37</v>
      </c>
      <c r="I1131" t="s">
        <v>680</v>
      </c>
      <c r="J1131" t="s">
        <v>661</v>
      </c>
      <c r="K1131" t="s">
        <v>662</v>
      </c>
      <c r="L1131" s="21" t="s">
        <v>663</v>
      </c>
      <c r="M1131" t="s">
        <v>683</v>
      </c>
      <c r="N1131" t="s">
        <v>684</v>
      </c>
      <c r="R1131" t="s">
        <v>687</v>
      </c>
      <c r="S1131" t="s">
        <v>661</v>
      </c>
      <c r="T1131" t="s">
        <v>45</v>
      </c>
      <c r="U1131" t="s">
        <v>46</v>
      </c>
      <c r="V1131" t="s">
        <v>666</v>
      </c>
      <c r="W1131" t="s">
        <v>667</v>
      </c>
    </row>
    <row r="1132" spans="1:23" ht="15" customHeight="1" x14ac:dyDescent="0.3">
      <c r="A1132" t="s">
        <v>8</v>
      </c>
      <c r="B1132">
        <v>177</v>
      </c>
      <c r="C1132" t="s">
        <v>658</v>
      </c>
      <c r="D1132" t="s">
        <v>680</v>
      </c>
      <c r="E1132" t="s">
        <v>681</v>
      </c>
      <c r="F1132" t="s">
        <v>682</v>
      </c>
      <c r="G1132" t="s">
        <v>440</v>
      </c>
      <c r="H1132" t="s">
        <v>52</v>
      </c>
      <c r="I1132" t="s">
        <v>680</v>
      </c>
      <c r="J1132" t="s">
        <v>668</v>
      </c>
      <c r="K1132" s="21" t="s">
        <v>669</v>
      </c>
      <c r="L1132" s="21" t="s">
        <v>663</v>
      </c>
      <c r="M1132" t="s">
        <v>683</v>
      </c>
      <c r="N1132" t="s">
        <v>684</v>
      </c>
      <c r="R1132" t="s">
        <v>686</v>
      </c>
      <c r="S1132" t="s">
        <v>668</v>
      </c>
      <c r="T1132" t="s">
        <v>45</v>
      </c>
      <c r="U1132" t="s">
        <v>46</v>
      </c>
      <c r="V1132" t="s">
        <v>671</v>
      </c>
      <c r="W1132" t="s">
        <v>672</v>
      </c>
    </row>
    <row r="1133" spans="1:23" ht="15" customHeight="1" x14ac:dyDescent="0.3">
      <c r="A1133" t="s">
        <v>8</v>
      </c>
      <c r="B1133">
        <v>177</v>
      </c>
      <c r="C1133" t="s">
        <v>658</v>
      </c>
      <c r="D1133" t="s">
        <v>680</v>
      </c>
      <c r="E1133" t="s">
        <v>681</v>
      </c>
      <c r="F1133" t="s">
        <v>682</v>
      </c>
      <c r="G1133" t="s">
        <v>440</v>
      </c>
      <c r="H1133" t="s">
        <v>52</v>
      </c>
      <c r="I1133" t="s">
        <v>680</v>
      </c>
      <c r="J1133" t="s">
        <v>668</v>
      </c>
      <c r="K1133" s="21" t="s">
        <v>669</v>
      </c>
      <c r="L1133" s="21" t="s">
        <v>663</v>
      </c>
      <c r="M1133" t="s">
        <v>683</v>
      </c>
      <c r="N1133" t="s">
        <v>684</v>
      </c>
      <c r="R1133" t="s">
        <v>687</v>
      </c>
      <c r="S1133" t="s">
        <v>668</v>
      </c>
      <c r="T1133" t="s">
        <v>45</v>
      </c>
      <c r="U1133" t="s">
        <v>46</v>
      </c>
      <c r="V1133" t="s">
        <v>671</v>
      </c>
      <c r="W1133" t="s">
        <v>672</v>
      </c>
    </row>
    <row r="1134" spans="1:23" ht="15" customHeight="1" x14ac:dyDescent="0.3">
      <c r="A1134" t="s">
        <v>8</v>
      </c>
      <c r="B1134">
        <v>177</v>
      </c>
      <c r="C1134" t="s">
        <v>658</v>
      </c>
      <c r="D1134" t="s">
        <v>680</v>
      </c>
      <c r="E1134" t="s">
        <v>681</v>
      </c>
      <c r="F1134" t="s">
        <v>682</v>
      </c>
      <c r="G1134" t="s">
        <v>440</v>
      </c>
      <c r="H1134" t="s">
        <v>57</v>
      </c>
      <c r="I1134" t="s">
        <v>680</v>
      </c>
      <c r="J1134" t="s">
        <v>673</v>
      </c>
      <c r="K1134" s="21" t="s">
        <v>674</v>
      </c>
      <c r="L1134" s="21" t="s">
        <v>663</v>
      </c>
      <c r="M1134" t="s">
        <v>683</v>
      </c>
      <c r="N1134" t="s">
        <v>684</v>
      </c>
      <c r="R1134" t="s">
        <v>686</v>
      </c>
      <c r="S1134" t="s">
        <v>673</v>
      </c>
      <c r="T1134" t="s">
        <v>45</v>
      </c>
      <c r="U1134" t="s">
        <v>90</v>
      </c>
      <c r="V1134" t="s">
        <v>666</v>
      </c>
      <c r="W1134" t="s">
        <v>675</v>
      </c>
    </row>
    <row r="1135" spans="1:23" ht="15" customHeight="1" x14ac:dyDescent="0.3">
      <c r="A1135" t="s">
        <v>8</v>
      </c>
      <c r="B1135">
        <v>177</v>
      </c>
      <c r="C1135" t="s">
        <v>658</v>
      </c>
      <c r="D1135" t="s">
        <v>680</v>
      </c>
      <c r="E1135" t="s">
        <v>681</v>
      </c>
      <c r="F1135" t="s">
        <v>682</v>
      </c>
      <c r="G1135" t="s">
        <v>440</v>
      </c>
      <c r="H1135" t="s">
        <v>57</v>
      </c>
      <c r="I1135" t="s">
        <v>680</v>
      </c>
      <c r="J1135" t="s">
        <v>673</v>
      </c>
      <c r="K1135" s="21" t="s">
        <v>674</v>
      </c>
      <c r="L1135" s="21" t="s">
        <v>663</v>
      </c>
      <c r="M1135" t="s">
        <v>683</v>
      </c>
      <c r="N1135" t="s">
        <v>684</v>
      </c>
      <c r="R1135" t="s">
        <v>687</v>
      </c>
      <c r="S1135" t="s">
        <v>673</v>
      </c>
      <c r="T1135" t="s">
        <v>45</v>
      </c>
      <c r="U1135" t="s">
        <v>90</v>
      </c>
      <c r="V1135" t="s">
        <v>666</v>
      </c>
      <c r="W1135" t="s">
        <v>675</v>
      </c>
    </row>
    <row r="1136" spans="1:23" ht="15" customHeight="1" x14ac:dyDescent="0.3">
      <c r="A1136" t="s">
        <v>8</v>
      </c>
      <c r="B1136">
        <v>177</v>
      </c>
      <c r="C1136" t="s">
        <v>658</v>
      </c>
      <c r="D1136" t="s">
        <v>680</v>
      </c>
      <c r="E1136" t="s">
        <v>681</v>
      </c>
      <c r="F1136" t="s">
        <v>682</v>
      </c>
      <c r="G1136" t="s">
        <v>440</v>
      </c>
      <c r="H1136" t="s">
        <v>49</v>
      </c>
      <c r="I1136" t="s">
        <v>680</v>
      </c>
      <c r="J1136" t="s">
        <v>676</v>
      </c>
      <c r="K1136" s="21" t="s">
        <v>677</v>
      </c>
      <c r="L1136" s="21" t="s">
        <v>663</v>
      </c>
      <c r="M1136" t="s">
        <v>683</v>
      </c>
      <c r="N1136" t="s">
        <v>684</v>
      </c>
      <c r="R1136" t="s">
        <v>686</v>
      </c>
      <c r="S1136" t="s">
        <v>676</v>
      </c>
      <c r="T1136" t="s">
        <v>45</v>
      </c>
      <c r="U1136" t="s">
        <v>90</v>
      </c>
      <c r="V1136" t="s">
        <v>678</v>
      </c>
      <c r="W1136" t="s">
        <v>679</v>
      </c>
    </row>
    <row r="1137" spans="1:23" ht="15" customHeight="1" x14ac:dyDescent="0.3">
      <c r="A1137" t="s">
        <v>8</v>
      </c>
      <c r="B1137">
        <v>177</v>
      </c>
      <c r="C1137" t="s">
        <v>658</v>
      </c>
      <c r="D1137" t="s">
        <v>680</v>
      </c>
      <c r="E1137" t="s">
        <v>681</v>
      </c>
      <c r="F1137" t="s">
        <v>682</v>
      </c>
      <c r="G1137" t="s">
        <v>440</v>
      </c>
      <c r="H1137" t="s">
        <v>49</v>
      </c>
      <c r="I1137" t="s">
        <v>680</v>
      </c>
      <c r="J1137" t="s">
        <v>676</v>
      </c>
      <c r="K1137" s="21" t="s">
        <v>677</v>
      </c>
      <c r="L1137" s="21" t="s">
        <v>663</v>
      </c>
      <c r="M1137" t="s">
        <v>683</v>
      </c>
      <c r="N1137" t="s">
        <v>684</v>
      </c>
      <c r="R1137" t="s">
        <v>687</v>
      </c>
      <c r="S1137" t="s">
        <v>676</v>
      </c>
      <c r="T1137" t="s">
        <v>45</v>
      </c>
      <c r="U1137" t="s">
        <v>90</v>
      </c>
      <c r="V1137" t="s">
        <v>678</v>
      </c>
      <c r="W1137" t="s">
        <v>679</v>
      </c>
    </row>
    <row r="1138" spans="1:23" ht="15" customHeight="1" x14ac:dyDescent="0.3">
      <c r="A1138" t="s">
        <v>8</v>
      </c>
      <c r="B1138">
        <v>177</v>
      </c>
      <c r="C1138" t="s">
        <v>658</v>
      </c>
      <c r="D1138" t="s">
        <v>680</v>
      </c>
      <c r="E1138" t="s">
        <v>681</v>
      </c>
      <c r="F1138" t="s">
        <v>682</v>
      </c>
      <c r="G1138" t="s">
        <v>440</v>
      </c>
      <c r="H1138" t="s">
        <v>87</v>
      </c>
      <c r="I1138" t="s">
        <v>680</v>
      </c>
      <c r="J1138" t="s">
        <v>2347</v>
      </c>
      <c r="K1138" s="21" t="s">
        <v>2348</v>
      </c>
      <c r="L1138" s="21" t="s">
        <v>663</v>
      </c>
      <c r="M1138" t="s">
        <v>683</v>
      </c>
      <c r="N1138" t="s">
        <v>684</v>
      </c>
      <c r="R1138" t="s">
        <v>686</v>
      </c>
      <c r="S1138" t="s">
        <v>2347</v>
      </c>
      <c r="T1138" t="s">
        <v>1231</v>
      </c>
      <c r="U1138" t="s">
        <v>2292</v>
      </c>
      <c r="V1138" t="s">
        <v>2349</v>
      </c>
      <c r="W1138" t="s">
        <v>2350</v>
      </c>
    </row>
    <row r="1139" spans="1:23" ht="15" customHeight="1" x14ac:dyDescent="0.3">
      <c r="A1139" t="s">
        <v>8</v>
      </c>
      <c r="B1139">
        <v>177</v>
      </c>
      <c r="C1139" t="s">
        <v>658</v>
      </c>
      <c r="D1139" t="s">
        <v>680</v>
      </c>
      <c r="E1139" t="s">
        <v>681</v>
      </c>
      <c r="F1139" t="s">
        <v>682</v>
      </c>
      <c r="G1139" t="s">
        <v>440</v>
      </c>
      <c r="H1139" t="s">
        <v>87</v>
      </c>
      <c r="I1139" t="s">
        <v>680</v>
      </c>
      <c r="J1139" t="s">
        <v>2347</v>
      </c>
      <c r="K1139" s="21" t="s">
        <v>2348</v>
      </c>
      <c r="L1139" s="21" t="s">
        <v>663</v>
      </c>
      <c r="M1139" t="s">
        <v>683</v>
      </c>
      <c r="N1139" t="s">
        <v>684</v>
      </c>
      <c r="R1139" t="s">
        <v>687</v>
      </c>
      <c r="S1139" t="s">
        <v>2347</v>
      </c>
      <c r="T1139" t="s">
        <v>1231</v>
      </c>
      <c r="U1139" t="s">
        <v>2292</v>
      </c>
      <c r="V1139" t="s">
        <v>2349</v>
      </c>
      <c r="W1139" t="s">
        <v>2350</v>
      </c>
    </row>
    <row r="1140" spans="1:23" ht="15" customHeight="1" x14ac:dyDescent="0.3">
      <c r="A1140" t="s">
        <v>8</v>
      </c>
      <c r="B1140">
        <v>177</v>
      </c>
      <c r="C1140" t="s">
        <v>658</v>
      </c>
      <c r="D1140" t="s">
        <v>680</v>
      </c>
      <c r="E1140" t="s">
        <v>681</v>
      </c>
      <c r="F1140" t="s">
        <v>682</v>
      </c>
      <c r="G1140" t="s">
        <v>440</v>
      </c>
      <c r="H1140" t="s">
        <v>421</v>
      </c>
      <c r="I1140" t="s">
        <v>680</v>
      </c>
      <c r="J1140" t="s">
        <v>2351</v>
      </c>
      <c r="K1140" s="21" t="s">
        <v>2352</v>
      </c>
      <c r="L1140" s="21" t="s">
        <v>663</v>
      </c>
      <c r="M1140" t="s">
        <v>683</v>
      </c>
      <c r="N1140" t="s">
        <v>684</v>
      </c>
      <c r="R1140" t="s">
        <v>686</v>
      </c>
      <c r="S1140" t="s">
        <v>2351</v>
      </c>
      <c r="T1140" t="s">
        <v>1231</v>
      </c>
      <c r="U1140" t="s">
        <v>2292</v>
      </c>
      <c r="V1140" t="s">
        <v>2353</v>
      </c>
      <c r="W1140" t="s">
        <v>2354</v>
      </c>
    </row>
    <row r="1141" spans="1:23" ht="15" customHeight="1" x14ac:dyDescent="0.3">
      <c r="A1141" t="s">
        <v>8</v>
      </c>
      <c r="B1141">
        <v>177</v>
      </c>
      <c r="C1141" t="s">
        <v>658</v>
      </c>
      <c r="D1141" t="s">
        <v>680</v>
      </c>
      <c r="E1141" t="s">
        <v>681</v>
      </c>
      <c r="F1141" t="s">
        <v>682</v>
      </c>
      <c r="G1141" t="s">
        <v>440</v>
      </c>
      <c r="H1141" t="s">
        <v>421</v>
      </c>
      <c r="I1141" t="s">
        <v>680</v>
      </c>
      <c r="J1141" t="s">
        <v>2351</v>
      </c>
      <c r="K1141" s="21" t="s">
        <v>2352</v>
      </c>
      <c r="L1141" s="21" t="s">
        <v>663</v>
      </c>
      <c r="M1141" t="s">
        <v>683</v>
      </c>
      <c r="N1141" t="s">
        <v>684</v>
      </c>
      <c r="R1141" t="s">
        <v>687</v>
      </c>
      <c r="S1141" t="s">
        <v>2351</v>
      </c>
      <c r="T1141" t="s">
        <v>1231</v>
      </c>
      <c r="U1141" t="s">
        <v>2292</v>
      </c>
      <c r="V1141" t="s">
        <v>2353</v>
      </c>
      <c r="W1141" t="s">
        <v>2354</v>
      </c>
    </row>
    <row r="1142" spans="1:23" ht="15" customHeight="1" x14ac:dyDescent="0.3">
      <c r="A1142" t="s">
        <v>8</v>
      </c>
      <c r="B1142">
        <v>177</v>
      </c>
      <c r="C1142" t="s">
        <v>658</v>
      </c>
      <c r="D1142" t="s">
        <v>680</v>
      </c>
      <c r="E1142" t="s">
        <v>681</v>
      </c>
      <c r="F1142" t="s">
        <v>682</v>
      </c>
      <c r="G1142" t="s">
        <v>440</v>
      </c>
      <c r="H1142" t="s">
        <v>182</v>
      </c>
      <c r="I1142" t="s">
        <v>680</v>
      </c>
      <c r="J1142" t="s">
        <v>2355</v>
      </c>
      <c r="K1142" s="21" t="s">
        <v>2356</v>
      </c>
      <c r="L1142" s="21" t="s">
        <v>663</v>
      </c>
      <c r="M1142" t="s">
        <v>683</v>
      </c>
      <c r="N1142" t="s">
        <v>684</v>
      </c>
      <c r="R1142" t="s">
        <v>686</v>
      </c>
      <c r="S1142" t="s">
        <v>2355</v>
      </c>
      <c r="T1142" t="s">
        <v>1231</v>
      </c>
      <c r="U1142" t="s">
        <v>2292</v>
      </c>
      <c r="V1142" t="s">
        <v>2357</v>
      </c>
      <c r="W1142" t="s">
        <v>2358</v>
      </c>
    </row>
    <row r="1143" spans="1:23" ht="15" customHeight="1" x14ac:dyDescent="0.3">
      <c r="A1143" t="s">
        <v>8</v>
      </c>
      <c r="B1143">
        <v>177</v>
      </c>
      <c r="C1143" t="s">
        <v>658</v>
      </c>
      <c r="D1143" t="s">
        <v>680</v>
      </c>
      <c r="E1143" t="s">
        <v>681</v>
      </c>
      <c r="F1143" t="s">
        <v>682</v>
      </c>
      <c r="G1143" t="s">
        <v>440</v>
      </c>
      <c r="H1143" t="s">
        <v>182</v>
      </c>
      <c r="I1143" t="s">
        <v>680</v>
      </c>
      <c r="J1143" t="s">
        <v>2355</v>
      </c>
      <c r="K1143" s="21" t="s">
        <v>2356</v>
      </c>
      <c r="L1143" s="21" t="s">
        <v>663</v>
      </c>
      <c r="M1143" t="s">
        <v>683</v>
      </c>
      <c r="N1143" t="s">
        <v>684</v>
      </c>
      <c r="R1143" t="s">
        <v>687</v>
      </c>
      <c r="S1143" t="s">
        <v>2355</v>
      </c>
      <c r="T1143" t="s">
        <v>1231</v>
      </c>
      <c r="U1143" t="s">
        <v>2292</v>
      </c>
      <c r="V1143" t="s">
        <v>2357</v>
      </c>
      <c r="W1143" t="s">
        <v>2358</v>
      </c>
    </row>
    <row r="1144" spans="1:23" ht="15" customHeight="1" x14ac:dyDescent="0.3">
      <c r="A1144" t="s">
        <v>8</v>
      </c>
      <c r="B1144">
        <v>177</v>
      </c>
      <c r="C1144" t="s">
        <v>658</v>
      </c>
      <c r="D1144" t="s">
        <v>680</v>
      </c>
      <c r="E1144" t="s">
        <v>681</v>
      </c>
      <c r="F1144" t="s">
        <v>682</v>
      </c>
      <c r="G1144" t="s">
        <v>440</v>
      </c>
      <c r="H1144" t="s">
        <v>1242</v>
      </c>
      <c r="I1144" t="s">
        <v>680</v>
      </c>
      <c r="J1144" t="s">
        <v>2359</v>
      </c>
      <c r="K1144" s="21" t="s">
        <v>2360</v>
      </c>
      <c r="L1144" s="21" t="s">
        <v>663</v>
      </c>
      <c r="M1144" t="s">
        <v>683</v>
      </c>
      <c r="N1144" t="s">
        <v>684</v>
      </c>
      <c r="R1144" t="s">
        <v>686</v>
      </c>
      <c r="S1144" t="s">
        <v>2359</v>
      </c>
      <c r="T1144" t="s">
        <v>1249</v>
      </c>
      <c r="U1144" t="s">
        <v>1461</v>
      </c>
      <c r="V1144" t="s">
        <v>2361</v>
      </c>
      <c r="W1144" t="s">
        <v>2362</v>
      </c>
    </row>
    <row r="1145" spans="1:23" ht="15" customHeight="1" x14ac:dyDescent="0.3">
      <c r="A1145" t="s">
        <v>8</v>
      </c>
      <c r="B1145">
        <v>177</v>
      </c>
      <c r="C1145" t="s">
        <v>658</v>
      </c>
      <c r="D1145" t="s">
        <v>680</v>
      </c>
      <c r="E1145" t="s">
        <v>681</v>
      </c>
      <c r="F1145" t="s">
        <v>682</v>
      </c>
      <c r="G1145" t="s">
        <v>440</v>
      </c>
      <c r="H1145" t="s">
        <v>1242</v>
      </c>
      <c r="I1145" t="s">
        <v>680</v>
      </c>
      <c r="J1145" t="s">
        <v>2359</v>
      </c>
      <c r="K1145" s="21" t="s">
        <v>2360</v>
      </c>
      <c r="L1145" s="21" t="s">
        <v>663</v>
      </c>
      <c r="M1145" t="s">
        <v>683</v>
      </c>
      <c r="N1145" t="s">
        <v>684</v>
      </c>
      <c r="R1145" t="s">
        <v>687</v>
      </c>
      <c r="S1145" t="s">
        <v>2359</v>
      </c>
      <c r="T1145" t="s">
        <v>1249</v>
      </c>
      <c r="U1145" t="s">
        <v>1461</v>
      </c>
      <c r="V1145" t="s">
        <v>2361</v>
      </c>
      <c r="W1145" t="s">
        <v>2362</v>
      </c>
    </row>
    <row r="1146" spans="1:23" ht="15" customHeight="1" x14ac:dyDescent="0.3">
      <c r="A1146" t="s">
        <v>8</v>
      </c>
      <c r="B1146">
        <v>177</v>
      </c>
      <c r="C1146" t="s">
        <v>658</v>
      </c>
      <c r="D1146" t="s">
        <v>680</v>
      </c>
      <c r="E1146" t="s">
        <v>681</v>
      </c>
      <c r="F1146" t="s">
        <v>682</v>
      </c>
      <c r="G1146" t="s">
        <v>440</v>
      </c>
      <c r="H1146" t="s">
        <v>425</v>
      </c>
      <c r="I1146" t="s">
        <v>680</v>
      </c>
      <c r="J1146" t="s">
        <v>2363</v>
      </c>
      <c r="K1146" s="21" t="s">
        <v>2364</v>
      </c>
      <c r="L1146" s="21" t="s">
        <v>663</v>
      </c>
      <c r="M1146" t="s">
        <v>683</v>
      </c>
      <c r="N1146" t="s">
        <v>684</v>
      </c>
      <c r="R1146" t="s">
        <v>686</v>
      </c>
      <c r="S1146" t="s">
        <v>2363</v>
      </c>
      <c r="T1146" t="s">
        <v>1290</v>
      </c>
      <c r="U1146" t="s">
        <v>1291</v>
      </c>
      <c r="V1146" t="s">
        <v>2361</v>
      </c>
      <c r="W1146" t="s">
        <v>2365</v>
      </c>
    </row>
    <row r="1147" spans="1:23" ht="15" customHeight="1" x14ac:dyDescent="0.3">
      <c r="A1147" t="s">
        <v>8</v>
      </c>
      <c r="B1147">
        <v>177</v>
      </c>
      <c r="C1147" t="s">
        <v>658</v>
      </c>
      <c r="D1147" t="s">
        <v>680</v>
      </c>
      <c r="E1147" t="s">
        <v>681</v>
      </c>
      <c r="F1147" t="s">
        <v>682</v>
      </c>
      <c r="G1147" t="s">
        <v>440</v>
      </c>
      <c r="H1147" t="s">
        <v>425</v>
      </c>
      <c r="I1147" t="s">
        <v>680</v>
      </c>
      <c r="J1147" t="s">
        <v>2363</v>
      </c>
      <c r="K1147" s="21" t="s">
        <v>2364</v>
      </c>
      <c r="L1147" s="21" t="s">
        <v>663</v>
      </c>
      <c r="M1147" t="s">
        <v>683</v>
      </c>
      <c r="N1147" t="s">
        <v>684</v>
      </c>
      <c r="R1147" t="s">
        <v>687</v>
      </c>
      <c r="S1147" t="s">
        <v>2363</v>
      </c>
      <c r="T1147" t="s">
        <v>1290</v>
      </c>
      <c r="U1147" t="s">
        <v>1291</v>
      </c>
      <c r="V1147" t="s">
        <v>2361</v>
      </c>
      <c r="W1147" t="s">
        <v>2365</v>
      </c>
    </row>
    <row r="1148" spans="1:23" ht="15" customHeight="1" x14ac:dyDescent="0.3">
      <c r="A1148" t="s">
        <v>8</v>
      </c>
      <c r="B1148">
        <v>177</v>
      </c>
      <c r="C1148" t="s">
        <v>658</v>
      </c>
      <c r="D1148" t="s">
        <v>680</v>
      </c>
      <c r="E1148" t="s">
        <v>681</v>
      </c>
      <c r="F1148" t="s">
        <v>682</v>
      </c>
      <c r="G1148" t="s">
        <v>440</v>
      </c>
      <c r="H1148" t="s">
        <v>996</v>
      </c>
      <c r="I1148" t="s">
        <v>680</v>
      </c>
      <c r="J1148" t="s">
        <v>2366</v>
      </c>
      <c r="K1148" s="21" t="s">
        <v>2367</v>
      </c>
      <c r="L1148" s="21" t="s">
        <v>663</v>
      </c>
      <c r="M1148" t="s">
        <v>683</v>
      </c>
      <c r="N1148" t="s">
        <v>684</v>
      </c>
      <c r="R1148" t="s">
        <v>686</v>
      </c>
      <c r="S1148" t="s">
        <v>2366</v>
      </c>
      <c r="T1148" t="s">
        <v>1290</v>
      </c>
      <c r="U1148" t="s">
        <v>1291</v>
      </c>
      <c r="V1148" t="s">
        <v>2368</v>
      </c>
      <c r="W1148" t="s">
        <v>2369</v>
      </c>
    </row>
    <row r="1149" spans="1:23" ht="15" customHeight="1" x14ac:dyDescent="0.3">
      <c r="A1149" t="s">
        <v>8</v>
      </c>
      <c r="B1149">
        <v>177</v>
      </c>
      <c r="C1149" t="s">
        <v>658</v>
      </c>
      <c r="D1149" t="s">
        <v>680</v>
      </c>
      <c r="E1149" t="s">
        <v>681</v>
      </c>
      <c r="F1149" t="s">
        <v>682</v>
      </c>
      <c r="G1149" t="s">
        <v>440</v>
      </c>
      <c r="H1149" t="s">
        <v>996</v>
      </c>
      <c r="I1149" t="s">
        <v>680</v>
      </c>
      <c r="J1149" t="s">
        <v>2366</v>
      </c>
      <c r="K1149" s="21" t="s">
        <v>2367</v>
      </c>
      <c r="L1149" s="21" t="s">
        <v>663</v>
      </c>
      <c r="M1149" t="s">
        <v>683</v>
      </c>
      <c r="N1149" t="s">
        <v>684</v>
      </c>
      <c r="R1149" t="s">
        <v>687</v>
      </c>
      <c r="S1149" t="s">
        <v>2366</v>
      </c>
      <c r="T1149" t="s">
        <v>1290</v>
      </c>
      <c r="U1149" t="s">
        <v>1291</v>
      </c>
      <c r="V1149" t="s">
        <v>2368</v>
      </c>
      <c r="W1149" t="s">
        <v>2369</v>
      </c>
    </row>
    <row r="1150" spans="1:23" ht="15" customHeight="1" x14ac:dyDescent="0.3">
      <c r="A1150" t="s">
        <v>8</v>
      </c>
      <c r="B1150">
        <v>177</v>
      </c>
      <c r="C1150" t="s">
        <v>658</v>
      </c>
      <c r="D1150" t="s">
        <v>680</v>
      </c>
      <c r="E1150" t="s">
        <v>681</v>
      </c>
      <c r="F1150" t="s">
        <v>682</v>
      </c>
      <c r="G1150" t="s">
        <v>440</v>
      </c>
      <c r="H1150" t="s">
        <v>1000</v>
      </c>
      <c r="I1150" t="s">
        <v>680</v>
      </c>
      <c r="J1150" t="s">
        <v>2370</v>
      </c>
      <c r="K1150" s="21" t="s">
        <v>2371</v>
      </c>
      <c r="L1150" s="21" t="s">
        <v>663</v>
      </c>
      <c r="M1150" t="s">
        <v>683</v>
      </c>
      <c r="N1150" t="s">
        <v>684</v>
      </c>
      <c r="R1150" t="s">
        <v>686</v>
      </c>
      <c r="S1150" t="s">
        <v>2370</v>
      </c>
      <c r="T1150" t="s">
        <v>1249</v>
      </c>
      <c r="U1150" t="s">
        <v>2372</v>
      </c>
      <c r="V1150" t="s">
        <v>2373</v>
      </c>
      <c r="W1150" t="s">
        <v>2374</v>
      </c>
    </row>
    <row r="1151" spans="1:23" ht="15" customHeight="1" x14ac:dyDescent="0.3">
      <c r="A1151" t="s">
        <v>8</v>
      </c>
      <c r="B1151">
        <v>177</v>
      </c>
      <c r="C1151" t="s">
        <v>658</v>
      </c>
      <c r="D1151" t="s">
        <v>680</v>
      </c>
      <c r="E1151" t="s">
        <v>681</v>
      </c>
      <c r="F1151" t="s">
        <v>682</v>
      </c>
      <c r="G1151" t="s">
        <v>440</v>
      </c>
      <c r="H1151" t="s">
        <v>1000</v>
      </c>
      <c r="I1151" t="s">
        <v>680</v>
      </c>
      <c r="J1151" t="s">
        <v>2370</v>
      </c>
      <c r="K1151" s="21" t="s">
        <v>2371</v>
      </c>
      <c r="L1151" s="21" t="s">
        <v>663</v>
      </c>
      <c r="M1151" t="s">
        <v>683</v>
      </c>
      <c r="N1151" t="s">
        <v>684</v>
      </c>
      <c r="R1151" t="s">
        <v>687</v>
      </c>
      <c r="S1151" t="s">
        <v>2370</v>
      </c>
      <c r="T1151" t="s">
        <v>1249</v>
      </c>
      <c r="U1151" t="s">
        <v>2372</v>
      </c>
      <c r="V1151" t="s">
        <v>2373</v>
      </c>
      <c r="W1151" t="s">
        <v>2374</v>
      </c>
    </row>
    <row r="1152" spans="1:23" ht="15" customHeight="1" x14ac:dyDescent="0.3">
      <c r="A1152" t="s">
        <v>8</v>
      </c>
      <c r="B1152">
        <v>177</v>
      </c>
      <c r="C1152" t="s">
        <v>658</v>
      </c>
      <c r="D1152" t="s">
        <v>680</v>
      </c>
      <c r="E1152" t="s">
        <v>681</v>
      </c>
      <c r="F1152" t="s">
        <v>682</v>
      </c>
      <c r="G1152" t="s">
        <v>440</v>
      </c>
      <c r="H1152" t="s">
        <v>1272</v>
      </c>
      <c r="I1152" t="s">
        <v>680</v>
      </c>
      <c r="J1152" t="s">
        <v>2375</v>
      </c>
      <c r="K1152" s="21" t="s">
        <v>2376</v>
      </c>
      <c r="L1152" s="21" t="s">
        <v>663</v>
      </c>
      <c r="M1152" t="s">
        <v>683</v>
      </c>
      <c r="N1152" t="s">
        <v>684</v>
      </c>
      <c r="R1152" t="s">
        <v>686</v>
      </c>
      <c r="S1152" t="s">
        <v>2375</v>
      </c>
      <c r="T1152" t="s">
        <v>1249</v>
      </c>
      <c r="U1152" t="s">
        <v>1454</v>
      </c>
      <c r="V1152" t="s">
        <v>2377</v>
      </c>
      <c r="W1152" t="s">
        <v>2378</v>
      </c>
    </row>
    <row r="1153" spans="1:23" ht="15" customHeight="1" x14ac:dyDescent="0.3">
      <c r="A1153" t="s">
        <v>8</v>
      </c>
      <c r="B1153">
        <v>177</v>
      </c>
      <c r="C1153" t="s">
        <v>658</v>
      </c>
      <c r="D1153" t="s">
        <v>680</v>
      </c>
      <c r="E1153" t="s">
        <v>681</v>
      </c>
      <c r="F1153" t="s">
        <v>682</v>
      </c>
      <c r="G1153" t="s">
        <v>440</v>
      </c>
      <c r="H1153" t="s">
        <v>1272</v>
      </c>
      <c r="I1153" t="s">
        <v>680</v>
      </c>
      <c r="J1153" t="s">
        <v>2375</v>
      </c>
      <c r="K1153" s="21" t="s">
        <v>2376</v>
      </c>
      <c r="L1153" s="21" t="s">
        <v>663</v>
      </c>
      <c r="M1153" t="s">
        <v>683</v>
      </c>
      <c r="N1153" t="s">
        <v>684</v>
      </c>
      <c r="R1153" t="s">
        <v>687</v>
      </c>
      <c r="S1153" t="s">
        <v>2375</v>
      </c>
      <c r="T1153" t="s">
        <v>1249</v>
      </c>
      <c r="U1153" t="s">
        <v>1454</v>
      </c>
      <c r="V1153" t="s">
        <v>2377</v>
      </c>
      <c r="W1153" t="s">
        <v>2378</v>
      </c>
    </row>
    <row r="1154" spans="1:23" ht="15" customHeight="1" x14ac:dyDescent="0.3">
      <c r="A1154" t="s">
        <v>8</v>
      </c>
      <c r="B1154">
        <v>182</v>
      </c>
      <c r="C1154" t="s">
        <v>658</v>
      </c>
      <c r="D1154" t="s">
        <v>695</v>
      </c>
      <c r="E1154" t="s">
        <v>34</v>
      </c>
      <c r="F1154" t="s">
        <v>696</v>
      </c>
      <c r="G1154" t="s">
        <v>440</v>
      </c>
      <c r="H1154" t="s">
        <v>37</v>
      </c>
      <c r="I1154" t="s">
        <v>695</v>
      </c>
      <c r="J1154" t="s">
        <v>697</v>
      </c>
      <c r="K1154" t="s">
        <v>698</v>
      </c>
      <c r="L1154" s="21" t="s">
        <v>699</v>
      </c>
      <c r="M1154" t="s">
        <v>700</v>
      </c>
      <c r="N1154" t="s">
        <v>42</v>
      </c>
      <c r="R1154" t="s">
        <v>702</v>
      </c>
      <c r="S1154" t="s">
        <v>697</v>
      </c>
      <c r="T1154" t="s">
        <v>45</v>
      </c>
      <c r="U1154" t="s">
        <v>46</v>
      </c>
      <c r="V1154" t="s">
        <v>703</v>
      </c>
      <c r="W1154" t="s">
        <v>704</v>
      </c>
    </row>
    <row r="1155" spans="1:23" ht="15" customHeight="1" x14ac:dyDescent="0.3">
      <c r="A1155" t="s">
        <v>8</v>
      </c>
      <c r="B1155">
        <v>182</v>
      </c>
      <c r="C1155" t="s">
        <v>658</v>
      </c>
      <c r="D1155" t="s">
        <v>695</v>
      </c>
      <c r="E1155" t="s">
        <v>34</v>
      </c>
      <c r="F1155" t="s">
        <v>696</v>
      </c>
      <c r="G1155" t="s">
        <v>440</v>
      </c>
      <c r="H1155" t="s">
        <v>37</v>
      </c>
      <c r="I1155" t="s">
        <v>695</v>
      </c>
      <c r="J1155" t="s">
        <v>697</v>
      </c>
      <c r="K1155" t="s">
        <v>698</v>
      </c>
      <c r="L1155" s="21" t="s">
        <v>699</v>
      </c>
      <c r="M1155" t="s">
        <v>700</v>
      </c>
      <c r="N1155" t="s">
        <v>42</v>
      </c>
      <c r="R1155" t="s">
        <v>707</v>
      </c>
      <c r="S1155" t="s">
        <v>697</v>
      </c>
      <c r="T1155" t="s">
        <v>45</v>
      </c>
      <c r="U1155" t="s">
        <v>46</v>
      </c>
      <c r="V1155" t="s">
        <v>703</v>
      </c>
      <c r="W1155" t="s">
        <v>704</v>
      </c>
    </row>
    <row r="1156" spans="1:23" ht="15" customHeight="1" x14ac:dyDescent="0.3">
      <c r="A1156" t="s">
        <v>8</v>
      </c>
      <c r="B1156">
        <v>182</v>
      </c>
      <c r="C1156" t="s">
        <v>658</v>
      </c>
      <c r="D1156" t="s">
        <v>695</v>
      </c>
      <c r="E1156" t="s">
        <v>34</v>
      </c>
      <c r="F1156" t="s">
        <v>696</v>
      </c>
      <c r="G1156" t="s">
        <v>440</v>
      </c>
      <c r="H1156" t="s">
        <v>52</v>
      </c>
      <c r="I1156" t="s">
        <v>695</v>
      </c>
      <c r="J1156" t="s">
        <v>705</v>
      </c>
      <c r="K1156" s="21" t="s">
        <v>706</v>
      </c>
      <c r="L1156" s="21" t="s">
        <v>699</v>
      </c>
      <c r="M1156" t="s">
        <v>700</v>
      </c>
      <c r="N1156" t="s">
        <v>42</v>
      </c>
      <c r="R1156" t="s">
        <v>702</v>
      </c>
      <c r="S1156" t="s">
        <v>705</v>
      </c>
      <c r="T1156" t="s">
        <v>45</v>
      </c>
      <c r="U1156" t="s">
        <v>46</v>
      </c>
      <c r="V1156" t="s">
        <v>708</v>
      </c>
      <c r="W1156" t="s">
        <v>709</v>
      </c>
    </row>
    <row r="1157" spans="1:23" ht="15" customHeight="1" x14ac:dyDescent="0.3">
      <c r="A1157" t="s">
        <v>8</v>
      </c>
      <c r="B1157">
        <v>182</v>
      </c>
      <c r="C1157" t="s">
        <v>658</v>
      </c>
      <c r="D1157" t="s">
        <v>695</v>
      </c>
      <c r="E1157" t="s">
        <v>34</v>
      </c>
      <c r="F1157" t="s">
        <v>696</v>
      </c>
      <c r="G1157" t="s">
        <v>440</v>
      </c>
      <c r="H1157" t="s">
        <v>52</v>
      </c>
      <c r="I1157" t="s">
        <v>695</v>
      </c>
      <c r="J1157" t="s">
        <v>705</v>
      </c>
      <c r="K1157" s="21" t="s">
        <v>706</v>
      </c>
      <c r="L1157" s="21" t="s">
        <v>699</v>
      </c>
      <c r="M1157" t="s">
        <v>700</v>
      </c>
      <c r="N1157" t="s">
        <v>42</v>
      </c>
      <c r="R1157" t="s">
        <v>707</v>
      </c>
      <c r="S1157" t="s">
        <v>705</v>
      </c>
      <c r="T1157" t="s">
        <v>45</v>
      </c>
      <c r="U1157" t="s">
        <v>46</v>
      </c>
      <c r="V1157" t="s">
        <v>708</v>
      </c>
      <c r="W1157" t="s">
        <v>709</v>
      </c>
    </row>
    <row r="1158" spans="1:23" ht="15" customHeight="1" x14ac:dyDescent="0.3">
      <c r="A1158" t="s">
        <v>8</v>
      </c>
      <c r="B1158">
        <v>182</v>
      </c>
      <c r="C1158" t="s">
        <v>658</v>
      </c>
      <c r="D1158" t="s">
        <v>695</v>
      </c>
      <c r="E1158" t="s">
        <v>34</v>
      </c>
      <c r="F1158" t="s">
        <v>696</v>
      </c>
      <c r="G1158" t="s">
        <v>440</v>
      </c>
      <c r="H1158" t="s">
        <v>57</v>
      </c>
      <c r="I1158" t="s">
        <v>695</v>
      </c>
      <c r="J1158" t="s">
        <v>710</v>
      </c>
      <c r="K1158" s="21" t="s">
        <v>711</v>
      </c>
      <c r="L1158" s="21" t="s">
        <v>699</v>
      </c>
      <c r="M1158" t="s">
        <v>700</v>
      </c>
      <c r="N1158" t="s">
        <v>42</v>
      </c>
      <c r="R1158" t="s">
        <v>702</v>
      </c>
      <c r="S1158" t="s">
        <v>710</v>
      </c>
      <c r="T1158" t="s">
        <v>45</v>
      </c>
      <c r="U1158" t="s">
        <v>90</v>
      </c>
      <c r="V1158" t="s">
        <v>712</v>
      </c>
      <c r="W1158" t="s">
        <v>713</v>
      </c>
    </row>
    <row r="1159" spans="1:23" ht="15" customHeight="1" x14ac:dyDescent="0.3">
      <c r="A1159" t="s">
        <v>8</v>
      </c>
      <c r="B1159">
        <v>182</v>
      </c>
      <c r="C1159" t="s">
        <v>658</v>
      </c>
      <c r="D1159" t="s">
        <v>695</v>
      </c>
      <c r="E1159" t="s">
        <v>34</v>
      </c>
      <c r="F1159" t="s">
        <v>696</v>
      </c>
      <c r="G1159" t="s">
        <v>440</v>
      </c>
      <c r="H1159" t="s">
        <v>57</v>
      </c>
      <c r="I1159" t="s">
        <v>695</v>
      </c>
      <c r="J1159" t="s">
        <v>710</v>
      </c>
      <c r="K1159" s="21" t="s">
        <v>711</v>
      </c>
      <c r="L1159" s="21" t="s">
        <v>699</v>
      </c>
      <c r="M1159" t="s">
        <v>700</v>
      </c>
      <c r="N1159" t="s">
        <v>42</v>
      </c>
      <c r="R1159" t="s">
        <v>707</v>
      </c>
      <c r="S1159" t="s">
        <v>710</v>
      </c>
      <c r="T1159" t="s">
        <v>45</v>
      </c>
      <c r="U1159" t="s">
        <v>90</v>
      </c>
      <c r="V1159" t="s">
        <v>712</v>
      </c>
      <c r="W1159" t="s">
        <v>713</v>
      </c>
    </row>
    <row r="1160" spans="1:23" ht="15" customHeight="1" x14ac:dyDescent="0.3">
      <c r="A1160" t="s">
        <v>8</v>
      </c>
      <c r="B1160">
        <v>182</v>
      </c>
      <c r="C1160" t="s">
        <v>658</v>
      </c>
      <c r="D1160" t="s">
        <v>695</v>
      </c>
      <c r="E1160" t="s">
        <v>34</v>
      </c>
      <c r="F1160" t="s">
        <v>696</v>
      </c>
      <c r="G1160" t="s">
        <v>440</v>
      </c>
      <c r="H1160" t="s">
        <v>49</v>
      </c>
      <c r="I1160" t="s">
        <v>695</v>
      </c>
      <c r="J1160" t="s">
        <v>714</v>
      </c>
      <c r="K1160" s="21" t="s">
        <v>715</v>
      </c>
      <c r="L1160" s="21" t="s">
        <v>699</v>
      </c>
      <c r="M1160" t="s">
        <v>700</v>
      </c>
      <c r="N1160" t="s">
        <v>42</v>
      </c>
      <c r="R1160" t="s">
        <v>702</v>
      </c>
      <c r="S1160" t="s">
        <v>714</v>
      </c>
      <c r="T1160" t="s">
        <v>45</v>
      </c>
      <c r="U1160" t="s">
        <v>90</v>
      </c>
      <c r="V1160" t="s">
        <v>708</v>
      </c>
      <c r="W1160" t="s">
        <v>716</v>
      </c>
    </row>
    <row r="1161" spans="1:23" ht="15" customHeight="1" x14ac:dyDescent="0.3">
      <c r="A1161" t="s">
        <v>8</v>
      </c>
      <c r="B1161">
        <v>182</v>
      </c>
      <c r="C1161" t="s">
        <v>658</v>
      </c>
      <c r="D1161" t="s">
        <v>695</v>
      </c>
      <c r="E1161" t="s">
        <v>34</v>
      </c>
      <c r="F1161" t="s">
        <v>696</v>
      </c>
      <c r="G1161" t="s">
        <v>440</v>
      </c>
      <c r="H1161" t="s">
        <v>49</v>
      </c>
      <c r="I1161" t="s">
        <v>695</v>
      </c>
      <c r="J1161" t="s">
        <v>714</v>
      </c>
      <c r="K1161" s="21" t="s">
        <v>715</v>
      </c>
      <c r="L1161" s="21" t="s">
        <v>699</v>
      </c>
      <c r="M1161" t="s">
        <v>700</v>
      </c>
      <c r="N1161" t="s">
        <v>42</v>
      </c>
      <c r="R1161" t="s">
        <v>707</v>
      </c>
      <c r="S1161" t="s">
        <v>714</v>
      </c>
      <c r="T1161" t="s">
        <v>45</v>
      </c>
      <c r="U1161" t="s">
        <v>90</v>
      </c>
      <c r="V1161" t="s">
        <v>708</v>
      </c>
      <c r="W1161" t="s">
        <v>716</v>
      </c>
    </row>
    <row r="1162" spans="1:23" ht="15" customHeight="1" x14ac:dyDescent="0.3">
      <c r="A1162" t="s">
        <v>8</v>
      </c>
      <c r="B1162">
        <v>182</v>
      </c>
      <c r="C1162" t="s">
        <v>658</v>
      </c>
      <c r="D1162" t="s">
        <v>695</v>
      </c>
      <c r="E1162" t="s">
        <v>34</v>
      </c>
      <c r="F1162" t="s">
        <v>696</v>
      </c>
      <c r="G1162" t="s">
        <v>440</v>
      </c>
      <c r="H1162" t="s">
        <v>87</v>
      </c>
      <c r="I1162" t="s">
        <v>695</v>
      </c>
      <c r="J1162" t="s">
        <v>2379</v>
      </c>
      <c r="K1162" s="21" t="s">
        <v>2380</v>
      </c>
      <c r="L1162" s="21" t="s">
        <v>699</v>
      </c>
      <c r="M1162" t="s">
        <v>700</v>
      </c>
      <c r="N1162" t="s">
        <v>42</v>
      </c>
      <c r="R1162" t="s">
        <v>702</v>
      </c>
      <c r="S1162" t="s">
        <v>2379</v>
      </c>
      <c r="T1162" t="s">
        <v>1249</v>
      </c>
      <c r="U1162" t="s">
        <v>1461</v>
      </c>
      <c r="V1162" t="s">
        <v>2381</v>
      </c>
      <c r="W1162" t="s">
        <v>2382</v>
      </c>
    </row>
    <row r="1163" spans="1:23" ht="15" customHeight="1" x14ac:dyDescent="0.3">
      <c r="A1163" t="s">
        <v>8</v>
      </c>
      <c r="B1163">
        <v>182</v>
      </c>
      <c r="C1163" t="s">
        <v>658</v>
      </c>
      <c r="D1163" t="s">
        <v>695</v>
      </c>
      <c r="E1163" t="s">
        <v>34</v>
      </c>
      <c r="F1163" t="s">
        <v>696</v>
      </c>
      <c r="G1163" t="s">
        <v>440</v>
      </c>
      <c r="H1163" t="s">
        <v>87</v>
      </c>
      <c r="I1163" t="s">
        <v>695</v>
      </c>
      <c r="J1163" t="s">
        <v>2379</v>
      </c>
      <c r="K1163" s="21" t="s">
        <v>2380</v>
      </c>
      <c r="L1163" s="21" t="s">
        <v>699</v>
      </c>
      <c r="M1163" t="s">
        <v>700</v>
      </c>
      <c r="N1163" t="s">
        <v>42</v>
      </c>
      <c r="R1163" t="s">
        <v>707</v>
      </c>
      <c r="S1163" t="s">
        <v>2379</v>
      </c>
      <c r="T1163" t="s">
        <v>1249</v>
      </c>
      <c r="U1163" t="s">
        <v>1461</v>
      </c>
      <c r="V1163" t="s">
        <v>2381</v>
      </c>
      <c r="W1163" t="s">
        <v>2382</v>
      </c>
    </row>
    <row r="1164" spans="1:23" ht="15" customHeight="1" x14ac:dyDescent="0.3">
      <c r="A1164" t="s">
        <v>8</v>
      </c>
      <c r="B1164">
        <v>349</v>
      </c>
      <c r="C1164" t="s">
        <v>962</v>
      </c>
      <c r="D1164" t="s">
        <v>2383</v>
      </c>
      <c r="E1164" t="s">
        <v>2384</v>
      </c>
      <c r="F1164" t="s">
        <v>2385</v>
      </c>
      <c r="G1164" t="s">
        <v>440</v>
      </c>
      <c r="H1164" t="s">
        <v>2383</v>
      </c>
      <c r="I1164" t="s">
        <v>2383</v>
      </c>
      <c r="J1164" t="s">
        <v>2386</v>
      </c>
      <c r="K1164" t="s">
        <v>2386</v>
      </c>
      <c r="L1164" t="s">
        <v>2386</v>
      </c>
      <c r="M1164" t="s">
        <v>2387</v>
      </c>
      <c r="N1164" t="s">
        <v>2388</v>
      </c>
      <c r="R1164" t="s">
        <v>2389</v>
      </c>
      <c r="S1164" t="s">
        <v>2386</v>
      </c>
      <c r="T1164" t="s">
        <v>2386</v>
      </c>
    </row>
    <row r="1165" spans="1:23" ht="15" customHeight="1" x14ac:dyDescent="0.3">
      <c r="A1165" t="s">
        <v>8</v>
      </c>
      <c r="B1165">
        <v>204</v>
      </c>
      <c r="C1165" t="s">
        <v>717</v>
      </c>
      <c r="D1165" t="s">
        <v>718</v>
      </c>
      <c r="E1165" t="s">
        <v>719</v>
      </c>
      <c r="F1165" t="s">
        <v>720</v>
      </c>
      <c r="G1165" t="s">
        <v>36</v>
      </c>
      <c r="H1165" t="s">
        <v>37</v>
      </c>
      <c r="I1165" t="s">
        <v>718</v>
      </c>
      <c r="J1165" t="s">
        <v>721</v>
      </c>
      <c r="K1165" t="s">
        <v>722</v>
      </c>
      <c r="L1165" s="21" t="s">
        <v>723</v>
      </c>
      <c r="M1165" t="s">
        <v>724</v>
      </c>
      <c r="N1165" t="s">
        <v>725</v>
      </c>
      <c r="Q1165" t="s">
        <v>727</v>
      </c>
      <c r="R1165" t="s">
        <v>728</v>
      </c>
      <c r="S1165" t="s">
        <v>721</v>
      </c>
      <c r="T1165" t="s">
        <v>45</v>
      </c>
      <c r="U1165" t="s">
        <v>46</v>
      </c>
      <c r="V1165" t="s">
        <v>729</v>
      </c>
      <c r="W1165" t="s">
        <v>730</v>
      </c>
    </row>
    <row r="1166" spans="1:23" ht="15" customHeight="1" x14ac:dyDescent="0.3">
      <c r="A1166" t="s">
        <v>8</v>
      </c>
      <c r="B1166">
        <v>204</v>
      </c>
      <c r="C1166" t="s">
        <v>717</v>
      </c>
      <c r="D1166" t="s">
        <v>718</v>
      </c>
      <c r="E1166" t="s">
        <v>719</v>
      </c>
      <c r="F1166" t="s">
        <v>720</v>
      </c>
      <c r="G1166" t="s">
        <v>36</v>
      </c>
      <c r="H1166" t="s">
        <v>52</v>
      </c>
      <c r="I1166" t="s">
        <v>718</v>
      </c>
      <c r="J1166" t="s">
        <v>2390</v>
      </c>
      <c r="K1166" s="21" t="s">
        <v>2391</v>
      </c>
      <c r="L1166" s="21" t="s">
        <v>723</v>
      </c>
      <c r="M1166" t="s">
        <v>724</v>
      </c>
      <c r="N1166" t="s">
        <v>725</v>
      </c>
      <c r="Q1166" t="s">
        <v>727</v>
      </c>
      <c r="R1166" t="s">
        <v>728</v>
      </c>
      <c r="S1166" t="s">
        <v>2390</v>
      </c>
      <c r="T1166" t="s">
        <v>45</v>
      </c>
      <c r="U1166" t="s">
        <v>1257</v>
      </c>
      <c r="V1166" t="s">
        <v>733</v>
      </c>
      <c r="W1166" t="s">
        <v>2392</v>
      </c>
    </row>
    <row r="1167" spans="1:23" ht="15" customHeight="1" x14ac:dyDescent="0.3">
      <c r="A1167" t="s">
        <v>8</v>
      </c>
      <c r="B1167">
        <v>204</v>
      </c>
      <c r="C1167" t="s">
        <v>717</v>
      </c>
      <c r="D1167" t="s">
        <v>718</v>
      </c>
      <c r="E1167" t="s">
        <v>719</v>
      </c>
      <c r="F1167" t="s">
        <v>720</v>
      </c>
      <c r="G1167" t="s">
        <v>36</v>
      </c>
      <c r="H1167" t="s">
        <v>57</v>
      </c>
      <c r="I1167" t="s">
        <v>718</v>
      </c>
      <c r="J1167" t="s">
        <v>731</v>
      </c>
      <c r="K1167" s="21" t="s">
        <v>732</v>
      </c>
      <c r="L1167" s="21" t="s">
        <v>723</v>
      </c>
      <c r="M1167" t="s">
        <v>724</v>
      </c>
      <c r="N1167" t="s">
        <v>725</v>
      </c>
      <c r="Q1167" t="s">
        <v>727</v>
      </c>
      <c r="R1167" t="s">
        <v>728</v>
      </c>
      <c r="S1167" t="s">
        <v>731</v>
      </c>
      <c r="T1167" t="s">
        <v>45</v>
      </c>
      <c r="U1167" t="s">
        <v>90</v>
      </c>
      <c r="V1167" t="s">
        <v>733</v>
      </c>
      <c r="W1167" t="s">
        <v>734</v>
      </c>
    </row>
    <row r="1168" spans="1:23" ht="15" customHeight="1" x14ac:dyDescent="0.3">
      <c r="A1168" t="s">
        <v>8</v>
      </c>
      <c r="B1168">
        <v>204</v>
      </c>
      <c r="C1168" t="s">
        <v>717</v>
      </c>
      <c r="D1168" t="s">
        <v>718</v>
      </c>
      <c r="E1168" t="s">
        <v>719</v>
      </c>
      <c r="F1168" t="s">
        <v>720</v>
      </c>
      <c r="G1168" t="s">
        <v>36</v>
      </c>
      <c r="H1168" t="s">
        <v>49</v>
      </c>
      <c r="I1168" t="s">
        <v>718</v>
      </c>
      <c r="J1168" t="s">
        <v>2393</v>
      </c>
      <c r="K1168" s="21" t="s">
        <v>2394</v>
      </c>
      <c r="L1168" s="21" t="s">
        <v>723</v>
      </c>
      <c r="M1168" t="s">
        <v>724</v>
      </c>
      <c r="N1168" t="s">
        <v>725</v>
      </c>
      <c r="Q1168" t="s">
        <v>727</v>
      </c>
      <c r="R1168" t="s">
        <v>728</v>
      </c>
      <c r="S1168" t="s">
        <v>2393</v>
      </c>
      <c r="T1168" t="s">
        <v>1544</v>
      </c>
      <c r="U1168" t="s">
        <v>2395</v>
      </c>
      <c r="V1168" t="s">
        <v>729</v>
      </c>
      <c r="W1168" t="s">
        <v>2396</v>
      </c>
    </row>
    <row r="1169" spans="1:23" ht="15" customHeight="1" x14ac:dyDescent="0.3">
      <c r="A1169" t="s">
        <v>8</v>
      </c>
      <c r="B1169">
        <v>204</v>
      </c>
      <c r="C1169" t="s">
        <v>717</v>
      </c>
      <c r="D1169" t="s">
        <v>718</v>
      </c>
      <c r="E1169" t="s">
        <v>719</v>
      </c>
      <c r="F1169" t="s">
        <v>720</v>
      </c>
      <c r="G1169" t="s">
        <v>36</v>
      </c>
      <c r="H1169" t="s">
        <v>87</v>
      </c>
      <c r="I1169" t="s">
        <v>718</v>
      </c>
      <c r="J1169" t="s">
        <v>2397</v>
      </c>
      <c r="K1169" s="21" t="s">
        <v>2398</v>
      </c>
      <c r="L1169" s="21" t="s">
        <v>723</v>
      </c>
      <c r="M1169" t="s">
        <v>724</v>
      </c>
      <c r="N1169" t="s">
        <v>725</v>
      </c>
      <c r="Q1169" t="s">
        <v>727</v>
      </c>
      <c r="R1169" t="s">
        <v>728</v>
      </c>
      <c r="S1169" t="s">
        <v>2397</v>
      </c>
      <c r="T1169" t="s">
        <v>1249</v>
      </c>
      <c r="U1169" t="s">
        <v>1444</v>
      </c>
      <c r="V1169" t="s">
        <v>733</v>
      </c>
      <c r="W1169" t="s">
        <v>2399</v>
      </c>
    </row>
    <row r="1170" spans="1:23" ht="15" customHeight="1" x14ac:dyDescent="0.3">
      <c r="A1170" t="s">
        <v>8</v>
      </c>
      <c r="B1170">
        <v>204</v>
      </c>
      <c r="C1170" t="s">
        <v>717</v>
      </c>
      <c r="D1170" t="s">
        <v>718</v>
      </c>
      <c r="E1170" t="s">
        <v>719</v>
      </c>
      <c r="F1170" t="s">
        <v>720</v>
      </c>
      <c r="G1170" t="s">
        <v>36</v>
      </c>
      <c r="H1170" t="s">
        <v>421</v>
      </c>
      <c r="I1170" t="s">
        <v>718</v>
      </c>
      <c r="J1170" t="s">
        <v>2400</v>
      </c>
      <c r="K1170" s="21" t="s">
        <v>2401</v>
      </c>
      <c r="L1170" s="21" t="s">
        <v>723</v>
      </c>
      <c r="M1170" t="s">
        <v>724</v>
      </c>
      <c r="N1170" t="s">
        <v>725</v>
      </c>
      <c r="Q1170" t="s">
        <v>727</v>
      </c>
      <c r="R1170" t="s">
        <v>728</v>
      </c>
      <c r="S1170" t="s">
        <v>2400</v>
      </c>
      <c r="T1170" t="s">
        <v>1249</v>
      </c>
      <c r="U1170" t="s">
        <v>1286</v>
      </c>
      <c r="V1170" t="s">
        <v>733</v>
      </c>
      <c r="W1170" t="s">
        <v>2399</v>
      </c>
    </row>
    <row r="1171" spans="1:23" ht="15" customHeight="1" x14ac:dyDescent="0.3">
      <c r="A1171" t="s">
        <v>8</v>
      </c>
      <c r="B1171">
        <v>204</v>
      </c>
      <c r="C1171" t="s">
        <v>717</v>
      </c>
      <c r="D1171" t="s">
        <v>718</v>
      </c>
      <c r="E1171" t="s">
        <v>719</v>
      </c>
      <c r="F1171" t="s">
        <v>720</v>
      </c>
      <c r="G1171" t="s">
        <v>36</v>
      </c>
      <c r="H1171" t="s">
        <v>182</v>
      </c>
      <c r="I1171" t="s">
        <v>718</v>
      </c>
      <c r="J1171" t="s">
        <v>2402</v>
      </c>
      <c r="K1171" s="21" t="s">
        <v>2403</v>
      </c>
      <c r="L1171" s="21" t="s">
        <v>723</v>
      </c>
      <c r="M1171" t="s">
        <v>724</v>
      </c>
      <c r="N1171" t="s">
        <v>725</v>
      </c>
      <c r="Q1171" t="s">
        <v>727</v>
      </c>
      <c r="R1171" t="s">
        <v>728</v>
      </c>
      <c r="S1171" t="s">
        <v>2402</v>
      </c>
      <c r="T1171" t="s">
        <v>1249</v>
      </c>
      <c r="U1171" t="s">
        <v>1286</v>
      </c>
      <c r="V1171" t="s">
        <v>729</v>
      </c>
      <c r="W1171" t="s">
        <v>2404</v>
      </c>
    </row>
    <row r="1172" spans="1:23" ht="15" customHeight="1" x14ac:dyDescent="0.3">
      <c r="A1172" t="s">
        <v>8</v>
      </c>
      <c r="B1172">
        <v>204</v>
      </c>
      <c r="C1172" t="s">
        <v>717</v>
      </c>
      <c r="D1172" t="s">
        <v>718</v>
      </c>
      <c r="E1172" t="s">
        <v>719</v>
      </c>
      <c r="F1172" t="s">
        <v>720</v>
      </c>
      <c r="G1172" t="s">
        <v>36</v>
      </c>
      <c r="H1172" t="s">
        <v>1242</v>
      </c>
      <c r="I1172" t="s">
        <v>718</v>
      </c>
      <c r="J1172" t="s">
        <v>2405</v>
      </c>
      <c r="K1172" s="21" t="s">
        <v>2406</v>
      </c>
      <c r="L1172" s="21" t="s">
        <v>723</v>
      </c>
      <c r="M1172" t="s">
        <v>724</v>
      </c>
      <c r="N1172" t="s">
        <v>725</v>
      </c>
      <c r="Q1172" t="s">
        <v>727</v>
      </c>
      <c r="R1172" t="s">
        <v>728</v>
      </c>
      <c r="S1172" t="s">
        <v>2405</v>
      </c>
      <c r="T1172" t="s">
        <v>1249</v>
      </c>
      <c r="U1172" t="s">
        <v>2407</v>
      </c>
      <c r="V1172" t="s">
        <v>2408</v>
      </c>
      <c r="W1172" t="s">
        <v>2409</v>
      </c>
    </row>
    <row r="1173" spans="1:23" ht="15" customHeight="1" x14ac:dyDescent="0.3">
      <c r="A1173" t="s">
        <v>8</v>
      </c>
      <c r="B1173">
        <v>204</v>
      </c>
      <c r="C1173" t="s">
        <v>717</v>
      </c>
      <c r="D1173" t="s">
        <v>718</v>
      </c>
      <c r="E1173" t="s">
        <v>719</v>
      </c>
      <c r="F1173" t="s">
        <v>720</v>
      </c>
      <c r="G1173" t="s">
        <v>36</v>
      </c>
      <c r="H1173" t="s">
        <v>425</v>
      </c>
      <c r="I1173" t="s">
        <v>718</v>
      </c>
      <c r="J1173" t="s">
        <v>2410</v>
      </c>
      <c r="K1173" s="21" t="s">
        <v>2411</v>
      </c>
      <c r="L1173" s="21" t="s">
        <v>723</v>
      </c>
      <c r="M1173" t="s">
        <v>724</v>
      </c>
      <c r="N1173" t="s">
        <v>725</v>
      </c>
      <c r="Q1173" t="s">
        <v>727</v>
      </c>
      <c r="R1173" t="s">
        <v>728</v>
      </c>
      <c r="S1173" t="s">
        <v>2410</v>
      </c>
      <c r="T1173" t="s">
        <v>1290</v>
      </c>
      <c r="U1173" t="s">
        <v>1291</v>
      </c>
      <c r="V1173" t="s">
        <v>729</v>
      </c>
      <c r="W1173" t="s">
        <v>2412</v>
      </c>
    </row>
    <row r="1174" spans="1:23" ht="15" customHeight="1" x14ac:dyDescent="0.3">
      <c r="A1174" t="s">
        <v>8</v>
      </c>
      <c r="B1174">
        <v>204</v>
      </c>
      <c r="C1174" t="s">
        <v>717</v>
      </c>
      <c r="D1174" t="s">
        <v>718</v>
      </c>
      <c r="E1174" t="s">
        <v>719</v>
      </c>
      <c r="F1174" t="s">
        <v>720</v>
      </c>
      <c r="G1174" t="s">
        <v>36</v>
      </c>
      <c r="H1174" t="s">
        <v>996</v>
      </c>
      <c r="I1174" t="s">
        <v>718</v>
      </c>
      <c r="J1174" t="s">
        <v>2413</v>
      </c>
      <c r="K1174" s="21" t="s">
        <v>2414</v>
      </c>
      <c r="L1174" s="21" t="s">
        <v>723</v>
      </c>
      <c r="M1174" t="s">
        <v>724</v>
      </c>
      <c r="N1174" t="s">
        <v>725</v>
      </c>
      <c r="Q1174" t="s">
        <v>727</v>
      </c>
      <c r="R1174" t="s">
        <v>728</v>
      </c>
      <c r="S1174" t="s">
        <v>2413</v>
      </c>
      <c r="T1174" t="s">
        <v>1290</v>
      </c>
      <c r="U1174" t="s">
        <v>1296</v>
      </c>
      <c r="V1174" t="s">
        <v>729</v>
      </c>
      <c r="W1174" t="s">
        <v>2412</v>
      </c>
    </row>
    <row r="1175" spans="1:23" ht="15" customHeight="1" x14ac:dyDescent="0.3">
      <c r="A1175" t="s">
        <v>8</v>
      </c>
      <c r="B1175">
        <v>233</v>
      </c>
      <c r="C1175" t="s">
        <v>717</v>
      </c>
      <c r="D1175" t="s">
        <v>2415</v>
      </c>
      <c r="E1175" t="s">
        <v>34</v>
      </c>
      <c r="F1175" t="s">
        <v>2416</v>
      </c>
      <c r="G1175" t="s">
        <v>36</v>
      </c>
      <c r="H1175" t="s">
        <v>37</v>
      </c>
      <c r="I1175" t="s">
        <v>2415</v>
      </c>
      <c r="J1175" t="s">
        <v>2417</v>
      </c>
      <c r="K1175" t="s">
        <v>2418</v>
      </c>
      <c r="L1175" s="21" t="s">
        <v>2419</v>
      </c>
      <c r="M1175" t="s">
        <v>2420</v>
      </c>
      <c r="N1175" t="s">
        <v>2421</v>
      </c>
      <c r="R1175" t="s">
        <v>2422</v>
      </c>
      <c r="S1175" t="s">
        <v>2417</v>
      </c>
      <c r="T1175" t="s">
        <v>1231</v>
      </c>
      <c r="U1175" t="s">
        <v>2423</v>
      </c>
      <c r="V1175" t="s">
        <v>2424</v>
      </c>
      <c r="W1175" t="s">
        <v>2425</v>
      </c>
    </row>
    <row r="1176" spans="1:23" ht="15" customHeight="1" x14ac:dyDescent="0.3">
      <c r="A1176" t="s">
        <v>8</v>
      </c>
      <c r="B1176">
        <v>233</v>
      </c>
      <c r="C1176" t="s">
        <v>717</v>
      </c>
      <c r="D1176" t="s">
        <v>2415</v>
      </c>
      <c r="E1176" t="s">
        <v>34</v>
      </c>
      <c r="F1176" t="s">
        <v>2416</v>
      </c>
      <c r="G1176" t="s">
        <v>36</v>
      </c>
      <c r="H1176" t="s">
        <v>52</v>
      </c>
      <c r="I1176" t="s">
        <v>2415</v>
      </c>
      <c r="J1176" t="s">
        <v>2426</v>
      </c>
      <c r="K1176" s="21" t="s">
        <v>2427</v>
      </c>
      <c r="L1176" s="21" t="s">
        <v>2419</v>
      </c>
      <c r="M1176" t="s">
        <v>2420</v>
      </c>
      <c r="N1176" t="s">
        <v>2421</v>
      </c>
      <c r="R1176" t="s">
        <v>2422</v>
      </c>
      <c r="S1176" t="s">
        <v>2426</v>
      </c>
      <c r="T1176" t="s">
        <v>1249</v>
      </c>
      <c r="U1176" t="s">
        <v>1444</v>
      </c>
      <c r="V1176" t="s">
        <v>2428</v>
      </c>
      <c r="W1176" t="s">
        <v>2429</v>
      </c>
    </row>
    <row r="1177" spans="1:23" ht="15" customHeight="1" x14ac:dyDescent="0.3">
      <c r="A1177" t="s">
        <v>8</v>
      </c>
      <c r="B1177">
        <v>233</v>
      </c>
      <c r="C1177" t="s">
        <v>717</v>
      </c>
      <c r="D1177" t="s">
        <v>2415</v>
      </c>
      <c r="E1177" t="s">
        <v>34</v>
      </c>
      <c r="F1177" t="s">
        <v>2416</v>
      </c>
      <c r="G1177" t="s">
        <v>36</v>
      </c>
      <c r="H1177" t="s">
        <v>57</v>
      </c>
      <c r="I1177" t="s">
        <v>2415</v>
      </c>
      <c r="J1177" t="s">
        <v>2430</v>
      </c>
      <c r="K1177" s="21" t="s">
        <v>2431</v>
      </c>
      <c r="L1177" s="21" t="s">
        <v>2419</v>
      </c>
      <c r="M1177" t="s">
        <v>2420</v>
      </c>
      <c r="N1177" t="s">
        <v>2421</v>
      </c>
      <c r="R1177" t="s">
        <v>2422</v>
      </c>
      <c r="S1177" t="s">
        <v>2430</v>
      </c>
      <c r="T1177" t="s">
        <v>1249</v>
      </c>
      <c r="U1177" t="s">
        <v>1449</v>
      </c>
      <c r="V1177" t="s">
        <v>2428</v>
      </c>
      <c r="W1177" t="s">
        <v>2429</v>
      </c>
    </row>
    <row r="1178" spans="1:23" ht="15" customHeight="1" x14ac:dyDescent="0.3">
      <c r="A1178" t="s">
        <v>8</v>
      </c>
      <c r="B1178">
        <v>233</v>
      </c>
      <c r="C1178" t="s">
        <v>717</v>
      </c>
      <c r="D1178" t="s">
        <v>2415</v>
      </c>
      <c r="E1178" t="s">
        <v>34</v>
      </c>
      <c r="F1178" t="s">
        <v>2416</v>
      </c>
      <c r="G1178" t="s">
        <v>36</v>
      </c>
      <c r="H1178" t="s">
        <v>49</v>
      </c>
      <c r="I1178" t="s">
        <v>2415</v>
      </c>
      <c r="J1178" t="s">
        <v>2432</v>
      </c>
      <c r="K1178" s="21" t="s">
        <v>2433</v>
      </c>
      <c r="L1178" s="21" t="s">
        <v>2419</v>
      </c>
      <c r="M1178" t="s">
        <v>2420</v>
      </c>
      <c r="N1178" t="s">
        <v>2421</v>
      </c>
      <c r="R1178" t="s">
        <v>2422</v>
      </c>
      <c r="S1178" t="s">
        <v>2432</v>
      </c>
      <c r="T1178" t="s">
        <v>1249</v>
      </c>
      <c r="U1178" t="s">
        <v>1286</v>
      </c>
      <c r="V1178" t="s">
        <v>2428</v>
      </c>
      <c r="W1178" t="s">
        <v>2429</v>
      </c>
    </row>
    <row r="1179" spans="1:23" ht="15" customHeight="1" x14ac:dyDescent="0.3">
      <c r="A1179" t="s">
        <v>8</v>
      </c>
      <c r="B1179">
        <v>233</v>
      </c>
      <c r="C1179" t="s">
        <v>717</v>
      </c>
      <c r="D1179" t="s">
        <v>2415</v>
      </c>
      <c r="E1179" t="s">
        <v>34</v>
      </c>
      <c r="F1179" t="s">
        <v>2416</v>
      </c>
      <c r="G1179" t="s">
        <v>36</v>
      </c>
      <c r="H1179" t="s">
        <v>87</v>
      </c>
      <c r="I1179" t="s">
        <v>2415</v>
      </c>
      <c r="J1179" t="s">
        <v>2417</v>
      </c>
      <c r="K1179" s="21" t="s">
        <v>2434</v>
      </c>
      <c r="L1179" s="21" t="s">
        <v>2419</v>
      </c>
      <c r="M1179" t="s">
        <v>2420</v>
      </c>
      <c r="N1179" t="s">
        <v>2421</v>
      </c>
      <c r="R1179" t="s">
        <v>2422</v>
      </c>
      <c r="S1179" t="s">
        <v>2417</v>
      </c>
      <c r="T1179" t="s">
        <v>1231</v>
      </c>
      <c r="U1179" t="s">
        <v>2423</v>
      </c>
      <c r="V1179" t="s">
        <v>2424</v>
      </c>
      <c r="W1179" t="s">
        <v>2425</v>
      </c>
    </row>
    <row r="1180" spans="1:23" ht="15" customHeight="1" x14ac:dyDescent="0.3">
      <c r="A1180" t="s">
        <v>8</v>
      </c>
      <c r="B1180">
        <v>210</v>
      </c>
      <c r="C1180" t="s">
        <v>717</v>
      </c>
      <c r="D1180" t="s">
        <v>735</v>
      </c>
      <c r="E1180" t="s">
        <v>34</v>
      </c>
      <c r="F1180" t="s">
        <v>736</v>
      </c>
      <c r="G1180" t="s">
        <v>36</v>
      </c>
      <c r="H1180" t="s">
        <v>37</v>
      </c>
      <c r="I1180" t="s">
        <v>735</v>
      </c>
      <c r="J1180" t="s">
        <v>737</v>
      </c>
      <c r="K1180" t="s">
        <v>738</v>
      </c>
      <c r="L1180" s="21" t="s">
        <v>739</v>
      </c>
      <c r="M1180" t="s">
        <v>740</v>
      </c>
      <c r="N1180" t="s">
        <v>42</v>
      </c>
      <c r="R1180" t="s">
        <v>742</v>
      </c>
      <c r="S1180" t="s">
        <v>737</v>
      </c>
      <c r="T1180" t="s">
        <v>45</v>
      </c>
      <c r="U1180" t="s">
        <v>46</v>
      </c>
      <c r="V1180" t="s">
        <v>743</v>
      </c>
      <c r="W1180" t="s">
        <v>744</v>
      </c>
    </row>
    <row r="1181" spans="1:23" ht="15" customHeight="1" x14ac:dyDescent="0.3">
      <c r="A1181" t="s">
        <v>8</v>
      </c>
      <c r="B1181">
        <v>210</v>
      </c>
      <c r="C1181" t="s">
        <v>717</v>
      </c>
      <c r="D1181" t="s">
        <v>735</v>
      </c>
      <c r="E1181" t="s">
        <v>34</v>
      </c>
      <c r="F1181" t="s">
        <v>736</v>
      </c>
      <c r="G1181" t="s">
        <v>36</v>
      </c>
      <c r="H1181" t="s">
        <v>52</v>
      </c>
      <c r="I1181" t="s">
        <v>735</v>
      </c>
      <c r="J1181" t="s">
        <v>2435</v>
      </c>
      <c r="K1181" s="21" t="s">
        <v>2436</v>
      </c>
      <c r="L1181" s="21" t="s">
        <v>739</v>
      </c>
      <c r="M1181" t="s">
        <v>740</v>
      </c>
      <c r="N1181" t="s">
        <v>42</v>
      </c>
      <c r="R1181" t="s">
        <v>742</v>
      </c>
      <c r="S1181" t="s">
        <v>2435</v>
      </c>
      <c r="T1181" t="s">
        <v>45</v>
      </c>
      <c r="U1181" t="s">
        <v>1257</v>
      </c>
      <c r="V1181" t="s">
        <v>743</v>
      </c>
      <c r="W1181" t="s">
        <v>2437</v>
      </c>
    </row>
    <row r="1182" spans="1:23" ht="15" customHeight="1" x14ac:dyDescent="0.3">
      <c r="A1182" t="s">
        <v>8</v>
      </c>
      <c r="B1182">
        <v>210</v>
      </c>
      <c r="C1182" t="s">
        <v>717</v>
      </c>
      <c r="D1182" t="s">
        <v>735</v>
      </c>
      <c r="E1182" t="s">
        <v>34</v>
      </c>
      <c r="F1182" t="s">
        <v>736</v>
      </c>
      <c r="G1182" t="s">
        <v>36</v>
      </c>
      <c r="H1182" t="s">
        <v>57</v>
      </c>
      <c r="I1182" t="s">
        <v>735</v>
      </c>
      <c r="J1182" t="s">
        <v>2438</v>
      </c>
      <c r="K1182" s="21" t="s">
        <v>2439</v>
      </c>
      <c r="L1182" s="21" t="s">
        <v>739</v>
      </c>
      <c r="M1182" t="s">
        <v>740</v>
      </c>
      <c r="N1182" t="s">
        <v>42</v>
      </c>
      <c r="R1182" t="s">
        <v>742</v>
      </c>
      <c r="S1182" t="s">
        <v>2438</v>
      </c>
      <c r="T1182" t="s">
        <v>1544</v>
      </c>
      <c r="U1182" t="s">
        <v>1691</v>
      </c>
      <c r="V1182" t="s">
        <v>743</v>
      </c>
      <c r="W1182" t="s">
        <v>2440</v>
      </c>
    </row>
    <row r="1183" spans="1:23" ht="15" customHeight="1" x14ac:dyDescent="0.3">
      <c r="A1183" t="s">
        <v>8</v>
      </c>
      <c r="B1183">
        <v>210</v>
      </c>
      <c r="C1183" t="s">
        <v>717</v>
      </c>
      <c r="D1183" t="s">
        <v>735</v>
      </c>
      <c r="E1183" t="s">
        <v>34</v>
      </c>
      <c r="F1183" t="s">
        <v>736</v>
      </c>
      <c r="G1183" t="s">
        <v>36</v>
      </c>
      <c r="H1183" t="s">
        <v>49</v>
      </c>
      <c r="I1183" t="s">
        <v>735</v>
      </c>
      <c r="J1183" t="s">
        <v>2441</v>
      </c>
      <c r="K1183" s="21" t="s">
        <v>2442</v>
      </c>
      <c r="L1183" s="21" t="s">
        <v>739</v>
      </c>
      <c r="M1183" t="s">
        <v>740</v>
      </c>
      <c r="N1183" t="s">
        <v>42</v>
      </c>
      <c r="R1183" t="s">
        <v>742</v>
      </c>
      <c r="S1183" t="s">
        <v>2441</v>
      </c>
      <c r="T1183" t="s">
        <v>1249</v>
      </c>
      <c r="U1183" t="s">
        <v>1286</v>
      </c>
      <c r="V1183" t="s">
        <v>743</v>
      </c>
      <c r="W1183" t="s">
        <v>2443</v>
      </c>
    </row>
    <row r="1184" spans="1:23" ht="15" customHeight="1" x14ac:dyDescent="0.3">
      <c r="A1184" t="s">
        <v>8</v>
      </c>
      <c r="B1184">
        <v>210</v>
      </c>
      <c r="C1184" t="s">
        <v>717</v>
      </c>
      <c r="D1184" t="s">
        <v>735</v>
      </c>
      <c r="E1184" t="s">
        <v>34</v>
      </c>
      <c r="F1184" t="s">
        <v>736</v>
      </c>
      <c r="G1184" t="s">
        <v>36</v>
      </c>
      <c r="H1184" t="s">
        <v>87</v>
      </c>
      <c r="I1184" t="s">
        <v>735</v>
      </c>
      <c r="J1184" t="s">
        <v>2444</v>
      </c>
      <c r="K1184" s="21" t="s">
        <v>2445</v>
      </c>
      <c r="L1184" s="21" t="s">
        <v>739</v>
      </c>
      <c r="M1184" t="s">
        <v>740</v>
      </c>
      <c r="N1184" t="s">
        <v>42</v>
      </c>
      <c r="R1184" t="s">
        <v>742</v>
      </c>
      <c r="S1184" t="s">
        <v>2444</v>
      </c>
      <c r="T1184" t="s">
        <v>1231</v>
      </c>
      <c r="U1184" t="s">
        <v>1232</v>
      </c>
      <c r="V1184" t="s">
        <v>2446</v>
      </c>
      <c r="W1184" t="s">
        <v>2447</v>
      </c>
    </row>
    <row r="1185" spans="1:23" ht="15" customHeight="1" x14ac:dyDescent="0.3">
      <c r="A1185" t="s">
        <v>8</v>
      </c>
      <c r="B1185">
        <v>210</v>
      </c>
      <c r="C1185" t="s">
        <v>717</v>
      </c>
      <c r="D1185" t="s">
        <v>735</v>
      </c>
      <c r="E1185" t="s">
        <v>34</v>
      </c>
      <c r="F1185" t="s">
        <v>736</v>
      </c>
      <c r="G1185" t="s">
        <v>36</v>
      </c>
      <c r="H1185" t="s">
        <v>421</v>
      </c>
      <c r="I1185" t="s">
        <v>735</v>
      </c>
      <c r="J1185" t="s">
        <v>2448</v>
      </c>
      <c r="K1185" s="21" t="s">
        <v>2449</v>
      </c>
      <c r="L1185" s="21" t="s">
        <v>739</v>
      </c>
      <c r="M1185" t="s">
        <v>740</v>
      </c>
      <c r="N1185" t="s">
        <v>42</v>
      </c>
      <c r="R1185" t="s">
        <v>742</v>
      </c>
      <c r="S1185" t="s">
        <v>2448</v>
      </c>
      <c r="T1185" t="s">
        <v>1231</v>
      </c>
      <c r="U1185" t="s">
        <v>1241</v>
      </c>
      <c r="V1185" t="s">
        <v>2446</v>
      </c>
      <c r="W1185" t="s">
        <v>2447</v>
      </c>
    </row>
    <row r="1186" spans="1:23" ht="15" customHeight="1" x14ac:dyDescent="0.3">
      <c r="A1186" t="s">
        <v>8</v>
      </c>
      <c r="B1186">
        <v>210</v>
      </c>
      <c r="C1186" t="s">
        <v>717</v>
      </c>
      <c r="D1186" t="s">
        <v>735</v>
      </c>
      <c r="E1186" t="s">
        <v>34</v>
      </c>
      <c r="F1186" t="s">
        <v>736</v>
      </c>
      <c r="G1186" t="s">
        <v>36</v>
      </c>
      <c r="H1186" t="s">
        <v>182</v>
      </c>
      <c r="I1186" t="s">
        <v>735</v>
      </c>
      <c r="J1186" t="s">
        <v>2450</v>
      </c>
      <c r="K1186" s="21" t="s">
        <v>2451</v>
      </c>
      <c r="L1186" s="21" t="s">
        <v>739</v>
      </c>
      <c r="M1186" t="s">
        <v>740</v>
      </c>
      <c r="N1186" t="s">
        <v>42</v>
      </c>
      <c r="R1186" t="s">
        <v>742</v>
      </c>
      <c r="S1186" t="s">
        <v>2450</v>
      </c>
      <c r="T1186" t="s">
        <v>1231</v>
      </c>
      <c r="U1186" t="s">
        <v>2423</v>
      </c>
      <c r="V1186" t="s">
        <v>2452</v>
      </c>
      <c r="W1186" t="s">
        <v>2453</v>
      </c>
    </row>
    <row r="1187" spans="1:23" ht="15" customHeight="1" x14ac:dyDescent="0.3">
      <c r="A1187" t="s">
        <v>8</v>
      </c>
      <c r="B1187">
        <v>210</v>
      </c>
      <c r="C1187" t="s">
        <v>717</v>
      </c>
      <c r="D1187" t="s">
        <v>735</v>
      </c>
      <c r="E1187" t="s">
        <v>34</v>
      </c>
      <c r="F1187" t="s">
        <v>736</v>
      </c>
      <c r="G1187" t="s">
        <v>36</v>
      </c>
      <c r="H1187" t="s">
        <v>1242</v>
      </c>
      <c r="I1187" t="s">
        <v>735</v>
      </c>
      <c r="J1187" t="s">
        <v>2454</v>
      </c>
      <c r="K1187" s="21" t="s">
        <v>2455</v>
      </c>
      <c r="L1187" s="21" t="s">
        <v>739</v>
      </c>
      <c r="M1187" t="s">
        <v>740</v>
      </c>
      <c r="N1187" t="s">
        <v>42</v>
      </c>
      <c r="R1187" t="s">
        <v>742</v>
      </c>
      <c r="S1187" t="s">
        <v>2454</v>
      </c>
      <c r="T1187" t="s">
        <v>1249</v>
      </c>
      <c r="U1187" t="s">
        <v>2456</v>
      </c>
      <c r="V1187" t="s">
        <v>2457</v>
      </c>
      <c r="W1187" t="s">
        <v>2458</v>
      </c>
    </row>
    <row r="1188" spans="1:23" ht="15" customHeight="1" x14ac:dyDescent="0.3">
      <c r="A1188" t="s">
        <v>8</v>
      </c>
      <c r="B1188">
        <v>203</v>
      </c>
      <c r="C1188" t="s">
        <v>717</v>
      </c>
      <c r="D1188" t="s">
        <v>745</v>
      </c>
      <c r="E1188" t="s">
        <v>746</v>
      </c>
      <c r="F1188" t="s">
        <v>747</v>
      </c>
      <c r="G1188" t="s">
        <v>36</v>
      </c>
      <c r="H1188" t="s">
        <v>37</v>
      </c>
      <c r="I1188" t="s">
        <v>745</v>
      </c>
      <c r="J1188" t="s">
        <v>2459</v>
      </c>
      <c r="K1188" t="s">
        <v>2460</v>
      </c>
      <c r="L1188" s="21" t="s">
        <v>750</v>
      </c>
      <c r="M1188" t="s">
        <v>751</v>
      </c>
      <c r="N1188" t="s">
        <v>42</v>
      </c>
      <c r="Q1188" t="s">
        <v>727</v>
      </c>
      <c r="R1188" t="s">
        <v>753</v>
      </c>
      <c r="S1188" t="s">
        <v>2459</v>
      </c>
      <c r="T1188" t="s">
        <v>45</v>
      </c>
      <c r="U1188" t="s">
        <v>1257</v>
      </c>
      <c r="V1188" t="s">
        <v>754</v>
      </c>
      <c r="W1188" t="s">
        <v>2461</v>
      </c>
    </row>
    <row r="1189" spans="1:23" ht="15" customHeight="1" x14ac:dyDescent="0.3">
      <c r="A1189" t="s">
        <v>8</v>
      </c>
      <c r="B1189">
        <v>203</v>
      </c>
      <c r="C1189" t="s">
        <v>717</v>
      </c>
      <c r="D1189" t="s">
        <v>745</v>
      </c>
      <c r="E1189" t="s">
        <v>746</v>
      </c>
      <c r="F1189" t="s">
        <v>747</v>
      </c>
      <c r="G1189" t="s">
        <v>36</v>
      </c>
      <c r="H1189" t="s">
        <v>52</v>
      </c>
      <c r="I1189" t="s">
        <v>745</v>
      </c>
      <c r="J1189" t="s">
        <v>748</v>
      </c>
      <c r="K1189" s="21" t="s">
        <v>749</v>
      </c>
      <c r="L1189" s="21" t="s">
        <v>750</v>
      </c>
      <c r="M1189" t="s">
        <v>751</v>
      </c>
      <c r="N1189" t="s">
        <v>42</v>
      </c>
      <c r="Q1189" t="s">
        <v>727</v>
      </c>
      <c r="R1189" t="s">
        <v>753</v>
      </c>
      <c r="S1189" t="s">
        <v>748</v>
      </c>
      <c r="T1189" t="s">
        <v>45</v>
      </c>
      <c r="U1189" t="s">
        <v>90</v>
      </c>
      <c r="V1189" t="s">
        <v>754</v>
      </c>
      <c r="W1189" t="s">
        <v>755</v>
      </c>
    </row>
    <row r="1190" spans="1:23" ht="15" customHeight="1" x14ac:dyDescent="0.3">
      <c r="A1190" t="s">
        <v>8</v>
      </c>
      <c r="B1190">
        <v>203</v>
      </c>
      <c r="C1190" t="s">
        <v>717</v>
      </c>
      <c r="D1190" t="s">
        <v>745</v>
      </c>
      <c r="E1190" t="s">
        <v>746</v>
      </c>
      <c r="F1190" t="s">
        <v>747</v>
      </c>
      <c r="G1190" t="s">
        <v>36</v>
      </c>
      <c r="H1190" t="s">
        <v>57</v>
      </c>
      <c r="I1190" t="s">
        <v>745</v>
      </c>
      <c r="J1190" t="s">
        <v>2462</v>
      </c>
      <c r="K1190" s="21" t="s">
        <v>2463</v>
      </c>
      <c r="L1190" s="21" t="s">
        <v>750</v>
      </c>
      <c r="M1190" t="s">
        <v>751</v>
      </c>
      <c r="N1190" t="s">
        <v>42</v>
      </c>
      <c r="Q1190" t="s">
        <v>727</v>
      </c>
      <c r="R1190" t="s">
        <v>753</v>
      </c>
      <c r="S1190" t="s">
        <v>2462</v>
      </c>
      <c r="T1190" t="s">
        <v>1249</v>
      </c>
      <c r="U1190" t="s">
        <v>1444</v>
      </c>
      <c r="V1190" t="s">
        <v>754</v>
      </c>
      <c r="W1190" t="s">
        <v>2464</v>
      </c>
    </row>
    <row r="1191" spans="1:23" ht="15" customHeight="1" x14ac:dyDescent="0.3">
      <c r="A1191" t="s">
        <v>8</v>
      </c>
      <c r="B1191">
        <v>203</v>
      </c>
      <c r="C1191" t="s">
        <v>717</v>
      </c>
      <c r="D1191" t="s">
        <v>745</v>
      </c>
      <c r="E1191" t="s">
        <v>746</v>
      </c>
      <c r="F1191" t="s">
        <v>747</v>
      </c>
      <c r="G1191" t="s">
        <v>36</v>
      </c>
      <c r="H1191" t="s">
        <v>49</v>
      </c>
      <c r="I1191" t="s">
        <v>745</v>
      </c>
      <c r="J1191" t="s">
        <v>2465</v>
      </c>
      <c r="K1191" s="21" t="s">
        <v>2466</v>
      </c>
      <c r="L1191" s="21" t="s">
        <v>750</v>
      </c>
      <c r="M1191" t="s">
        <v>751</v>
      </c>
      <c r="N1191" t="s">
        <v>42</v>
      </c>
      <c r="Q1191" t="s">
        <v>727</v>
      </c>
      <c r="R1191" t="s">
        <v>753</v>
      </c>
      <c r="S1191" t="s">
        <v>2465</v>
      </c>
      <c r="T1191" t="s">
        <v>1249</v>
      </c>
      <c r="U1191" t="s">
        <v>1286</v>
      </c>
      <c r="V1191" t="s">
        <v>754</v>
      </c>
      <c r="W1191" t="s">
        <v>2464</v>
      </c>
    </row>
    <row r="1192" spans="1:23" ht="15" customHeight="1" x14ac:dyDescent="0.3">
      <c r="A1192" t="s">
        <v>8</v>
      </c>
      <c r="B1192">
        <v>203</v>
      </c>
      <c r="C1192" t="s">
        <v>717</v>
      </c>
      <c r="D1192" t="s">
        <v>745</v>
      </c>
      <c r="E1192" t="s">
        <v>746</v>
      </c>
      <c r="F1192" t="s">
        <v>747</v>
      </c>
      <c r="G1192" t="s">
        <v>36</v>
      </c>
      <c r="H1192" t="s">
        <v>87</v>
      </c>
      <c r="I1192" t="s">
        <v>745</v>
      </c>
      <c r="J1192" t="s">
        <v>2467</v>
      </c>
      <c r="K1192" s="21" t="s">
        <v>2468</v>
      </c>
      <c r="L1192" s="21" t="s">
        <v>750</v>
      </c>
      <c r="M1192" t="s">
        <v>751</v>
      </c>
      <c r="N1192" t="s">
        <v>42</v>
      </c>
      <c r="Q1192" t="s">
        <v>727</v>
      </c>
      <c r="R1192" t="s">
        <v>753</v>
      </c>
      <c r="S1192" t="s">
        <v>2467</v>
      </c>
      <c r="T1192" t="s">
        <v>1290</v>
      </c>
      <c r="U1192" t="s">
        <v>1291</v>
      </c>
      <c r="V1192" t="s">
        <v>758</v>
      </c>
      <c r="W1192" t="s">
        <v>2469</v>
      </c>
    </row>
    <row r="1193" spans="1:23" ht="15" customHeight="1" x14ac:dyDescent="0.3">
      <c r="A1193" t="s">
        <v>8</v>
      </c>
      <c r="B1193">
        <v>203</v>
      </c>
      <c r="C1193" t="s">
        <v>717</v>
      </c>
      <c r="D1193" t="s">
        <v>745</v>
      </c>
      <c r="E1193" t="s">
        <v>746</v>
      </c>
      <c r="F1193" t="s">
        <v>747</v>
      </c>
      <c r="G1193" t="s">
        <v>36</v>
      </c>
      <c r="H1193" t="s">
        <v>421</v>
      </c>
      <c r="I1193" t="s">
        <v>745</v>
      </c>
      <c r="J1193" t="s">
        <v>2470</v>
      </c>
      <c r="K1193" s="21" t="s">
        <v>2471</v>
      </c>
      <c r="L1193" s="21" t="s">
        <v>750</v>
      </c>
      <c r="M1193" t="s">
        <v>751</v>
      </c>
      <c r="N1193" t="s">
        <v>42</v>
      </c>
      <c r="Q1193" t="s">
        <v>727</v>
      </c>
      <c r="R1193" t="s">
        <v>753</v>
      </c>
      <c r="S1193" t="s">
        <v>2470</v>
      </c>
      <c r="T1193" t="s">
        <v>1290</v>
      </c>
      <c r="U1193" t="s">
        <v>1296</v>
      </c>
      <c r="V1193" t="s">
        <v>758</v>
      </c>
      <c r="W1193" t="s">
        <v>2469</v>
      </c>
    </row>
    <row r="1194" spans="1:23" ht="15" customHeight="1" x14ac:dyDescent="0.3">
      <c r="A1194" t="s">
        <v>8</v>
      </c>
      <c r="B1194">
        <v>203</v>
      </c>
      <c r="C1194" t="s">
        <v>717</v>
      </c>
      <c r="D1194" t="s">
        <v>745</v>
      </c>
      <c r="E1194" t="s">
        <v>746</v>
      </c>
      <c r="F1194" t="s">
        <v>747</v>
      </c>
      <c r="G1194" t="s">
        <v>36</v>
      </c>
      <c r="H1194" t="s">
        <v>182</v>
      </c>
      <c r="I1194" t="s">
        <v>745</v>
      </c>
      <c r="J1194" t="s">
        <v>756</v>
      </c>
      <c r="K1194" s="21" t="s">
        <v>757</v>
      </c>
      <c r="L1194" s="21" t="s">
        <v>750</v>
      </c>
      <c r="M1194" t="s">
        <v>751</v>
      </c>
      <c r="N1194" t="s">
        <v>42</v>
      </c>
      <c r="Q1194" t="s">
        <v>727</v>
      </c>
      <c r="R1194" t="s">
        <v>753</v>
      </c>
      <c r="S1194" t="s">
        <v>756</v>
      </c>
      <c r="T1194" t="s">
        <v>45</v>
      </c>
      <c r="U1194" t="s">
        <v>46</v>
      </c>
      <c r="V1194" t="s">
        <v>758</v>
      </c>
      <c r="W1194" t="s">
        <v>759</v>
      </c>
    </row>
    <row r="1195" spans="1:23" ht="15" customHeight="1" x14ac:dyDescent="0.3">
      <c r="A1195" t="s">
        <v>8</v>
      </c>
      <c r="B1195">
        <v>203</v>
      </c>
      <c r="C1195" t="s">
        <v>717</v>
      </c>
      <c r="D1195" t="s">
        <v>745</v>
      </c>
      <c r="E1195" t="s">
        <v>746</v>
      </c>
      <c r="F1195" t="s">
        <v>747</v>
      </c>
      <c r="G1195" t="s">
        <v>36</v>
      </c>
      <c r="H1195" t="s">
        <v>1242</v>
      </c>
      <c r="I1195" t="s">
        <v>745</v>
      </c>
      <c r="J1195" t="s">
        <v>2472</v>
      </c>
      <c r="K1195" s="21" t="s">
        <v>2473</v>
      </c>
      <c r="L1195" s="21" t="s">
        <v>750</v>
      </c>
      <c r="M1195" t="s">
        <v>751</v>
      </c>
      <c r="N1195" t="s">
        <v>42</v>
      </c>
      <c r="Q1195" t="s">
        <v>727</v>
      </c>
      <c r="R1195" t="s">
        <v>753</v>
      </c>
      <c r="S1195" t="s">
        <v>2472</v>
      </c>
      <c r="T1195" t="s">
        <v>1249</v>
      </c>
      <c r="U1195" t="s">
        <v>1286</v>
      </c>
      <c r="V1195" t="s">
        <v>758</v>
      </c>
      <c r="W1195" t="s">
        <v>2474</v>
      </c>
    </row>
    <row r="1196" spans="1:23" ht="15" customHeight="1" x14ac:dyDescent="0.3">
      <c r="A1196" t="s">
        <v>8</v>
      </c>
      <c r="B1196">
        <v>203</v>
      </c>
      <c r="C1196" t="s">
        <v>717</v>
      </c>
      <c r="D1196" t="s">
        <v>745</v>
      </c>
      <c r="E1196" t="s">
        <v>746</v>
      </c>
      <c r="F1196" t="s">
        <v>747</v>
      </c>
      <c r="G1196" t="s">
        <v>36</v>
      </c>
      <c r="H1196" t="s">
        <v>425</v>
      </c>
      <c r="I1196" t="s">
        <v>745</v>
      </c>
      <c r="J1196" t="s">
        <v>2475</v>
      </c>
      <c r="K1196" s="21" t="s">
        <v>2476</v>
      </c>
      <c r="L1196" s="21" t="s">
        <v>750</v>
      </c>
      <c r="M1196" t="s">
        <v>751</v>
      </c>
      <c r="N1196" t="s">
        <v>42</v>
      </c>
      <c r="Q1196" t="s">
        <v>727</v>
      </c>
      <c r="R1196" t="s">
        <v>753</v>
      </c>
      <c r="S1196" t="s">
        <v>2475</v>
      </c>
      <c r="T1196" t="s">
        <v>1249</v>
      </c>
      <c r="U1196" t="s">
        <v>2407</v>
      </c>
      <c r="V1196" t="s">
        <v>2477</v>
      </c>
      <c r="W1196" t="s">
        <v>2478</v>
      </c>
    </row>
    <row r="1197" spans="1:23" ht="15" customHeight="1" x14ac:dyDescent="0.3">
      <c r="A1197" t="s">
        <v>8</v>
      </c>
      <c r="B1197">
        <v>205</v>
      </c>
      <c r="C1197" t="s">
        <v>717</v>
      </c>
      <c r="D1197" t="s">
        <v>760</v>
      </c>
      <c r="E1197" t="s">
        <v>370</v>
      </c>
      <c r="F1197" t="s">
        <v>761</v>
      </c>
      <c r="G1197" t="s">
        <v>762</v>
      </c>
      <c r="H1197" t="s">
        <v>37</v>
      </c>
      <c r="I1197" t="s">
        <v>760</v>
      </c>
      <c r="J1197" t="s">
        <v>763</v>
      </c>
      <c r="K1197" t="s">
        <v>764</v>
      </c>
      <c r="L1197" s="21" t="s">
        <v>765</v>
      </c>
      <c r="M1197" t="s">
        <v>2479</v>
      </c>
      <c r="N1197" t="s">
        <v>42</v>
      </c>
      <c r="P1197" s="21" t="s">
        <v>768</v>
      </c>
      <c r="R1197" t="s">
        <v>2480</v>
      </c>
      <c r="S1197" t="s">
        <v>763</v>
      </c>
      <c r="T1197" t="s">
        <v>45</v>
      </c>
      <c r="U1197" t="s">
        <v>46</v>
      </c>
      <c r="V1197" t="s">
        <v>770</v>
      </c>
      <c r="W1197" t="s">
        <v>771</v>
      </c>
    </row>
    <row r="1198" spans="1:23" ht="15" customHeight="1" x14ac:dyDescent="0.3">
      <c r="A1198" t="s">
        <v>8</v>
      </c>
      <c r="B1198">
        <v>205</v>
      </c>
      <c r="C1198" t="s">
        <v>717</v>
      </c>
      <c r="D1198" t="s">
        <v>760</v>
      </c>
      <c r="E1198" t="s">
        <v>370</v>
      </c>
      <c r="F1198" t="s">
        <v>761</v>
      </c>
      <c r="G1198" t="s">
        <v>762</v>
      </c>
      <c r="H1198" t="s">
        <v>37</v>
      </c>
      <c r="I1198" t="s">
        <v>760</v>
      </c>
      <c r="J1198" t="s">
        <v>763</v>
      </c>
      <c r="K1198" t="s">
        <v>764</v>
      </c>
      <c r="L1198" s="21" t="s">
        <v>765</v>
      </c>
      <c r="M1198" t="s">
        <v>2479</v>
      </c>
      <c r="N1198" t="s">
        <v>42</v>
      </c>
      <c r="P1198" s="21" t="s">
        <v>768</v>
      </c>
      <c r="R1198" t="s">
        <v>2481</v>
      </c>
      <c r="S1198" t="s">
        <v>763</v>
      </c>
      <c r="T1198" t="s">
        <v>45</v>
      </c>
      <c r="U1198" t="s">
        <v>46</v>
      </c>
      <c r="V1198" t="s">
        <v>770</v>
      </c>
      <c r="W1198" t="s">
        <v>771</v>
      </c>
    </row>
    <row r="1199" spans="1:23" ht="15" customHeight="1" x14ac:dyDescent="0.3">
      <c r="A1199" t="s">
        <v>8</v>
      </c>
      <c r="B1199">
        <v>205</v>
      </c>
      <c r="C1199" t="s">
        <v>717</v>
      </c>
      <c r="D1199" t="s">
        <v>760</v>
      </c>
      <c r="E1199" t="s">
        <v>370</v>
      </c>
      <c r="F1199" t="s">
        <v>761</v>
      </c>
      <c r="G1199" t="s">
        <v>762</v>
      </c>
      <c r="H1199" t="s">
        <v>52</v>
      </c>
      <c r="I1199" t="s">
        <v>760</v>
      </c>
      <c r="J1199" t="s">
        <v>2482</v>
      </c>
      <c r="K1199" s="21" t="s">
        <v>2483</v>
      </c>
      <c r="L1199" s="21" t="s">
        <v>765</v>
      </c>
      <c r="M1199" t="s">
        <v>2479</v>
      </c>
      <c r="N1199" t="s">
        <v>42</v>
      </c>
      <c r="P1199" s="21" t="s">
        <v>768</v>
      </c>
      <c r="R1199" t="s">
        <v>2480</v>
      </c>
      <c r="S1199" t="s">
        <v>2482</v>
      </c>
      <c r="T1199" t="s">
        <v>45</v>
      </c>
      <c r="U1199" t="s">
        <v>1257</v>
      </c>
      <c r="V1199" t="s">
        <v>770</v>
      </c>
      <c r="W1199" t="s">
        <v>2484</v>
      </c>
    </row>
    <row r="1200" spans="1:23" ht="15" customHeight="1" x14ac:dyDescent="0.3">
      <c r="A1200" t="s">
        <v>8</v>
      </c>
      <c r="B1200">
        <v>205</v>
      </c>
      <c r="C1200" t="s">
        <v>717</v>
      </c>
      <c r="D1200" t="s">
        <v>760</v>
      </c>
      <c r="E1200" t="s">
        <v>370</v>
      </c>
      <c r="F1200" t="s">
        <v>761</v>
      </c>
      <c r="G1200" t="s">
        <v>762</v>
      </c>
      <c r="H1200" t="s">
        <v>52</v>
      </c>
      <c r="I1200" t="s">
        <v>760</v>
      </c>
      <c r="J1200" t="s">
        <v>2482</v>
      </c>
      <c r="K1200" s="21" t="s">
        <v>2483</v>
      </c>
      <c r="L1200" s="21" t="s">
        <v>765</v>
      </c>
      <c r="M1200" t="s">
        <v>2479</v>
      </c>
      <c r="N1200" t="s">
        <v>42</v>
      </c>
      <c r="P1200" s="21" t="s">
        <v>768</v>
      </c>
      <c r="R1200" t="s">
        <v>2481</v>
      </c>
      <c r="S1200" t="s">
        <v>2482</v>
      </c>
      <c r="T1200" t="s">
        <v>45</v>
      </c>
      <c r="U1200" t="s">
        <v>1257</v>
      </c>
      <c r="V1200" t="s">
        <v>770</v>
      </c>
      <c r="W1200" t="s">
        <v>2484</v>
      </c>
    </row>
    <row r="1201" spans="1:23" ht="15" customHeight="1" x14ac:dyDescent="0.3">
      <c r="A1201" t="s">
        <v>8</v>
      </c>
      <c r="B1201">
        <v>205</v>
      </c>
      <c r="C1201" t="s">
        <v>717</v>
      </c>
      <c r="D1201" t="s">
        <v>760</v>
      </c>
      <c r="E1201" t="s">
        <v>370</v>
      </c>
      <c r="F1201" t="s">
        <v>761</v>
      </c>
      <c r="G1201" t="s">
        <v>762</v>
      </c>
      <c r="H1201" t="s">
        <v>57</v>
      </c>
      <c r="I1201" t="s">
        <v>760</v>
      </c>
      <c r="J1201" t="s">
        <v>773</v>
      </c>
      <c r="K1201" s="21" t="s">
        <v>774</v>
      </c>
      <c r="L1201" s="21" t="s">
        <v>765</v>
      </c>
      <c r="M1201" t="s">
        <v>2479</v>
      </c>
      <c r="N1201" t="s">
        <v>42</v>
      </c>
      <c r="P1201" s="21" t="s">
        <v>768</v>
      </c>
      <c r="R1201" t="s">
        <v>2480</v>
      </c>
      <c r="S1201" t="s">
        <v>773</v>
      </c>
      <c r="T1201" t="s">
        <v>45</v>
      </c>
      <c r="U1201" t="s">
        <v>90</v>
      </c>
      <c r="V1201" t="s">
        <v>770</v>
      </c>
      <c r="W1201" t="s">
        <v>775</v>
      </c>
    </row>
    <row r="1202" spans="1:23" ht="15" customHeight="1" x14ac:dyDescent="0.3">
      <c r="A1202" t="s">
        <v>8</v>
      </c>
      <c r="B1202">
        <v>205</v>
      </c>
      <c r="C1202" t="s">
        <v>717</v>
      </c>
      <c r="D1202" t="s">
        <v>760</v>
      </c>
      <c r="E1202" t="s">
        <v>370</v>
      </c>
      <c r="F1202" t="s">
        <v>761</v>
      </c>
      <c r="G1202" t="s">
        <v>762</v>
      </c>
      <c r="H1202" t="s">
        <v>57</v>
      </c>
      <c r="I1202" t="s">
        <v>760</v>
      </c>
      <c r="J1202" t="s">
        <v>773</v>
      </c>
      <c r="K1202" s="21" t="s">
        <v>774</v>
      </c>
      <c r="L1202" s="21" t="s">
        <v>765</v>
      </c>
      <c r="M1202" t="s">
        <v>2479</v>
      </c>
      <c r="N1202" t="s">
        <v>42</v>
      </c>
      <c r="P1202" s="21" t="s">
        <v>768</v>
      </c>
      <c r="R1202" t="s">
        <v>2481</v>
      </c>
      <c r="S1202" t="s">
        <v>773</v>
      </c>
      <c r="T1202" t="s">
        <v>45</v>
      </c>
      <c r="U1202" t="s">
        <v>90</v>
      </c>
      <c r="V1202" t="s">
        <v>770</v>
      </c>
      <c r="W1202" t="s">
        <v>775</v>
      </c>
    </row>
    <row r="1203" spans="1:23" ht="15" customHeight="1" x14ac:dyDescent="0.3">
      <c r="A1203" t="s">
        <v>8</v>
      </c>
      <c r="B1203">
        <v>205</v>
      </c>
      <c r="C1203" t="s">
        <v>717</v>
      </c>
      <c r="D1203" t="s">
        <v>760</v>
      </c>
      <c r="E1203" t="s">
        <v>370</v>
      </c>
      <c r="F1203" t="s">
        <v>761</v>
      </c>
      <c r="G1203" t="s">
        <v>762</v>
      </c>
      <c r="H1203" t="s">
        <v>49</v>
      </c>
      <c r="I1203" t="s">
        <v>760</v>
      </c>
      <c r="J1203" t="s">
        <v>2485</v>
      </c>
      <c r="K1203" s="21" t="s">
        <v>2486</v>
      </c>
      <c r="L1203" s="21" t="s">
        <v>765</v>
      </c>
      <c r="M1203" t="s">
        <v>2479</v>
      </c>
      <c r="N1203" t="s">
        <v>42</v>
      </c>
      <c r="P1203" s="21" t="s">
        <v>768</v>
      </c>
      <c r="R1203" t="s">
        <v>2480</v>
      </c>
      <c r="S1203" t="s">
        <v>2485</v>
      </c>
      <c r="T1203" t="s">
        <v>1231</v>
      </c>
      <c r="U1203" t="s">
        <v>1232</v>
      </c>
      <c r="V1203" t="s">
        <v>770</v>
      </c>
      <c r="W1203" t="s">
        <v>2487</v>
      </c>
    </row>
    <row r="1204" spans="1:23" ht="15" customHeight="1" x14ac:dyDescent="0.3">
      <c r="A1204" t="s">
        <v>8</v>
      </c>
      <c r="B1204">
        <v>205</v>
      </c>
      <c r="C1204" t="s">
        <v>717</v>
      </c>
      <c r="D1204" t="s">
        <v>760</v>
      </c>
      <c r="E1204" t="s">
        <v>370</v>
      </c>
      <c r="F1204" t="s">
        <v>761</v>
      </c>
      <c r="G1204" t="s">
        <v>762</v>
      </c>
      <c r="H1204" t="s">
        <v>49</v>
      </c>
      <c r="I1204" t="s">
        <v>760</v>
      </c>
      <c r="J1204" t="s">
        <v>2485</v>
      </c>
      <c r="K1204" s="21" t="s">
        <v>2486</v>
      </c>
      <c r="L1204" s="21" t="s">
        <v>765</v>
      </c>
      <c r="M1204" t="s">
        <v>2479</v>
      </c>
      <c r="N1204" t="s">
        <v>42</v>
      </c>
      <c r="P1204" s="21" t="s">
        <v>768</v>
      </c>
      <c r="R1204" t="s">
        <v>2481</v>
      </c>
      <c r="S1204" t="s">
        <v>2485</v>
      </c>
      <c r="T1204" t="s">
        <v>1231</v>
      </c>
      <c r="U1204" t="s">
        <v>1232</v>
      </c>
      <c r="V1204" t="s">
        <v>770</v>
      </c>
      <c r="W1204" t="s">
        <v>2487</v>
      </c>
    </row>
    <row r="1205" spans="1:23" ht="15" customHeight="1" x14ac:dyDescent="0.3">
      <c r="A1205" t="s">
        <v>8</v>
      </c>
      <c r="B1205">
        <v>205</v>
      </c>
      <c r="C1205" t="s">
        <v>717</v>
      </c>
      <c r="D1205" t="s">
        <v>760</v>
      </c>
      <c r="E1205" t="s">
        <v>370</v>
      </c>
      <c r="F1205" t="s">
        <v>761</v>
      </c>
      <c r="G1205" t="s">
        <v>762</v>
      </c>
      <c r="H1205" t="s">
        <v>87</v>
      </c>
      <c r="I1205" t="s">
        <v>760</v>
      </c>
      <c r="J1205" t="s">
        <v>2488</v>
      </c>
      <c r="K1205" s="21" t="s">
        <v>2489</v>
      </c>
      <c r="L1205" s="21" t="s">
        <v>765</v>
      </c>
      <c r="M1205" t="s">
        <v>2479</v>
      </c>
      <c r="N1205" t="s">
        <v>42</v>
      </c>
      <c r="P1205" s="21" t="s">
        <v>768</v>
      </c>
      <c r="R1205" t="s">
        <v>2480</v>
      </c>
      <c r="S1205" t="s">
        <v>2488</v>
      </c>
      <c r="T1205" t="s">
        <v>1249</v>
      </c>
      <c r="U1205" t="s">
        <v>1444</v>
      </c>
      <c r="V1205" t="s">
        <v>770</v>
      </c>
      <c r="W1205" t="s">
        <v>2487</v>
      </c>
    </row>
    <row r="1206" spans="1:23" ht="15" customHeight="1" x14ac:dyDescent="0.3">
      <c r="A1206" t="s">
        <v>8</v>
      </c>
      <c r="B1206">
        <v>205</v>
      </c>
      <c r="C1206" t="s">
        <v>717</v>
      </c>
      <c r="D1206" t="s">
        <v>760</v>
      </c>
      <c r="E1206" t="s">
        <v>370</v>
      </c>
      <c r="F1206" t="s">
        <v>761</v>
      </c>
      <c r="G1206" t="s">
        <v>762</v>
      </c>
      <c r="H1206" t="s">
        <v>87</v>
      </c>
      <c r="I1206" t="s">
        <v>760</v>
      </c>
      <c r="J1206" t="s">
        <v>2488</v>
      </c>
      <c r="K1206" s="21" t="s">
        <v>2489</v>
      </c>
      <c r="L1206" s="21" t="s">
        <v>765</v>
      </c>
      <c r="M1206" t="s">
        <v>2479</v>
      </c>
      <c r="N1206" t="s">
        <v>42</v>
      </c>
      <c r="P1206" s="21" t="s">
        <v>768</v>
      </c>
      <c r="R1206" t="s">
        <v>2481</v>
      </c>
      <c r="S1206" t="s">
        <v>2488</v>
      </c>
      <c r="T1206" t="s">
        <v>1249</v>
      </c>
      <c r="U1206" t="s">
        <v>1444</v>
      </c>
      <c r="V1206" t="s">
        <v>770</v>
      </c>
      <c r="W1206" t="s">
        <v>2487</v>
      </c>
    </row>
    <row r="1207" spans="1:23" ht="15" customHeight="1" x14ac:dyDescent="0.3">
      <c r="A1207" t="s">
        <v>8</v>
      </c>
      <c r="B1207">
        <v>205</v>
      </c>
      <c r="C1207" t="s">
        <v>717</v>
      </c>
      <c r="D1207" t="s">
        <v>760</v>
      </c>
      <c r="E1207" t="s">
        <v>370</v>
      </c>
      <c r="F1207" t="s">
        <v>761</v>
      </c>
      <c r="G1207" t="s">
        <v>762</v>
      </c>
      <c r="H1207" t="s">
        <v>421</v>
      </c>
      <c r="I1207" t="s">
        <v>760</v>
      </c>
      <c r="J1207" t="s">
        <v>2490</v>
      </c>
      <c r="K1207" s="21" t="s">
        <v>2491</v>
      </c>
      <c r="L1207" s="21" t="s">
        <v>765</v>
      </c>
      <c r="M1207" t="s">
        <v>2479</v>
      </c>
      <c r="N1207" t="s">
        <v>42</v>
      </c>
      <c r="P1207" s="21" t="s">
        <v>768</v>
      </c>
      <c r="R1207" t="s">
        <v>2480</v>
      </c>
      <c r="S1207" t="s">
        <v>2490</v>
      </c>
      <c r="T1207" t="s">
        <v>1249</v>
      </c>
      <c r="U1207" t="s">
        <v>2407</v>
      </c>
      <c r="V1207" t="s">
        <v>770</v>
      </c>
      <c r="W1207" t="s">
        <v>2487</v>
      </c>
    </row>
    <row r="1208" spans="1:23" ht="15" customHeight="1" x14ac:dyDescent="0.3">
      <c r="A1208" t="s">
        <v>8</v>
      </c>
      <c r="B1208">
        <v>205</v>
      </c>
      <c r="C1208" t="s">
        <v>717</v>
      </c>
      <c r="D1208" t="s">
        <v>760</v>
      </c>
      <c r="E1208" t="s">
        <v>370</v>
      </c>
      <c r="F1208" t="s">
        <v>761</v>
      </c>
      <c r="G1208" t="s">
        <v>762</v>
      </c>
      <c r="H1208" t="s">
        <v>421</v>
      </c>
      <c r="I1208" t="s">
        <v>760</v>
      </c>
      <c r="J1208" t="s">
        <v>2490</v>
      </c>
      <c r="K1208" s="21" t="s">
        <v>2491</v>
      </c>
      <c r="L1208" s="21" t="s">
        <v>765</v>
      </c>
      <c r="M1208" t="s">
        <v>2479</v>
      </c>
      <c r="N1208" t="s">
        <v>42</v>
      </c>
      <c r="P1208" s="21" t="s">
        <v>768</v>
      </c>
      <c r="R1208" t="s">
        <v>2481</v>
      </c>
      <c r="S1208" t="s">
        <v>2490</v>
      </c>
      <c r="T1208" t="s">
        <v>1249</v>
      </c>
      <c r="U1208" t="s">
        <v>2407</v>
      </c>
      <c r="V1208" t="s">
        <v>770</v>
      </c>
      <c r="W1208" t="s">
        <v>2487</v>
      </c>
    </row>
    <row r="1209" spans="1:23" ht="15" customHeight="1" x14ac:dyDescent="0.3">
      <c r="A1209" t="s">
        <v>8</v>
      </c>
      <c r="B1209">
        <v>205</v>
      </c>
      <c r="C1209" t="s">
        <v>717</v>
      </c>
      <c r="D1209" t="s">
        <v>760</v>
      </c>
      <c r="E1209" t="s">
        <v>370</v>
      </c>
      <c r="F1209" t="s">
        <v>761</v>
      </c>
      <c r="G1209" t="s">
        <v>762</v>
      </c>
      <c r="H1209" t="s">
        <v>182</v>
      </c>
      <c r="I1209" t="s">
        <v>760</v>
      </c>
      <c r="J1209" t="s">
        <v>2488</v>
      </c>
      <c r="K1209" s="21" t="s">
        <v>2489</v>
      </c>
      <c r="L1209" s="21" t="s">
        <v>765</v>
      </c>
      <c r="M1209" t="s">
        <v>2479</v>
      </c>
      <c r="N1209" t="s">
        <v>42</v>
      </c>
      <c r="P1209" s="21" t="s">
        <v>768</v>
      </c>
      <c r="R1209" t="s">
        <v>2480</v>
      </c>
      <c r="S1209" t="s">
        <v>2488</v>
      </c>
      <c r="T1209" t="s">
        <v>1249</v>
      </c>
      <c r="U1209" t="s">
        <v>1444</v>
      </c>
      <c r="V1209" t="s">
        <v>770</v>
      </c>
      <c r="W1209" t="s">
        <v>2487</v>
      </c>
    </row>
    <row r="1210" spans="1:23" ht="15" customHeight="1" x14ac:dyDescent="0.3">
      <c r="A1210" t="s">
        <v>8</v>
      </c>
      <c r="B1210">
        <v>205</v>
      </c>
      <c r="C1210" t="s">
        <v>717</v>
      </c>
      <c r="D1210" t="s">
        <v>760</v>
      </c>
      <c r="E1210" t="s">
        <v>370</v>
      </c>
      <c r="F1210" t="s">
        <v>761</v>
      </c>
      <c r="G1210" t="s">
        <v>762</v>
      </c>
      <c r="H1210" t="s">
        <v>182</v>
      </c>
      <c r="I1210" t="s">
        <v>760</v>
      </c>
      <c r="J1210" t="s">
        <v>2488</v>
      </c>
      <c r="K1210" s="21" t="s">
        <v>2489</v>
      </c>
      <c r="L1210" s="21" t="s">
        <v>765</v>
      </c>
      <c r="M1210" t="s">
        <v>2479</v>
      </c>
      <c r="N1210" t="s">
        <v>42</v>
      </c>
      <c r="P1210" s="21" t="s">
        <v>768</v>
      </c>
      <c r="R1210" t="s">
        <v>2481</v>
      </c>
      <c r="S1210" t="s">
        <v>2488</v>
      </c>
      <c r="T1210" t="s">
        <v>1249</v>
      </c>
      <c r="U1210" t="s">
        <v>1444</v>
      </c>
      <c r="V1210" t="s">
        <v>770</v>
      </c>
      <c r="W1210" t="s">
        <v>2487</v>
      </c>
    </row>
    <row r="1211" spans="1:23" ht="15" customHeight="1" x14ac:dyDescent="0.3">
      <c r="A1211" t="s">
        <v>8</v>
      </c>
      <c r="B1211">
        <v>205</v>
      </c>
      <c r="C1211" t="s">
        <v>717</v>
      </c>
      <c r="D1211" t="s">
        <v>760</v>
      </c>
      <c r="E1211" t="s">
        <v>370</v>
      </c>
      <c r="F1211" t="s">
        <v>761</v>
      </c>
      <c r="G1211" t="s">
        <v>762</v>
      </c>
      <c r="H1211" t="s">
        <v>1242</v>
      </c>
      <c r="I1211" t="s">
        <v>760</v>
      </c>
      <c r="J1211" t="s">
        <v>2490</v>
      </c>
      <c r="K1211" s="21" t="s">
        <v>2491</v>
      </c>
      <c r="L1211" s="21" t="s">
        <v>765</v>
      </c>
      <c r="M1211" t="s">
        <v>2479</v>
      </c>
      <c r="N1211" t="s">
        <v>42</v>
      </c>
      <c r="P1211" s="21" t="s">
        <v>768</v>
      </c>
      <c r="R1211" t="s">
        <v>2480</v>
      </c>
      <c r="S1211" t="s">
        <v>2490</v>
      </c>
      <c r="T1211" t="s">
        <v>1249</v>
      </c>
      <c r="U1211" t="s">
        <v>2407</v>
      </c>
      <c r="V1211" t="s">
        <v>770</v>
      </c>
      <c r="W1211" t="s">
        <v>2487</v>
      </c>
    </row>
    <row r="1212" spans="1:23" ht="15" customHeight="1" x14ac:dyDescent="0.3">
      <c r="A1212" t="s">
        <v>8</v>
      </c>
      <c r="B1212">
        <v>205</v>
      </c>
      <c r="C1212" t="s">
        <v>717</v>
      </c>
      <c r="D1212" t="s">
        <v>760</v>
      </c>
      <c r="E1212" t="s">
        <v>370</v>
      </c>
      <c r="F1212" t="s">
        <v>761</v>
      </c>
      <c r="G1212" t="s">
        <v>762</v>
      </c>
      <c r="H1212" t="s">
        <v>1242</v>
      </c>
      <c r="I1212" t="s">
        <v>760</v>
      </c>
      <c r="J1212" t="s">
        <v>2490</v>
      </c>
      <c r="K1212" s="21" t="s">
        <v>2491</v>
      </c>
      <c r="L1212" s="21" t="s">
        <v>765</v>
      </c>
      <c r="M1212" t="s">
        <v>2479</v>
      </c>
      <c r="N1212" t="s">
        <v>42</v>
      </c>
      <c r="P1212" s="21" t="s">
        <v>768</v>
      </c>
      <c r="R1212" t="s">
        <v>2481</v>
      </c>
      <c r="S1212" t="s">
        <v>2490</v>
      </c>
      <c r="T1212" t="s">
        <v>1249</v>
      </c>
      <c r="U1212" t="s">
        <v>2407</v>
      </c>
      <c r="V1212" t="s">
        <v>770</v>
      </c>
      <c r="W1212" t="s">
        <v>2487</v>
      </c>
    </row>
    <row r="1213" spans="1:23" ht="15" customHeight="1" x14ac:dyDescent="0.3">
      <c r="A1213" t="s">
        <v>8</v>
      </c>
      <c r="B1213">
        <v>205</v>
      </c>
      <c r="C1213" t="s">
        <v>717</v>
      </c>
      <c r="D1213" t="s">
        <v>760</v>
      </c>
      <c r="E1213" t="s">
        <v>370</v>
      </c>
      <c r="F1213" t="s">
        <v>761</v>
      </c>
      <c r="G1213" t="s">
        <v>762</v>
      </c>
      <c r="H1213" t="s">
        <v>425</v>
      </c>
      <c r="I1213" t="s">
        <v>760</v>
      </c>
      <c r="J1213" t="s">
        <v>2492</v>
      </c>
      <c r="K1213" s="21" t="s">
        <v>2493</v>
      </c>
      <c r="L1213" s="21" t="s">
        <v>765</v>
      </c>
      <c r="M1213" t="s">
        <v>2479</v>
      </c>
      <c r="N1213" t="s">
        <v>42</v>
      </c>
      <c r="P1213" s="21" t="s">
        <v>768</v>
      </c>
      <c r="R1213" t="s">
        <v>2480</v>
      </c>
      <c r="S1213" t="s">
        <v>2492</v>
      </c>
      <c r="T1213" t="s">
        <v>1249</v>
      </c>
      <c r="U1213" t="s">
        <v>1286</v>
      </c>
      <c r="V1213" t="s">
        <v>770</v>
      </c>
      <c r="W1213" t="s">
        <v>2487</v>
      </c>
    </row>
    <row r="1214" spans="1:23" ht="15" customHeight="1" x14ac:dyDescent="0.3">
      <c r="A1214" t="s">
        <v>8</v>
      </c>
      <c r="B1214">
        <v>205</v>
      </c>
      <c r="C1214" t="s">
        <v>717</v>
      </c>
      <c r="D1214" t="s">
        <v>760</v>
      </c>
      <c r="E1214" t="s">
        <v>370</v>
      </c>
      <c r="F1214" t="s">
        <v>761</v>
      </c>
      <c r="G1214" t="s">
        <v>762</v>
      </c>
      <c r="H1214" t="s">
        <v>425</v>
      </c>
      <c r="I1214" t="s">
        <v>760</v>
      </c>
      <c r="J1214" t="s">
        <v>2492</v>
      </c>
      <c r="K1214" s="21" t="s">
        <v>2493</v>
      </c>
      <c r="L1214" s="21" t="s">
        <v>765</v>
      </c>
      <c r="M1214" t="s">
        <v>2479</v>
      </c>
      <c r="N1214" t="s">
        <v>42</v>
      </c>
      <c r="P1214" s="21" t="s">
        <v>768</v>
      </c>
      <c r="R1214" t="s">
        <v>2481</v>
      </c>
      <c r="S1214" t="s">
        <v>2492</v>
      </c>
      <c r="T1214" t="s">
        <v>1249</v>
      </c>
      <c r="U1214" t="s">
        <v>1286</v>
      </c>
      <c r="V1214" t="s">
        <v>770</v>
      </c>
      <c r="W1214" t="s">
        <v>2487</v>
      </c>
    </row>
    <row r="1215" spans="1:23" ht="15" customHeight="1" x14ac:dyDescent="0.3">
      <c r="A1215" t="s">
        <v>8</v>
      </c>
      <c r="B1215">
        <v>205</v>
      </c>
      <c r="C1215" t="s">
        <v>717</v>
      </c>
      <c r="D1215" t="s">
        <v>760</v>
      </c>
      <c r="E1215" t="s">
        <v>370</v>
      </c>
      <c r="F1215" t="s">
        <v>761</v>
      </c>
      <c r="G1215" t="s">
        <v>762</v>
      </c>
      <c r="H1215" t="s">
        <v>996</v>
      </c>
      <c r="I1215" t="s">
        <v>760</v>
      </c>
      <c r="J1215" t="s">
        <v>2494</v>
      </c>
      <c r="K1215" s="21" t="s">
        <v>2495</v>
      </c>
      <c r="L1215" s="21" t="s">
        <v>765</v>
      </c>
      <c r="M1215" t="s">
        <v>2479</v>
      </c>
      <c r="N1215" t="s">
        <v>42</v>
      </c>
      <c r="P1215" s="21" t="s">
        <v>768</v>
      </c>
      <c r="R1215" t="s">
        <v>2480</v>
      </c>
      <c r="S1215" t="s">
        <v>2494</v>
      </c>
      <c r="T1215" t="s">
        <v>1249</v>
      </c>
      <c r="U1215" t="s">
        <v>1286</v>
      </c>
      <c r="V1215" t="s">
        <v>2496</v>
      </c>
      <c r="W1215" t="s">
        <v>2497</v>
      </c>
    </row>
    <row r="1216" spans="1:23" ht="15" customHeight="1" x14ac:dyDescent="0.3">
      <c r="A1216" t="s">
        <v>8</v>
      </c>
      <c r="B1216">
        <v>205</v>
      </c>
      <c r="C1216" t="s">
        <v>717</v>
      </c>
      <c r="D1216" t="s">
        <v>760</v>
      </c>
      <c r="E1216" t="s">
        <v>370</v>
      </c>
      <c r="F1216" t="s">
        <v>761</v>
      </c>
      <c r="G1216" t="s">
        <v>762</v>
      </c>
      <c r="H1216" t="s">
        <v>996</v>
      </c>
      <c r="I1216" t="s">
        <v>760</v>
      </c>
      <c r="J1216" t="s">
        <v>2494</v>
      </c>
      <c r="K1216" s="21" t="s">
        <v>2495</v>
      </c>
      <c r="L1216" s="21" t="s">
        <v>765</v>
      </c>
      <c r="M1216" t="s">
        <v>2479</v>
      </c>
      <c r="N1216" t="s">
        <v>42</v>
      </c>
      <c r="P1216" s="21" t="s">
        <v>768</v>
      </c>
      <c r="R1216" t="s">
        <v>2481</v>
      </c>
      <c r="S1216" t="s">
        <v>2494</v>
      </c>
      <c r="T1216" t="s">
        <v>1249</v>
      </c>
      <c r="U1216" t="s">
        <v>1286</v>
      </c>
      <c r="V1216" t="s">
        <v>2496</v>
      </c>
      <c r="W1216" t="s">
        <v>2497</v>
      </c>
    </row>
    <row r="1217" spans="1:23" ht="15" customHeight="1" x14ac:dyDescent="0.3">
      <c r="A1217" t="s">
        <v>8</v>
      </c>
      <c r="B1217">
        <v>205</v>
      </c>
      <c r="C1217" t="s">
        <v>717</v>
      </c>
      <c r="D1217" t="s">
        <v>760</v>
      </c>
      <c r="E1217" t="s">
        <v>370</v>
      </c>
      <c r="F1217" t="s">
        <v>761</v>
      </c>
      <c r="G1217" t="s">
        <v>762</v>
      </c>
      <c r="H1217" t="s">
        <v>1000</v>
      </c>
      <c r="I1217" t="s">
        <v>760</v>
      </c>
      <c r="J1217" t="s">
        <v>2498</v>
      </c>
      <c r="K1217" s="21" t="s">
        <v>2499</v>
      </c>
      <c r="L1217" s="21" t="s">
        <v>765</v>
      </c>
      <c r="M1217" t="s">
        <v>2479</v>
      </c>
      <c r="N1217" t="s">
        <v>42</v>
      </c>
      <c r="P1217" s="21" t="s">
        <v>768</v>
      </c>
      <c r="R1217" t="s">
        <v>2480</v>
      </c>
      <c r="S1217" t="s">
        <v>2498</v>
      </c>
      <c r="T1217" t="s">
        <v>1249</v>
      </c>
      <c r="U1217" t="s">
        <v>2407</v>
      </c>
      <c r="V1217" t="s">
        <v>2500</v>
      </c>
      <c r="W1217" t="s">
        <v>2501</v>
      </c>
    </row>
    <row r="1218" spans="1:23" ht="15" customHeight="1" x14ac:dyDescent="0.3">
      <c r="A1218" t="s">
        <v>8</v>
      </c>
      <c r="B1218">
        <v>205</v>
      </c>
      <c r="C1218" t="s">
        <v>717</v>
      </c>
      <c r="D1218" t="s">
        <v>760</v>
      </c>
      <c r="E1218" t="s">
        <v>370</v>
      </c>
      <c r="F1218" t="s">
        <v>761</v>
      </c>
      <c r="G1218" t="s">
        <v>762</v>
      </c>
      <c r="H1218" t="s">
        <v>1000</v>
      </c>
      <c r="I1218" t="s">
        <v>760</v>
      </c>
      <c r="J1218" t="s">
        <v>2498</v>
      </c>
      <c r="K1218" s="21" t="s">
        <v>2499</v>
      </c>
      <c r="L1218" s="21" t="s">
        <v>765</v>
      </c>
      <c r="M1218" t="s">
        <v>2479</v>
      </c>
      <c r="N1218" t="s">
        <v>42</v>
      </c>
      <c r="P1218" s="21" t="s">
        <v>768</v>
      </c>
      <c r="R1218" t="s">
        <v>2481</v>
      </c>
      <c r="S1218" t="s">
        <v>2498</v>
      </c>
      <c r="T1218" t="s">
        <v>1249</v>
      </c>
      <c r="U1218" t="s">
        <v>2407</v>
      </c>
      <c r="V1218" t="s">
        <v>2500</v>
      </c>
      <c r="W1218" t="s">
        <v>2501</v>
      </c>
    </row>
    <row r="1219" spans="1:23" ht="15" customHeight="1" x14ac:dyDescent="0.3">
      <c r="A1219" t="s">
        <v>8</v>
      </c>
      <c r="B1219">
        <v>205</v>
      </c>
      <c r="C1219" t="s">
        <v>717</v>
      </c>
      <c r="D1219" t="s">
        <v>760</v>
      </c>
      <c r="E1219" t="s">
        <v>370</v>
      </c>
      <c r="F1219" t="s">
        <v>761</v>
      </c>
      <c r="G1219" t="s">
        <v>762</v>
      </c>
      <c r="H1219" t="s">
        <v>1272</v>
      </c>
      <c r="I1219" t="s">
        <v>760</v>
      </c>
      <c r="J1219" t="s">
        <v>2502</v>
      </c>
      <c r="K1219" s="21" t="s">
        <v>2503</v>
      </c>
      <c r="L1219" s="21" t="s">
        <v>765</v>
      </c>
      <c r="M1219" t="s">
        <v>2479</v>
      </c>
      <c r="N1219" t="s">
        <v>42</v>
      </c>
      <c r="P1219" s="21" t="s">
        <v>768</v>
      </c>
      <c r="R1219" t="s">
        <v>2480</v>
      </c>
      <c r="S1219" t="s">
        <v>2502</v>
      </c>
      <c r="T1219" t="s">
        <v>1249</v>
      </c>
      <c r="U1219" t="s">
        <v>2407</v>
      </c>
      <c r="V1219" t="s">
        <v>2504</v>
      </c>
      <c r="W1219" t="s">
        <v>2505</v>
      </c>
    </row>
    <row r="1220" spans="1:23" ht="15" customHeight="1" x14ac:dyDescent="0.3">
      <c r="A1220" t="s">
        <v>8</v>
      </c>
      <c r="B1220">
        <v>205</v>
      </c>
      <c r="C1220" t="s">
        <v>717</v>
      </c>
      <c r="D1220" t="s">
        <v>760</v>
      </c>
      <c r="E1220" t="s">
        <v>370</v>
      </c>
      <c r="F1220" t="s">
        <v>761</v>
      </c>
      <c r="G1220" t="s">
        <v>762</v>
      </c>
      <c r="H1220" t="s">
        <v>1272</v>
      </c>
      <c r="I1220" t="s">
        <v>760</v>
      </c>
      <c r="J1220" t="s">
        <v>2502</v>
      </c>
      <c r="K1220" s="21" t="s">
        <v>2503</v>
      </c>
      <c r="L1220" s="21" t="s">
        <v>765</v>
      </c>
      <c r="M1220" t="s">
        <v>2479</v>
      </c>
      <c r="N1220" t="s">
        <v>42</v>
      </c>
      <c r="P1220" s="21" t="s">
        <v>768</v>
      </c>
      <c r="R1220" t="s">
        <v>2481</v>
      </c>
      <c r="S1220" t="s">
        <v>2502</v>
      </c>
      <c r="T1220" t="s">
        <v>1249</v>
      </c>
      <c r="U1220" t="s">
        <v>2407</v>
      </c>
      <c r="V1220" t="s">
        <v>2504</v>
      </c>
      <c r="W1220" t="s">
        <v>2505</v>
      </c>
    </row>
    <row r="1221" spans="1:23" ht="15" customHeight="1" x14ac:dyDescent="0.3">
      <c r="A1221" t="s">
        <v>8</v>
      </c>
      <c r="B1221">
        <v>205</v>
      </c>
      <c r="C1221" t="s">
        <v>717</v>
      </c>
      <c r="D1221" t="s">
        <v>760</v>
      </c>
      <c r="E1221" t="s">
        <v>370</v>
      </c>
      <c r="F1221" t="s">
        <v>761</v>
      </c>
      <c r="G1221" t="s">
        <v>762</v>
      </c>
      <c r="H1221" t="s">
        <v>1276</v>
      </c>
      <c r="I1221" t="s">
        <v>760</v>
      </c>
      <c r="J1221" t="s">
        <v>2506</v>
      </c>
      <c r="K1221" s="21" t="s">
        <v>2507</v>
      </c>
      <c r="L1221" s="21" t="s">
        <v>765</v>
      </c>
      <c r="M1221" t="s">
        <v>2479</v>
      </c>
      <c r="N1221" t="s">
        <v>42</v>
      </c>
      <c r="P1221" s="21" t="s">
        <v>768</v>
      </c>
      <c r="R1221" t="s">
        <v>2480</v>
      </c>
      <c r="S1221" t="s">
        <v>2506</v>
      </c>
      <c r="T1221" t="s">
        <v>1249</v>
      </c>
      <c r="U1221" t="s">
        <v>2407</v>
      </c>
      <c r="V1221" t="s">
        <v>2508</v>
      </c>
      <c r="W1221" t="s">
        <v>2509</v>
      </c>
    </row>
    <row r="1222" spans="1:23" ht="15" customHeight="1" x14ac:dyDescent="0.3">
      <c r="A1222" t="s">
        <v>8</v>
      </c>
      <c r="B1222">
        <v>205</v>
      </c>
      <c r="C1222" t="s">
        <v>717</v>
      </c>
      <c r="D1222" t="s">
        <v>760</v>
      </c>
      <c r="E1222" t="s">
        <v>370</v>
      </c>
      <c r="F1222" t="s">
        <v>761</v>
      </c>
      <c r="G1222" t="s">
        <v>762</v>
      </c>
      <c r="H1222" t="s">
        <v>1276</v>
      </c>
      <c r="I1222" t="s">
        <v>760</v>
      </c>
      <c r="J1222" t="s">
        <v>2506</v>
      </c>
      <c r="K1222" s="21" t="s">
        <v>2507</v>
      </c>
      <c r="L1222" s="21" t="s">
        <v>765</v>
      </c>
      <c r="M1222" t="s">
        <v>2479</v>
      </c>
      <c r="N1222" t="s">
        <v>42</v>
      </c>
      <c r="P1222" s="21" t="s">
        <v>768</v>
      </c>
      <c r="R1222" t="s">
        <v>2481</v>
      </c>
      <c r="S1222" t="s">
        <v>2506</v>
      </c>
      <c r="T1222" t="s">
        <v>1249</v>
      </c>
      <c r="U1222" t="s">
        <v>2407</v>
      </c>
      <c r="V1222" t="s">
        <v>2508</v>
      </c>
      <c r="W1222" t="s">
        <v>2509</v>
      </c>
    </row>
    <row r="1223" spans="1:23" ht="15" customHeight="1" x14ac:dyDescent="0.3">
      <c r="A1223" t="s">
        <v>8</v>
      </c>
      <c r="B1223">
        <v>205</v>
      </c>
      <c r="C1223" t="s">
        <v>717</v>
      </c>
      <c r="D1223" t="s">
        <v>760</v>
      </c>
      <c r="E1223" t="s">
        <v>370</v>
      </c>
      <c r="F1223" t="s">
        <v>761</v>
      </c>
      <c r="G1223" t="s">
        <v>762</v>
      </c>
      <c r="H1223" t="s">
        <v>1279</v>
      </c>
      <c r="I1223" t="s">
        <v>760</v>
      </c>
      <c r="J1223" t="s">
        <v>2510</v>
      </c>
      <c r="K1223" s="21" t="s">
        <v>2511</v>
      </c>
      <c r="L1223" s="21" t="s">
        <v>765</v>
      </c>
      <c r="M1223" t="s">
        <v>2479</v>
      </c>
      <c r="N1223" t="s">
        <v>42</v>
      </c>
      <c r="P1223" s="21" t="s">
        <v>768</v>
      </c>
      <c r="R1223" t="s">
        <v>2480</v>
      </c>
      <c r="S1223" t="s">
        <v>2510</v>
      </c>
      <c r="T1223" t="s">
        <v>1249</v>
      </c>
      <c r="U1223" t="s">
        <v>1286</v>
      </c>
      <c r="V1223" t="s">
        <v>2512</v>
      </c>
      <c r="W1223" t="s">
        <v>2513</v>
      </c>
    </row>
    <row r="1224" spans="1:23" ht="15" customHeight="1" x14ac:dyDescent="0.3">
      <c r="A1224" t="s">
        <v>8</v>
      </c>
      <c r="B1224">
        <v>205</v>
      </c>
      <c r="C1224" t="s">
        <v>717</v>
      </c>
      <c r="D1224" t="s">
        <v>760</v>
      </c>
      <c r="E1224" t="s">
        <v>370</v>
      </c>
      <c r="F1224" t="s">
        <v>761</v>
      </c>
      <c r="G1224" t="s">
        <v>762</v>
      </c>
      <c r="H1224" t="s">
        <v>1279</v>
      </c>
      <c r="I1224" t="s">
        <v>760</v>
      </c>
      <c r="J1224" t="s">
        <v>2510</v>
      </c>
      <c r="K1224" s="21" t="s">
        <v>2511</v>
      </c>
      <c r="L1224" s="21" t="s">
        <v>765</v>
      </c>
      <c r="M1224" t="s">
        <v>2479</v>
      </c>
      <c r="N1224" t="s">
        <v>42</v>
      </c>
      <c r="P1224" s="21" t="s">
        <v>768</v>
      </c>
      <c r="R1224" t="s">
        <v>2481</v>
      </c>
      <c r="S1224" t="s">
        <v>2510</v>
      </c>
      <c r="T1224" t="s">
        <v>1249</v>
      </c>
      <c r="U1224" t="s">
        <v>1286</v>
      </c>
      <c r="V1224" t="s">
        <v>2512</v>
      </c>
      <c r="W1224" t="s">
        <v>2513</v>
      </c>
    </row>
    <row r="1225" spans="1:23" ht="15" customHeight="1" x14ac:dyDescent="0.3">
      <c r="A1225" t="s">
        <v>8</v>
      </c>
      <c r="B1225">
        <v>205</v>
      </c>
      <c r="C1225" t="s">
        <v>717</v>
      </c>
      <c r="D1225" t="s">
        <v>760</v>
      </c>
      <c r="E1225" t="s">
        <v>370</v>
      </c>
      <c r="F1225" t="s">
        <v>761</v>
      </c>
      <c r="G1225" t="s">
        <v>762</v>
      </c>
      <c r="H1225" t="s">
        <v>1283</v>
      </c>
      <c r="I1225" t="s">
        <v>760</v>
      </c>
      <c r="J1225" t="s">
        <v>2514</v>
      </c>
      <c r="K1225" s="21" t="s">
        <v>2515</v>
      </c>
      <c r="L1225" s="21" t="s">
        <v>765</v>
      </c>
      <c r="M1225" t="s">
        <v>2479</v>
      </c>
      <c r="N1225" t="s">
        <v>42</v>
      </c>
      <c r="P1225" s="21" t="s">
        <v>768</v>
      </c>
      <c r="R1225" t="s">
        <v>2480</v>
      </c>
      <c r="S1225" t="s">
        <v>2514</v>
      </c>
      <c r="T1225" t="s">
        <v>1249</v>
      </c>
      <c r="U1225" t="s">
        <v>1286</v>
      </c>
      <c r="V1225" t="s">
        <v>2516</v>
      </c>
      <c r="W1225" t="s">
        <v>2517</v>
      </c>
    </row>
    <row r="1226" spans="1:23" ht="15" customHeight="1" x14ac:dyDescent="0.3">
      <c r="A1226" t="s">
        <v>8</v>
      </c>
      <c r="B1226">
        <v>205</v>
      </c>
      <c r="C1226" t="s">
        <v>717</v>
      </c>
      <c r="D1226" t="s">
        <v>760</v>
      </c>
      <c r="E1226" t="s">
        <v>370</v>
      </c>
      <c r="F1226" t="s">
        <v>761</v>
      </c>
      <c r="G1226" t="s">
        <v>762</v>
      </c>
      <c r="H1226" t="s">
        <v>1283</v>
      </c>
      <c r="I1226" t="s">
        <v>760</v>
      </c>
      <c r="J1226" t="s">
        <v>2514</v>
      </c>
      <c r="K1226" s="21" t="s">
        <v>2515</v>
      </c>
      <c r="L1226" s="21" t="s">
        <v>765</v>
      </c>
      <c r="M1226" t="s">
        <v>2479</v>
      </c>
      <c r="N1226" t="s">
        <v>42</v>
      </c>
      <c r="P1226" s="21" t="s">
        <v>768</v>
      </c>
      <c r="R1226" t="s">
        <v>2481</v>
      </c>
      <c r="S1226" t="s">
        <v>2514</v>
      </c>
      <c r="T1226" t="s">
        <v>1249</v>
      </c>
      <c r="U1226" t="s">
        <v>1286</v>
      </c>
      <c r="V1226" t="s">
        <v>2516</v>
      </c>
      <c r="W1226" t="s">
        <v>2517</v>
      </c>
    </row>
    <row r="1227" spans="1:23" ht="15" customHeight="1" x14ac:dyDescent="0.3">
      <c r="A1227" t="s">
        <v>8</v>
      </c>
      <c r="B1227">
        <v>205</v>
      </c>
      <c r="C1227" t="s">
        <v>717</v>
      </c>
      <c r="D1227" t="s">
        <v>760</v>
      </c>
      <c r="E1227" t="s">
        <v>370</v>
      </c>
      <c r="F1227" t="s">
        <v>761</v>
      </c>
      <c r="G1227" t="s">
        <v>762</v>
      </c>
      <c r="H1227" t="s">
        <v>1287</v>
      </c>
      <c r="I1227" t="s">
        <v>760</v>
      </c>
      <c r="J1227" t="s">
        <v>2498</v>
      </c>
      <c r="K1227" s="21" t="s">
        <v>2499</v>
      </c>
      <c r="L1227" s="21" t="s">
        <v>765</v>
      </c>
      <c r="M1227" t="s">
        <v>2479</v>
      </c>
      <c r="N1227" t="s">
        <v>42</v>
      </c>
      <c r="P1227" s="21" t="s">
        <v>768</v>
      </c>
      <c r="R1227" t="s">
        <v>2480</v>
      </c>
      <c r="S1227" t="s">
        <v>2498</v>
      </c>
      <c r="T1227" t="s">
        <v>1249</v>
      </c>
      <c r="U1227" t="s">
        <v>2407</v>
      </c>
      <c r="V1227" t="s">
        <v>2500</v>
      </c>
      <c r="W1227" t="s">
        <v>2501</v>
      </c>
    </row>
    <row r="1228" spans="1:23" ht="15" customHeight="1" x14ac:dyDescent="0.3">
      <c r="A1228" t="s">
        <v>8</v>
      </c>
      <c r="B1228">
        <v>205</v>
      </c>
      <c r="C1228" t="s">
        <v>717</v>
      </c>
      <c r="D1228" t="s">
        <v>760</v>
      </c>
      <c r="E1228" t="s">
        <v>370</v>
      </c>
      <c r="F1228" t="s">
        <v>761</v>
      </c>
      <c r="G1228" t="s">
        <v>762</v>
      </c>
      <c r="H1228" t="s">
        <v>1287</v>
      </c>
      <c r="I1228" t="s">
        <v>760</v>
      </c>
      <c r="J1228" t="s">
        <v>2498</v>
      </c>
      <c r="K1228" s="21" t="s">
        <v>2499</v>
      </c>
      <c r="L1228" s="21" t="s">
        <v>765</v>
      </c>
      <c r="M1228" t="s">
        <v>2479</v>
      </c>
      <c r="N1228" t="s">
        <v>42</v>
      </c>
      <c r="P1228" s="21" t="s">
        <v>768</v>
      </c>
      <c r="R1228" t="s">
        <v>2481</v>
      </c>
      <c r="S1228" t="s">
        <v>2498</v>
      </c>
      <c r="T1228" t="s">
        <v>1249</v>
      </c>
      <c r="U1228" t="s">
        <v>2407</v>
      </c>
      <c r="V1228" t="s">
        <v>2500</v>
      </c>
      <c r="W1228" t="s">
        <v>2501</v>
      </c>
    </row>
    <row r="1229" spans="1:23" ht="15" customHeight="1" x14ac:dyDescent="0.3">
      <c r="A1229" t="s">
        <v>8</v>
      </c>
      <c r="B1229">
        <v>205</v>
      </c>
      <c r="C1229" t="s">
        <v>717</v>
      </c>
      <c r="D1229" t="s">
        <v>760</v>
      </c>
      <c r="E1229" t="s">
        <v>370</v>
      </c>
      <c r="F1229" t="s">
        <v>761</v>
      </c>
      <c r="G1229" t="s">
        <v>762</v>
      </c>
      <c r="H1229" t="s">
        <v>1293</v>
      </c>
      <c r="I1229" t="s">
        <v>760</v>
      </c>
      <c r="J1229" t="s">
        <v>2502</v>
      </c>
      <c r="K1229" s="21" t="s">
        <v>2503</v>
      </c>
      <c r="L1229" s="21" t="s">
        <v>765</v>
      </c>
      <c r="M1229" t="s">
        <v>2479</v>
      </c>
      <c r="N1229" t="s">
        <v>42</v>
      </c>
      <c r="P1229" s="21" t="s">
        <v>768</v>
      </c>
      <c r="R1229" t="s">
        <v>2480</v>
      </c>
      <c r="S1229" t="s">
        <v>2502</v>
      </c>
      <c r="T1229" t="s">
        <v>1249</v>
      </c>
      <c r="U1229" t="s">
        <v>2407</v>
      </c>
      <c r="V1229" t="s">
        <v>2504</v>
      </c>
      <c r="W1229" t="s">
        <v>2505</v>
      </c>
    </row>
    <row r="1230" spans="1:23" ht="15" customHeight="1" x14ac:dyDescent="0.3">
      <c r="A1230" t="s">
        <v>8</v>
      </c>
      <c r="B1230">
        <v>205</v>
      </c>
      <c r="C1230" t="s">
        <v>717</v>
      </c>
      <c r="D1230" t="s">
        <v>760</v>
      </c>
      <c r="E1230" t="s">
        <v>370</v>
      </c>
      <c r="F1230" t="s">
        <v>761</v>
      </c>
      <c r="G1230" t="s">
        <v>762</v>
      </c>
      <c r="H1230" t="s">
        <v>1293</v>
      </c>
      <c r="I1230" t="s">
        <v>760</v>
      </c>
      <c r="J1230" t="s">
        <v>2502</v>
      </c>
      <c r="K1230" s="21" t="s">
        <v>2503</v>
      </c>
      <c r="L1230" s="21" t="s">
        <v>765</v>
      </c>
      <c r="M1230" t="s">
        <v>2479</v>
      </c>
      <c r="N1230" t="s">
        <v>42</v>
      </c>
      <c r="P1230" s="21" t="s">
        <v>768</v>
      </c>
      <c r="R1230" t="s">
        <v>2481</v>
      </c>
      <c r="S1230" t="s">
        <v>2502</v>
      </c>
      <c r="T1230" t="s">
        <v>1249</v>
      </c>
      <c r="U1230" t="s">
        <v>2407</v>
      </c>
      <c r="V1230" t="s">
        <v>2504</v>
      </c>
      <c r="W1230" t="s">
        <v>2505</v>
      </c>
    </row>
    <row r="1231" spans="1:23" ht="15" customHeight="1" x14ac:dyDescent="0.3">
      <c r="A1231" t="s">
        <v>8</v>
      </c>
      <c r="B1231">
        <v>205</v>
      </c>
      <c r="C1231" t="s">
        <v>717</v>
      </c>
      <c r="D1231" t="s">
        <v>760</v>
      </c>
      <c r="E1231" t="s">
        <v>370</v>
      </c>
      <c r="F1231" t="s">
        <v>761</v>
      </c>
      <c r="G1231" t="s">
        <v>762</v>
      </c>
      <c r="H1231" t="s">
        <v>1592</v>
      </c>
      <c r="I1231" t="s">
        <v>760</v>
      </c>
      <c r="J1231" t="s">
        <v>2518</v>
      </c>
      <c r="K1231" s="21" t="s">
        <v>2519</v>
      </c>
      <c r="L1231" s="21" t="s">
        <v>765</v>
      </c>
      <c r="M1231" t="s">
        <v>2479</v>
      </c>
      <c r="N1231" t="s">
        <v>42</v>
      </c>
      <c r="P1231" s="21" t="s">
        <v>768</v>
      </c>
      <c r="R1231" t="s">
        <v>2480</v>
      </c>
      <c r="S1231" t="s">
        <v>2518</v>
      </c>
      <c r="T1231" t="s">
        <v>1290</v>
      </c>
      <c r="U1231" t="s">
        <v>1291</v>
      </c>
      <c r="V1231" t="s">
        <v>2500</v>
      </c>
      <c r="W1231" t="s">
        <v>2520</v>
      </c>
    </row>
    <row r="1232" spans="1:23" ht="15" customHeight="1" x14ac:dyDescent="0.3">
      <c r="A1232" t="s">
        <v>8</v>
      </c>
      <c r="B1232">
        <v>205</v>
      </c>
      <c r="C1232" t="s">
        <v>717</v>
      </c>
      <c r="D1232" t="s">
        <v>760</v>
      </c>
      <c r="E1232" t="s">
        <v>370</v>
      </c>
      <c r="F1232" t="s">
        <v>761</v>
      </c>
      <c r="G1232" t="s">
        <v>762</v>
      </c>
      <c r="H1232" t="s">
        <v>1592</v>
      </c>
      <c r="I1232" t="s">
        <v>760</v>
      </c>
      <c r="J1232" t="s">
        <v>2518</v>
      </c>
      <c r="K1232" s="21" t="s">
        <v>2519</v>
      </c>
      <c r="L1232" s="21" t="s">
        <v>765</v>
      </c>
      <c r="M1232" t="s">
        <v>2479</v>
      </c>
      <c r="N1232" t="s">
        <v>42</v>
      </c>
      <c r="P1232" s="21" t="s">
        <v>768</v>
      </c>
      <c r="R1232" t="s">
        <v>2481</v>
      </c>
      <c r="S1232" t="s">
        <v>2518</v>
      </c>
      <c r="T1232" t="s">
        <v>1290</v>
      </c>
      <c r="U1232" t="s">
        <v>1291</v>
      </c>
      <c r="V1232" t="s">
        <v>2500</v>
      </c>
      <c r="W1232" t="s">
        <v>2520</v>
      </c>
    </row>
    <row r="1233" spans="1:23" ht="15" customHeight="1" x14ac:dyDescent="0.3">
      <c r="A1233" t="s">
        <v>8</v>
      </c>
      <c r="B1233">
        <v>205</v>
      </c>
      <c r="C1233" t="s">
        <v>717</v>
      </c>
      <c r="D1233" t="s">
        <v>760</v>
      </c>
      <c r="E1233" t="s">
        <v>370</v>
      </c>
      <c r="F1233" t="s">
        <v>761</v>
      </c>
      <c r="G1233" t="s">
        <v>762</v>
      </c>
      <c r="H1233" t="s">
        <v>1798</v>
      </c>
      <c r="I1233" t="s">
        <v>760</v>
      </c>
      <c r="J1233" t="s">
        <v>2521</v>
      </c>
      <c r="K1233" s="21" t="s">
        <v>2522</v>
      </c>
      <c r="L1233" s="21" t="s">
        <v>765</v>
      </c>
      <c r="M1233" t="s">
        <v>2479</v>
      </c>
      <c r="N1233" t="s">
        <v>42</v>
      </c>
      <c r="P1233" s="21" t="s">
        <v>768</v>
      </c>
      <c r="R1233" t="s">
        <v>2480</v>
      </c>
      <c r="S1233" t="s">
        <v>2521</v>
      </c>
      <c r="T1233" t="s">
        <v>1290</v>
      </c>
      <c r="U1233" t="s">
        <v>1296</v>
      </c>
      <c r="V1233" t="s">
        <v>2500</v>
      </c>
      <c r="W1233" t="s">
        <v>2520</v>
      </c>
    </row>
    <row r="1234" spans="1:23" ht="15" customHeight="1" x14ac:dyDescent="0.3">
      <c r="A1234" t="s">
        <v>8</v>
      </c>
      <c r="B1234">
        <v>205</v>
      </c>
      <c r="C1234" t="s">
        <v>717</v>
      </c>
      <c r="D1234" t="s">
        <v>760</v>
      </c>
      <c r="E1234" t="s">
        <v>370</v>
      </c>
      <c r="F1234" t="s">
        <v>761</v>
      </c>
      <c r="G1234" t="s">
        <v>762</v>
      </c>
      <c r="H1234" t="s">
        <v>1798</v>
      </c>
      <c r="I1234" t="s">
        <v>760</v>
      </c>
      <c r="J1234" t="s">
        <v>2521</v>
      </c>
      <c r="K1234" s="21" t="s">
        <v>2522</v>
      </c>
      <c r="L1234" s="21" t="s">
        <v>765</v>
      </c>
      <c r="M1234" t="s">
        <v>2479</v>
      </c>
      <c r="N1234" t="s">
        <v>42</v>
      </c>
      <c r="P1234" s="21" t="s">
        <v>768</v>
      </c>
      <c r="R1234" t="s">
        <v>2481</v>
      </c>
      <c r="S1234" t="s">
        <v>2521</v>
      </c>
      <c r="T1234" t="s">
        <v>1290</v>
      </c>
      <c r="U1234" t="s">
        <v>1296</v>
      </c>
      <c r="V1234" t="s">
        <v>2500</v>
      </c>
      <c r="W1234" t="s">
        <v>2520</v>
      </c>
    </row>
    <row r="1235" spans="1:23" ht="15" customHeight="1" x14ac:dyDescent="0.3">
      <c r="A1235" t="s">
        <v>8</v>
      </c>
      <c r="B1235">
        <v>205</v>
      </c>
      <c r="C1235" t="s">
        <v>717</v>
      </c>
      <c r="D1235" t="s">
        <v>760</v>
      </c>
      <c r="E1235" t="s">
        <v>370</v>
      </c>
      <c r="F1235" t="s">
        <v>761</v>
      </c>
      <c r="G1235" t="s">
        <v>762</v>
      </c>
      <c r="H1235" t="s">
        <v>1803</v>
      </c>
      <c r="I1235" t="s">
        <v>760</v>
      </c>
      <c r="J1235" t="s">
        <v>2523</v>
      </c>
      <c r="K1235" s="21" t="s">
        <v>2524</v>
      </c>
      <c r="L1235" s="21" t="s">
        <v>765</v>
      </c>
      <c r="M1235" t="s">
        <v>2479</v>
      </c>
      <c r="N1235" t="s">
        <v>42</v>
      </c>
      <c r="P1235" s="21" t="s">
        <v>768</v>
      </c>
      <c r="R1235" t="s">
        <v>2480</v>
      </c>
      <c r="S1235" t="s">
        <v>2523</v>
      </c>
      <c r="T1235" t="s">
        <v>1290</v>
      </c>
      <c r="U1235" t="s">
        <v>1291</v>
      </c>
      <c r="V1235" t="s">
        <v>2504</v>
      </c>
      <c r="W1235" t="s">
        <v>2525</v>
      </c>
    </row>
    <row r="1236" spans="1:23" ht="15" customHeight="1" x14ac:dyDescent="0.3">
      <c r="A1236" t="s">
        <v>8</v>
      </c>
      <c r="B1236">
        <v>205</v>
      </c>
      <c r="C1236" t="s">
        <v>717</v>
      </c>
      <c r="D1236" t="s">
        <v>760</v>
      </c>
      <c r="E1236" t="s">
        <v>370</v>
      </c>
      <c r="F1236" t="s">
        <v>761</v>
      </c>
      <c r="G1236" t="s">
        <v>762</v>
      </c>
      <c r="H1236" t="s">
        <v>1803</v>
      </c>
      <c r="I1236" t="s">
        <v>760</v>
      </c>
      <c r="J1236" t="s">
        <v>2523</v>
      </c>
      <c r="K1236" s="21" t="s">
        <v>2524</v>
      </c>
      <c r="L1236" s="21" t="s">
        <v>765</v>
      </c>
      <c r="M1236" t="s">
        <v>2479</v>
      </c>
      <c r="N1236" t="s">
        <v>42</v>
      </c>
      <c r="P1236" s="21" t="s">
        <v>768</v>
      </c>
      <c r="R1236" t="s">
        <v>2481</v>
      </c>
      <c r="S1236" t="s">
        <v>2523</v>
      </c>
      <c r="T1236" t="s">
        <v>1290</v>
      </c>
      <c r="U1236" t="s">
        <v>1291</v>
      </c>
      <c r="V1236" t="s">
        <v>2504</v>
      </c>
      <c r="W1236" t="s">
        <v>2525</v>
      </c>
    </row>
    <row r="1237" spans="1:23" ht="15" customHeight="1" x14ac:dyDescent="0.3">
      <c r="A1237" t="s">
        <v>8</v>
      </c>
      <c r="B1237">
        <v>205</v>
      </c>
      <c r="C1237" t="s">
        <v>717</v>
      </c>
      <c r="D1237" t="s">
        <v>760</v>
      </c>
      <c r="E1237" t="s">
        <v>370</v>
      </c>
      <c r="F1237" t="s">
        <v>761</v>
      </c>
      <c r="G1237" t="s">
        <v>762</v>
      </c>
      <c r="H1237" t="s">
        <v>2526</v>
      </c>
      <c r="I1237" t="s">
        <v>760</v>
      </c>
      <c r="J1237" t="s">
        <v>2527</v>
      </c>
      <c r="K1237" s="21" t="s">
        <v>2528</v>
      </c>
      <c r="L1237" s="21" t="s">
        <v>765</v>
      </c>
      <c r="M1237" t="s">
        <v>2479</v>
      </c>
      <c r="N1237" t="s">
        <v>42</v>
      </c>
      <c r="P1237" s="21" t="s">
        <v>768</v>
      </c>
      <c r="R1237" t="s">
        <v>2480</v>
      </c>
      <c r="S1237" t="s">
        <v>2527</v>
      </c>
      <c r="T1237" t="s">
        <v>1290</v>
      </c>
      <c r="U1237" t="s">
        <v>1296</v>
      </c>
      <c r="V1237" t="s">
        <v>2504</v>
      </c>
      <c r="W1237" t="s">
        <v>2525</v>
      </c>
    </row>
    <row r="1238" spans="1:23" ht="15" customHeight="1" x14ac:dyDescent="0.3">
      <c r="A1238" t="s">
        <v>8</v>
      </c>
      <c r="B1238">
        <v>205</v>
      </c>
      <c r="C1238" t="s">
        <v>717</v>
      </c>
      <c r="D1238" t="s">
        <v>760</v>
      </c>
      <c r="E1238" t="s">
        <v>370</v>
      </c>
      <c r="F1238" t="s">
        <v>761</v>
      </c>
      <c r="G1238" t="s">
        <v>762</v>
      </c>
      <c r="H1238" t="s">
        <v>2526</v>
      </c>
      <c r="I1238" t="s">
        <v>760</v>
      </c>
      <c r="J1238" t="s">
        <v>2527</v>
      </c>
      <c r="K1238" s="21" t="s">
        <v>2528</v>
      </c>
      <c r="L1238" s="21" t="s">
        <v>765</v>
      </c>
      <c r="M1238" t="s">
        <v>2479</v>
      </c>
      <c r="N1238" t="s">
        <v>42</v>
      </c>
      <c r="P1238" s="21" t="s">
        <v>768</v>
      </c>
      <c r="R1238" t="s">
        <v>2481</v>
      </c>
      <c r="S1238" t="s">
        <v>2527</v>
      </c>
      <c r="T1238" t="s">
        <v>1290</v>
      </c>
      <c r="U1238" t="s">
        <v>1296</v>
      </c>
      <c r="V1238" t="s">
        <v>2504</v>
      </c>
      <c r="W1238" t="s">
        <v>2525</v>
      </c>
    </row>
    <row r="1239" spans="1:23" ht="15" customHeight="1" x14ac:dyDescent="0.3">
      <c r="A1239" t="s">
        <v>8</v>
      </c>
      <c r="B1239">
        <v>216</v>
      </c>
      <c r="C1239" t="s">
        <v>717</v>
      </c>
      <c r="D1239" t="s">
        <v>776</v>
      </c>
      <c r="E1239" t="s">
        <v>34</v>
      </c>
      <c r="F1239" t="s">
        <v>777</v>
      </c>
      <c r="G1239" t="s">
        <v>36</v>
      </c>
      <c r="H1239" t="s">
        <v>37</v>
      </c>
      <c r="I1239" t="s">
        <v>776</v>
      </c>
      <c r="J1239" t="s">
        <v>2529</v>
      </c>
      <c r="K1239" t="s">
        <v>2530</v>
      </c>
      <c r="L1239" s="21" t="s">
        <v>780</v>
      </c>
      <c r="M1239" t="s">
        <v>781</v>
      </c>
      <c r="N1239" t="s">
        <v>42</v>
      </c>
      <c r="R1239" t="s">
        <v>783</v>
      </c>
      <c r="S1239" t="s">
        <v>2529</v>
      </c>
      <c r="T1239" t="s">
        <v>45</v>
      </c>
      <c r="U1239" t="s">
        <v>1257</v>
      </c>
      <c r="V1239" t="s">
        <v>784</v>
      </c>
      <c r="W1239" t="s">
        <v>2531</v>
      </c>
    </row>
    <row r="1240" spans="1:23" ht="15" customHeight="1" x14ac:dyDescent="0.3">
      <c r="A1240" t="s">
        <v>8</v>
      </c>
      <c r="B1240">
        <v>216</v>
      </c>
      <c r="C1240" t="s">
        <v>717</v>
      </c>
      <c r="D1240" t="s">
        <v>776</v>
      </c>
      <c r="E1240" t="s">
        <v>34</v>
      </c>
      <c r="F1240" t="s">
        <v>777</v>
      </c>
      <c r="G1240" t="s">
        <v>36</v>
      </c>
      <c r="H1240" t="s">
        <v>52</v>
      </c>
      <c r="I1240" t="s">
        <v>776</v>
      </c>
      <c r="J1240" t="s">
        <v>778</v>
      </c>
      <c r="K1240" s="21" t="s">
        <v>779</v>
      </c>
      <c r="L1240" s="21" t="s">
        <v>780</v>
      </c>
      <c r="M1240" t="s">
        <v>781</v>
      </c>
      <c r="N1240" t="s">
        <v>42</v>
      </c>
      <c r="R1240" t="s">
        <v>783</v>
      </c>
      <c r="S1240" t="s">
        <v>778</v>
      </c>
      <c r="T1240" t="s">
        <v>45</v>
      </c>
      <c r="U1240" t="s">
        <v>90</v>
      </c>
      <c r="V1240" t="s">
        <v>784</v>
      </c>
      <c r="W1240" t="s">
        <v>785</v>
      </c>
    </row>
    <row r="1241" spans="1:23" ht="15" customHeight="1" x14ac:dyDescent="0.3">
      <c r="A1241" t="s">
        <v>8</v>
      </c>
      <c r="B1241">
        <v>213</v>
      </c>
      <c r="C1241" t="s">
        <v>717</v>
      </c>
      <c r="D1241" t="s">
        <v>786</v>
      </c>
      <c r="E1241" t="s">
        <v>34</v>
      </c>
      <c r="F1241" t="s">
        <v>787</v>
      </c>
      <c r="G1241" t="s">
        <v>36</v>
      </c>
      <c r="H1241" t="s">
        <v>37</v>
      </c>
      <c r="I1241" t="s">
        <v>786</v>
      </c>
      <c r="J1241" t="s">
        <v>788</v>
      </c>
      <c r="K1241" t="s">
        <v>789</v>
      </c>
      <c r="L1241" s="21" t="s">
        <v>790</v>
      </c>
      <c r="M1241" t="s">
        <v>98</v>
      </c>
      <c r="N1241" t="s">
        <v>72</v>
      </c>
      <c r="R1241" t="s">
        <v>100</v>
      </c>
      <c r="S1241" t="s">
        <v>788</v>
      </c>
      <c r="T1241" t="s">
        <v>45</v>
      </c>
      <c r="U1241" t="s">
        <v>46</v>
      </c>
      <c r="V1241" t="s">
        <v>792</v>
      </c>
      <c r="W1241" t="s">
        <v>793</v>
      </c>
    </row>
    <row r="1242" spans="1:23" ht="15" customHeight="1" x14ac:dyDescent="0.3">
      <c r="A1242" t="s">
        <v>8</v>
      </c>
      <c r="B1242">
        <v>213</v>
      </c>
      <c r="C1242" t="s">
        <v>717</v>
      </c>
      <c r="D1242" t="s">
        <v>786</v>
      </c>
      <c r="E1242" t="s">
        <v>34</v>
      </c>
      <c r="F1242" t="s">
        <v>787</v>
      </c>
      <c r="G1242" t="s">
        <v>36</v>
      </c>
      <c r="H1242" t="s">
        <v>52</v>
      </c>
      <c r="I1242" t="s">
        <v>786</v>
      </c>
      <c r="J1242" t="s">
        <v>2532</v>
      </c>
      <c r="K1242" s="21" t="s">
        <v>2533</v>
      </c>
      <c r="L1242" s="21" t="s">
        <v>790</v>
      </c>
      <c r="M1242" t="s">
        <v>98</v>
      </c>
      <c r="N1242" t="s">
        <v>72</v>
      </c>
      <c r="R1242" t="s">
        <v>100</v>
      </c>
      <c r="S1242" t="s">
        <v>2532</v>
      </c>
      <c r="T1242" t="s">
        <v>45</v>
      </c>
      <c r="U1242" t="s">
        <v>1257</v>
      </c>
      <c r="V1242" t="s">
        <v>796</v>
      </c>
      <c r="W1242" t="s">
        <v>2534</v>
      </c>
    </row>
    <row r="1243" spans="1:23" ht="15" customHeight="1" x14ac:dyDescent="0.3">
      <c r="A1243" t="s">
        <v>8</v>
      </c>
      <c r="B1243">
        <v>213</v>
      </c>
      <c r="C1243" t="s">
        <v>717</v>
      </c>
      <c r="D1243" t="s">
        <v>786</v>
      </c>
      <c r="E1243" t="s">
        <v>34</v>
      </c>
      <c r="F1243" t="s">
        <v>787</v>
      </c>
      <c r="G1243" t="s">
        <v>36</v>
      </c>
      <c r="H1243" t="s">
        <v>57</v>
      </c>
      <c r="I1243" t="s">
        <v>786</v>
      </c>
      <c r="J1243" t="s">
        <v>794</v>
      </c>
      <c r="K1243" s="21" t="s">
        <v>795</v>
      </c>
      <c r="L1243" s="21" t="s">
        <v>790</v>
      </c>
      <c r="M1243" t="s">
        <v>98</v>
      </c>
      <c r="N1243" t="s">
        <v>72</v>
      </c>
      <c r="R1243" t="s">
        <v>100</v>
      </c>
      <c r="S1243" t="s">
        <v>794</v>
      </c>
      <c r="T1243" t="s">
        <v>45</v>
      </c>
      <c r="U1243" t="s">
        <v>90</v>
      </c>
      <c r="V1243" t="s">
        <v>796</v>
      </c>
      <c r="W1243" t="s">
        <v>797</v>
      </c>
    </row>
    <row r="1244" spans="1:23" ht="15" customHeight="1" x14ac:dyDescent="0.3">
      <c r="A1244" t="s">
        <v>8</v>
      </c>
      <c r="B1244">
        <v>231</v>
      </c>
      <c r="C1244" t="s">
        <v>717</v>
      </c>
      <c r="D1244" t="s">
        <v>2535</v>
      </c>
      <c r="E1244" t="s">
        <v>34</v>
      </c>
      <c r="F1244" t="s">
        <v>2536</v>
      </c>
      <c r="G1244" t="s">
        <v>36</v>
      </c>
      <c r="H1244" t="s">
        <v>2535</v>
      </c>
      <c r="I1244" t="s">
        <v>2535</v>
      </c>
      <c r="J1244" t="s">
        <v>2537</v>
      </c>
      <c r="K1244" t="s">
        <v>2538</v>
      </c>
      <c r="L1244" t="s">
        <v>2538</v>
      </c>
      <c r="M1244" t="s">
        <v>2539</v>
      </c>
      <c r="N1244" t="s">
        <v>42</v>
      </c>
      <c r="R1244" t="s">
        <v>2540</v>
      </c>
      <c r="S1244" t="s">
        <v>2537</v>
      </c>
      <c r="T1244" t="s">
        <v>45</v>
      </c>
      <c r="U1244" t="s">
        <v>1573</v>
      </c>
      <c r="V1244" t="s">
        <v>2541</v>
      </c>
      <c r="W1244" t="s">
        <v>2542</v>
      </c>
    </row>
    <row r="1245" spans="1:23" ht="15" customHeight="1" x14ac:dyDescent="0.3">
      <c r="A1245" t="s">
        <v>8</v>
      </c>
      <c r="B1245">
        <v>231</v>
      </c>
      <c r="C1245" t="s">
        <v>717</v>
      </c>
      <c r="D1245" t="s">
        <v>2535</v>
      </c>
      <c r="E1245" t="s">
        <v>34</v>
      </c>
      <c r="F1245" t="s">
        <v>2536</v>
      </c>
      <c r="G1245" t="s">
        <v>36</v>
      </c>
      <c r="H1245" t="s">
        <v>2535</v>
      </c>
      <c r="I1245" t="s">
        <v>2535</v>
      </c>
      <c r="J1245" t="s">
        <v>2537</v>
      </c>
      <c r="K1245" t="s">
        <v>2538</v>
      </c>
      <c r="L1245" t="s">
        <v>2538</v>
      </c>
      <c r="M1245" t="s">
        <v>2539</v>
      </c>
      <c r="N1245" t="s">
        <v>42</v>
      </c>
      <c r="R1245" t="s">
        <v>2543</v>
      </c>
      <c r="S1245" t="s">
        <v>2537</v>
      </c>
      <c r="T1245" t="s">
        <v>45</v>
      </c>
      <c r="U1245" t="s">
        <v>1573</v>
      </c>
      <c r="V1245" t="s">
        <v>2541</v>
      </c>
      <c r="W1245" t="s">
        <v>2542</v>
      </c>
    </row>
    <row r="1246" spans="1:23" ht="15" customHeight="1" x14ac:dyDescent="0.3">
      <c r="A1246" t="s">
        <v>8</v>
      </c>
      <c r="B1246">
        <v>208</v>
      </c>
      <c r="C1246" t="s">
        <v>717</v>
      </c>
      <c r="D1246" t="s">
        <v>798</v>
      </c>
      <c r="E1246" t="s">
        <v>34</v>
      </c>
      <c r="F1246" t="s">
        <v>799</v>
      </c>
      <c r="G1246" t="s">
        <v>36</v>
      </c>
      <c r="H1246" t="s">
        <v>37</v>
      </c>
      <c r="I1246" t="s">
        <v>798</v>
      </c>
      <c r="J1246" t="s">
        <v>800</v>
      </c>
      <c r="K1246" t="s">
        <v>801</v>
      </c>
      <c r="L1246" s="21" t="s">
        <v>802</v>
      </c>
      <c r="M1246" t="s">
        <v>803</v>
      </c>
      <c r="N1246" t="s">
        <v>42</v>
      </c>
      <c r="Q1246" t="s">
        <v>805</v>
      </c>
      <c r="R1246" t="s">
        <v>806</v>
      </c>
      <c r="S1246" t="s">
        <v>800</v>
      </c>
      <c r="T1246" t="s">
        <v>45</v>
      </c>
      <c r="U1246" t="s">
        <v>46</v>
      </c>
      <c r="V1246" t="s">
        <v>807</v>
      </c>
      <c r="W1246" t="s">
        <v>808</v>
      </c>
    </row>
    <row r="1247" spans="1:23" ht="15" customHeight="1" x14ac:dyDescent="0.3">
      <c r="A1247" t="s">
        <v>8</v>
      </c>
      <c r="B1247">
        <v>208</v>
      </c>
      <c r="C1247" t="s">
        <v>717</v>
      </c>
      <c r="D1247" t="s">
        <v>798</v>
      </c>
      <c r="E1247" t="s">
        <v>34</v>
      </c>
      <c r="F1247" t="s">
        <v>799</v>
      </c>
      <c r="G1247" t="s">
        <v>36</v>
      </c>
      <c r="H1247" t="s">
        <v>52</v>
      </c>
      <c r="I1247" t="s">
        <v>798</v>
      </c>
      <c r="J1247" t="s">
        <v>809</v>
      </c>
      <c r="K1247" s="21" t="s">
        <v>810</v>
      </c>
      <c r="L1247" s="21" t="s">
        <v>802</v>
      </c>
      <c r="M1247" t="s">
        <v>803</v>
      </c>
      <c r="N1247" t="s">
        <v>42</v>
      </c>
      <c r="Q1247" t="s">
        <v>805</v>
      </c>
      <c r="R1247" t="s">
        <v>806</v>
      </c>
      <c r="S1247" t="s">
        <v>809</v>
      </c>
      <c r="T1247" t="s">
        <v>45</v>
      </c>
      <c r="U1247" t="s">
        <v>46</v>
      </c>
      <c r="V1247" t="s">
        <v>811</v>
      </c>
      <c r="W1247" t="s">
        <v>812</v>
      </c>
    </row>
    <row r="1248" spans="1:23" ht="15" customHeight="1" x14ac:dyDescent="0.3">
      <c r="A1248" t="s">
        <v>8</v>
      </c>
      <c r="B1248">
        <v>208</v>
      </c>
      <c r="C1248" t="s">
        <v>717</v>
      </c>
      <c r="D1248" t="s">
        <v>798</v>
      </c>
      <c r="E1248" t="s">
        <v>34</v>
      </c>
      <c r="F1248" t="s">
        <v>799</v>
      </c>
      <c r="G1248" t="s">
        <v>36</v>
      </c>
      <c r="H1248" t="s">
        <v>57</v>
      </c>
      <c r="I1248" t="s">
        <v>798</v>
      </c>
      <c r="J1248" t="s">
        <v>813</v>
      </c>
      <c r="K1248" s="21" t="s">
        <v>814</v>
      </c>
      <c r="L1248" s="21" t="s">
        <v>802</v>
      </c>
      <c r="M1248" t="s">
        <v>803</v>
      </c>
      <c r="N1248" t="s">
        <v>42</v>
      </c>
      <c r="Q1248" t="s">
        <v>805</v>
      </c>
      <c r="R1248" t="s">
        <v>806</v>
      </c>
      <c r="S1248" t="s">
        <v>813</v>
      </c>
      <c r="T1248" t="s">
        <v>45</v>
      </c>
      <c r="U1248" t="s">
        <v>46</v>
      </c>
      <c r="V1248" t="s">
        <v>815</v>
      </c>
      <c r="W1248" t="s">
        <v>816</v>
      </c>
    </row>
    <row r="1249" spans="1:23" ht="15" customHeight="1" x14ac:dyDescent="0.3">
      <c r="A1249" t="s">
        <v>8</v>
      </c>
      <c r="B1249">
        <v>208</v>
      </c>
      <c r="C1249" t="s">
        <v>717</v>
      </c>
      <c r="D1249" t="s">
        <v>798</v>
      </c>
      <c r="E1249" t="s">
        <v>34</v>
      </c>
      <c r="F1249" t="s">
        <v>799</v>
      </c>
      <c r="G1249" t="s">
        <v>36</v>
      </c>
      <c r="H1249" t="s">
        <v>49</v>
      </c>
      <c r="I1249" t="s">
        <v>798</v>
      </c>
      <c r="J1249" t="s">
        <v>2544</v>
      </c>
      <c r="K1249" s="21" t="s">
        <v>2545</v>
      </c>
      <c r="L1249" s="21" t="s">
        <v>802</v>
      </c>
      <c r="M1249" t="s">
        <v>803</v>
      </c>
      <c r="N1249" t="s">
        <v>42</v>
      </c>
      <c r="Q1249" t="s">
        <v>805</v>
      </c>
      <c r="R1249" t="s">
        <v>806</v>
      </c>
      <c r="S1249" t="s">
        <v>2544</v>
      </c>
      <c r="T1249" t="s">
        <v>45</v>
      </c>
      <c r="U1249" t="s">
        <v>1486</v>
      </c>
      <c r="V1249" t="s">
        <v>819</v>
      </c>
      <c r="W1249" t="s">
        <v>2546</v>
      </c>
    </row>
    <row r="1250" spans="1:23" ht="15" customHeight="1" x14ac:dyDescent="0.3">
      <c r="A1250" t="s">
        <v>8</v>
      </c>
      <c r="B1250">
        <v>208</v>
      </c>
      <c r="C1250" t="s">
        <v>717</v>
      </c>
      <c r="D1250" t="s">
        <v>798</v>
      </c>
      <c r="E1250" t="s">
        <v>34</v>
      </c>
      <c r="F1250" t="s">
        <v>799</v>
      </c>
      <c r="G1250" t="s">
        <v>36</v>
      </c>
      <c r="H1250" t="s">
        <v>87</v>
      </c>
      <c r="I1250" t="s">
        <v>798</v>
      </c>
      <c r="J1250" t="s">
        <v>817</v>
      </c>
      <c r="K1250" s="21" t="s">
        <v>818</v>
      </c>
      <c r="L1250" s="21" t="s">
        <v>802</v>
      </c>
      <c r="M1250" t="s">
        <v>803</v>
      </c>
      <c r="N1250" t="s">
        <v>42</v>
      </c>
      <c r="Q1250" t="s">
        <v>805</v>
      </c>
      <c r="R1250" t="s">
        <v>806</v>
      </c>
      <c r="S1250" t="s">
        <v>817</v>
      </c>
      <c r="T1250" t="s">
        <v>45</v>
      </c>
      <c r="U1250" t="s">
        <v>90</v>
      </c>
      <c r="V1250" t="s">
        <v>819</v>
      </c>
      <c r="W1250" t="s">
        <v>820</v>
      </c>
    </row>
    <row r="1251" spans="1:23" ht="15" customHeight="1" x14ac:dyDescent="0.3">
      <c r="A1251" t="s">
        <v>8</v>
      </c>
      <c r="B1251">
        <v>208</v>
      </c>
      <c r="C1251" t="s">
        <v>717</v>
      </c>
      <c r="D1251" t="s">
        <v>798</v>
      </c>
      <c r="E1251" t="s">
        <v>34</v>
      </c>
      <c r="F1251" t="s">
        <v>799</v>
      </c>
      <c r="G1251" t="s">
        <v>36</v>
      </c>
      <c r="H1251" t="s">
        <v>421</v>
      </c>
      <c r="I1251" t="s">
        <v>798</v>
      </c>
      <c r="J1251" t="s">
        <v>2547</v>
      </c>
      <c r="K1251" s="21" t="s">
        <v>2548</v>
      </c>
      <c r="L1251" s="21" t="s">
        <v>802</v>
      </c>
      <c r="M1251" t="s">
        <v>803</v>
      </c>
      <c r="N1251" t="s">
        <v>42</v>
      </c>
      <c r="Q1251" t="s">
        <v>805</v>
      </c>
      <c r="R1251" t="s">
        <v>806</v>
      </c>
      <c r="S1251" t="s">
        <v>2547</v>
      </c>
      <c r="T1251" t="s">
        <v>45</v>
      </c>
      <c r="U1251" t="s">
        <v>1257</v>
      </c>
      <c r="V1251" t="s">
        <v>807</v>
      </c>
      <c r="W1251" t="s">
        <v>2549</v>
      </c>
    </row>
    <row r="1252" spans="1:23" ht="15" customHeight="1" x14ac:dyDescent="0.3">
      <c r="A1252" t="s">
        <v>8</v>
      </c>
      <c r="B1252">
        <v>208</v>
      </c>
      <c r="C1252" t="s">
        <v>717</v>
      </c>
      <c r="D1252" t="s">
        <v>798</v>
      </c>
      <c r="E1252" t="s">
        <v>34</v>
      </c>
      <c r="F1252" t="s">
        <v>799</v>
      </c>
      <c r="G1252" t="s">
        <v>36</v>
      </c>
      <c r="H1252" t="s">
        <v>182</v>
      </c>
      <c r="I1252" t="s">
        <v>798</v>
      </c>
      <c r="J1252" t="s">
        <v>2550</v>
      </c>
      <c r="K1252" s="21" t="s">
        <v>2551</v>
      </c>
      <c r="L1252" s="21" t="s">
        <v>802</v>
      </c>
      <c r="M1252" t="s">
        <v>803</v>
      </c>
      <c r="N1252" t="s">
        <v>42</v>
      </c>
      <c r="Q1252" t="s">
        <v>805</v>
      </c>
      <c r="R1252" t="s">
        <v>806</v>
      </c>
      <c r="S1252" t="s">
        <v>2550</v>
      </c>
      <c r="T1252" t="s">
        <v>1544</v>
      </c>
      <c r="U1252" t="s">
        <v>1691</v>
      </c>
      <c r="V1252" t="s">
        <v>807</v>
      </c>
      <c r="W1252" t="s">
        <v>2552</v>
      </c>
    </row>
    <row r="1253" spans="1:23" ht="15" customHeight="1" x14ac:dyDescent="0.3">
      <c r="A1253" t="s">
        <v>8</v>
      </c>
      <c r="B1253">
        <v>208</v>
      </c>
      <c r="C1253" t="s">
        <v>717</v>
      </c>
      <c r="D1253" t="s">
        <v>798</v>
      </c>
      <c r="E1253" t="s">
        <v>34</v>
      </c>
      <c r="F1253" t="s">
        <v>799</v>
      </c>
      <c r="G1253" t="s">
        <v>36</v>
      </c>
      <c r="H1253" t="s">
        <v>1242</v>
      </c>
      <c r="I1253" t="s">
        <v>798</v>
      </c>
      <c r="J1253" t="s">
        <v>2553</v>
      </c>
      <c r="K1253" s="21" t="s">
        <v>2554</v>
      </c>
      <c r="L1253" s="21" t="s">
        <v>802</v>
      </c>
      <c r="M1253" t="s">
        <v>803</v>
      </c>
      <c r="N1253" t="s">
        <v>42</v>
      </c>
      <c r="Q1253" t="s">
        <v>805</v>
      </c>
      <c r="R1253" t="s">
        <v>806</v>
      </c>
      <c r="S1253" t="s">
        <v>2553</v>
      </c>
      <c r="T1253" t="s">
        <v>1231</v>
      </c>
      <c r="U1253" t="s">
        <v>1232</v>
      </c>
      <c r="V1253" t="s">
        <v>2555</v>
      </c>
      <c r="W1253" t="s">
        <v>2556</v>
      </c>
    </row>
    <row r="1254" spans="1:23" ht="15" customHeight="1" x14ac:dyDescent="0.3">
      <c r="A1254" t="s">
        <v>8</v>
      </c>
      <c r="B1254">
        <v>208</v>
      </c>
      <c r="C1254" t="s">
        <v>717</v>
      </c>
      <c r="D1254" t="s">
        <v>798</v>
      </c>
      <c r="E1254" t="s">
        <v>34</v>
      </c>
      <c r="F1254" t="s">
        <v>799</v>
      </c>
      <c r="G1254" t="s">
        <v>36</v>
      </c>
      <c r="H1254" t="s">
        <v>425</v>
      </c>
      <c r="I1254" t="s">
        <v>798</v>
      </c>
      <c r="J1254" t="s">
        <v>2557</v>
      </c>
      <c r="K1254" s="21" t="s">
        <v>2558</v>
      </c>
      <c r="L1254" s="21" t="s">
        <v>802</v>
      </c>
      <c r="M1254" t="s">
        <v>803</v>
      </c>
      <c r="N1254" t="s">
        <v>42</v>
      </c>
      <c r="Q1254" t="s">
        <v>805</v>
      </c>
      <c r="R1254" t="s">
        <v>806</v>
      </c>
      <c r="S1254" t="s">
        <v>2557</v>
      </c>
      <c r="T1254" t="s">
        <v>1231</v>
      </c>
      <c r="U1254" t="s">
        <v>1241</v>
      </c>
      <c r="V1254" t="s">
        <v>2555</v>
      </c>
      <c r="W1254" t="s">
        <v>2556</v>
      </c>
    </row>
    <row r="1255" spans="1:23" ht="15" customHeight="1" x14ac:dyDescent="0.3">
      <c r="A1255" t="s">
        <v>8</v>
      </c>
      <c r="B1255">
        <v>208</v>
      </c>
      <c r="C1255" t="s">
        <v>717</v>
      </c>
      <c r="D1255" t="s">
        <v>798</v>
      </c>
      <c r="E1255" t="s">
        <v>34</v>
      </c>
      <c r="F1255" t="s">
        <v>799</v>
      </c>
      <c r="G1255" t="s">
        <v>36</v>
      </c>
      <c r="H1255" t="s">
        <v>996</v>
      </c>
      <c r="I1255" t="s">
        <v>798</v>
      </c>
      <c r="J1255" t="s">
        <v>2559</v>
      </c>
      <c r="K1255" s="21" t="s">
        <v>2560</v>
      </c>
      <c r="L1255" s="21" t="s">
        <v>802</v>
      </c>
      <c r="M1255" t="s">
        <v>803</v>
      </c>
      <c r="N1255" t="s">
        <v>42</v>
      </c>
      <c r="Q1255" t="s">
        <v>805</v>
      </c>
      <c r="R1255" t="s">
        <v>806</v>
      </c>
      <c r="S1255" t="s">
        <v>2559</v>
      </c>
      <c r="T1255" t="s">
        <v>1231</v>
      </c>
      <c r="U1255" t="s">
        <v>2561</v>
      </c>
      <c r="V1255" t="s">
        <v>2424</v>
      </c>
      <c r="W1255" t="s">
        <v>2425</v>
      </c>
    </row>
    <row r="1256" spans="1:23" ht="15" customHeight="1" x14ac:dyDescent="0.3">
      <c r="A1256" t="s">
        <v>8</v>
      </c>
      <c r="B1256">
        <v>208</v>
      </c>
      <c r="C1256" t="s">
        <v>717</v>
      </c>
      <c r="D1256" t="s">
        <v>798</v>
      </c>
      <c r="E1256" t="s">
        <v>34</v>
      </c>
      <c r="F1256" t="s">
        <v>799</v>
      </c>
      <c r="G1256" t="s">
        <v>36</v>
      </c>
      <c r="H1256" t="s">
        <v>1000</v>
      </c>
      <c r="I1256" t="s">
        <v>798</v>
      </c>
      <c r="J1256" t="s">
        <v>2562</v>
      </c>
      <c r="K1256" s="21" t="s">
        <v>2563</v>
      </c>
      <c r="L1256" s="21" t="s">
        <v>802</v>
      </c>
      <c r="M1256" t="s">
        <v>803</v>
      </c>
      <c r="N1256" t="s">
        <v>42</v>
      </c>
      <c r="Q1256" t="s">
        <v>805</v>
      </c>
      <c r="R1256" t="s">
        <v>806</v>
      </c>
      <c r="S1256" t="s">
        <v>2562</v>
      </c>
      <c r="T1256" t="s">
        <v>1249</v>
      </c>
      <c r="U1256" t="s">
        <v>1286</v>
      </c>
      <c r="V1256" t="s">
        <v>807</v>
      </c>
      <c r="W1256" t="s">
        <v>2564</v>
      </c>
    </row>
    <row r="1257" spans="1:23" ht="15" customHeight="1" x14ac:dyDescent="0.3">
      <c r="A1257" t="s">
        <v>8</v>
      </c>
      <c r="B1257">
        <v>208</v>
      </c>
      <c r="C1257" t="s">
        <v>717</v>
      </c>
      <c r="D1257" t="s">
        <v>798</v>
      </c>
      <c r="E1257" t="s">
        <v>34</v>
      </c>
      <c r="F1257" t="s">
        <v>799</v>
      </c>
      <c r="G1257" t="s">
        <v>36</v>
      </c>
      <c r="H1257" t="s">
        <v>1272</v>
      </c>
      <c r="I1257" t="s">
        <v>798</v>
      </c>
      <c r="J1257" t="s">
        <v>2565</v>
      </c>
      <c r="K1257" s="21" t="s">
        <v>2566</v>
      </c>
      <c r="L1257" s="21" t="s">
        <v>802</v>
      </c>
      <c r="M1257" t="s">
        <v>803</v>
      </c>
      <c r="N1257" t="s">
        <v>42</v>
      </c>
      <c r="Q1257" t="s">
        <v>805</v>
      </c>
      <c r="R1257" t="s">
        <v>806</v>
      </c>
      <c r="S1257" t="s">
        <v>2565</v>
      </c>
      <c r="T1257" t="s">
        <v>1249</v>
      </c>
      <c r="U1257" t="s">
        <v>1444</v>
      </c>
      <c r="V1257" t="s">
        <v>819</v>
      </c>
      <c r="W1257" t="s">
        <v>2546</v>
      </c>
    </row>
    <row r="1258" spans="1:23" ht="15" customHeight="1" x14ac:dyDescent="0.3">
      <c r="A1258" t="s">
        <v>8</v>
      </c>
      <c r="B1258">
        <v>208</v>
      </c>
      <c r="C1258" t="s">
        <v>717</v>
      </c>
      <c r="D1258" t="s">
        <v>798</v>
      </c>
      <c r="E1258" t="s">
        <v>34</v>
      </c>
      <c r="F1258" t="s">
        <v>799</v>
      </c>
      <c r="G1258" t="s">
        <v>36</v>
      </c>
      <c r="H1258" t="s">
        <v>1276</v>
      </c>
      <c r="I1258" t="s">
        <v>798</v>
      </c>
      <c r="J1258" t="s">
        <v>2567</v>
      </c>
      <c r="K1258" s="21" t="s">
        <v>2568</v>
      </c>
      <c r="L1258" s="21" t="s">
        <v>802</v>
      </c>
      <c r="M1258" t="s">
        <v>803</v>
      </c>
      <c r="N1258" t="s">
        <v>42</v>
      </c>
      <c r="Q1258" t="s">
        <v>805</v>
      </c>
      <c r="R1258" t="s">
        <v>806</v>
      </c>
      <c r="S1258" t="s">
        <v>2567</v>
      </c>
      <c r="T1258" t="s">
        <v>1249</v>
      </c>
      <c r="U1258" t="s">
        <v>1449</v>
      </c>
      <c r="V1258" t="s">
        <v>819</v>
      </c>
      <c r="W1258" t="s">
        <v>2546</v>
      </c>
    </row>
    <row r="1259" spans="1:23" ht="15" customHeight="1" x14ac:dyDescent="0.3">
      <c r="A1259" t="s">
        <v>8</v>
      </c>
      <c r="B1259">
        <v>208</v>
      </c>
      <c r="C1259" t="s">
        <v>717</v>
      </c>
      <c r="D1259" t="s">
        <v>798</v>
      </c>
      <c r="E1259" t="s">
        <v>34</v>
      </c>
      <c r="F1259" t="s">
        <v>799</v>
      </c>
      <c r="G1259" t="s">
        <v>36</v>
      </c>
      <c r="H1259" t="s">
        <v>1279</v>
      </c>
      <c r="I1259" t="s">
        <v>798</v>
      </c>
      <c r="J1259" t="s">
        <v>2569</v>
      </c>
      <c r="K1259" s="21" t="s">
        <v>2570</v>
      </c>
      <c r="L1259" s="21" t="s">
        <v>802</v>
      </c>
      <c r="M1259" t="s">
        <v>803</v>
      </c>
      <c r="N1259" t="s">
        <v>42</v>
      </c>
      <c r="Q1259" t="s">
        <v>805</v>
      </c>
      <c r="R1259" t="s">
        <v>806</v>
      </c>
      <c r="S1259" t="s">
        <v>2569</v>
      </c>
      <c r="T1259" t="s">
        <v>1249</v>
      </c>
      <c r="U1259" t="s">
        <v>1286</v>
      </c>
      <c r="V1259" t="s">
        <v>819</v>
      </c>
      <c r="W1259" t="s">
        <v>2546</v>
      </c>
    </row>
    <row r="1260" spans="1:23" ht="15" customHeight="1" x14ac:dyDescent="0.3">
      <c r="A1260" t="s">
        <v>8</v>
      </c>
      <c r="B1260">
        <v>208</v>
      </c>
      <c r="C1260" t="s">
        <v>717</v>
      </c>
      <c r="D1260" t="s">
        <v>798</v>
      </c>
      <c r="E1260" t="s">
        <v>34</v>
      </c>
      <c r="F1260" t="s">
        <v>799</v>
      </c>
      <c r="G1260" t="s">
        <v>36</v>
      </c>
      <c r="H1260" t="s">
        <v>1283</v>
      </c>
      <c r="I1260" t="s">
        <v>798</v>
      </c>
      <c r="J1260" t="s">
        <v>2571</v>
      </c>
      <c r="K1260" s="21" t="s">
        <v>2572</v>
      </c>
      <c r="L1260" s="21" t="s">
        <v>802</v>
      </c>
      <c r="M1260" t="s">
        <v>803</v>
      </c>
      <c r="N1260" t="s">
        <v>42</v>
      </c>
      <c r="Q1260" t="s">
        <v>805</v>
      </c>
      <c r="R1260" t="s">
        <v>806</v>
      </c>
      <c r="S1260" t="s">
        <v>2571</v>
      </c>
      <c r="T1260" t="s">
        <v>1290</v>
      </c>
      <c r="U1260" t="s">
        <v>2036</v>
      </c>
      <c r="V1260" t="s">
        <v>2428</v>
      </c>
      <c r="W1260" t="s">
        <v>2573</v>
      </c>
    </row>
    <row r="1261" spans="1:23" ht="15" customHeight="1" x14ac:dyDescent="0.3">
      <c r="A1261" t="s">
        <v>8</v>
      </c>
      <c r="B1261">
        <v>208</v>
      </c>
      <c r="C1261" t="s">
        <v>717</v>
      </c>
      <c r="D1261" t="s">
        <v>798</v>
      </c>
      <c r="E1261" t="s">
        <v>34</v>
      </c>
      <c r="F1261" t="s">
        <v>799</v>
      </c>
      <c r="G1261" t="s">
        <v>36</v>
      </c>
      <c r="H1261" t="s">
        <v>1287</v>
      </c>
      <c r="I1261" t="s">
        <v>798</v>
      </c>
      <c r="J1261" t="s">
        <v>2574</v>
      </c>
      <c r="K1261" s="21" t="s">
        <v>2575</v>
      </c>
      <c r="L1261" s="21" t="s">
        <v>802</v>
      </c>
      <c r="M1261" t="s">
        <v>803</v>
      </c>
      <c r="N1261" t="s">
        <v>42</v>
      </c>
      <c r="Q1261" t="s">
        <v>805</v>
      </c>
      <c r="R1261" t="s">
        <v>806</v>
      </c>
      <c r="S1261" t="s">
        <v>2574</v>
      </c>
      <c r="T1261" t="s">
        <v>1290</v>
      </c>
      <c r="U1261" t="s">
        <v>1291</v>
      </c>
      <c r="V1261" t="s">
        <v>819</v>
      </c>
      <c r="W1261" t="s">
        <v>2576</v>
      </c>
    </row>
    <row r="1262" spans="1:23" ht="15" customHeight="1" x14ac:dyDescent="0.3">
      <c r="A1262" t="s">
        <v>8</v>
      </c>
      <c r="B1262">
        <v>208</v>
      </c>
      <c r="C1262" t="s">
        <v>717</v>
      </c>
      <c r="D1262" t="s">
        <v>798</v>
      </c>
      <c r="E1262" t="s">
        <v>34</v>
      </c>
      <c r="F1262" t="s">
        <v>799</v>
      </c>
      <c r="G1262" t="s">
        <v>36</v>
      </c>
      <c r="H1262" t="s">
        <v>1293</v>
      </c>
      <c r="I1262" t="s">
        <v>798</v>
      </c>
      <c r="J1262" t="s">
        <v>2577</v>
      </c>
      <c r="K1262" s="21" t="s">
        <v>2578</v>
      </c>
      <c r="L1262" s="21" t="s">
        <v>802</v>
      </c>
      <c r="M1262" t="s">
        <v>803</v>
      </c>
      <c r="N1262" t="s">
        <v>42</v>
      </c>
      <c r="Q1262" t="s">
        <v>805</v>
      </c>
      <c r="R1262" t="s">
        <v>806</v>
      </c>
      <c r="S1262" t="s">
        <v>2577</v>
      </c>
      <c r="T1262" t="s">
        <v>1290</v>
      </c>
      <c r="U1262" t="s">
        <v>1296</v>
      </c>
      <c r="V1262" t="s">
        <v>819</v>
      </c>
      <c r="W1262" t="s">
        <v>2576</v>
      </c>
    </row>
    <row r="1263" spans="1:23" ht="15" customHeight="1" x14ac:dyDescent="0.3">
      <c r="A1263" t="s">
        <v>8</v>
      </c>
      <c r="B1263">
        <v>208</v>
      </c>
      <c r="C1263" t="s">
        <v>717</v>
      </c>
      <c r="D1263" t="s">
        <v>798</v>
      </c>
      <c r="E1263" t="s">
        <v>34</v>
      </c>
      <c r="F1263" t="s">
        <v>799</v>
      </c>
      <c r="G1263" t="s">
        <v>36</v>
      </c>
      <c r="H1263" t="s">
        <v>1592</v>
      </c>
      <c r="I1263" t="s">
        <v>798</v>
      </c>
      <c r="J1263" t="s">
        <v>2559</v>
      </c>
      <c r="K1263" s="21" t="s">
        <v>2579</v>
      </c>
      <c r="L1263" s="21" t="s">
        <v>802</v>
      </c>
      <c r="M1263" t="s">
        <v>803</v>
      </c>
      <c r="N1263" t="s">
        <v>42</v>
      </c>
      <c r="Q1263" t="s">
        <v>805</v>
      </c>
      <c r="R1263" t="s">
        <v>806</v>
      </c>
      <c r="S1263" t="s">
        <v>2559</v>
      </c>
      <c r="T1263" t="s">
        <v>1231</v>
      </c>
      <c r="U1263" t="s">
        <v>2561</v>
      </c>
      <c r="V1263" t="s">
        <v>2424</v>
      </c>
      <c r="W1263" t="s">
        <v>2425</v>
      </c>
    </row>
    <row r="1264" spans="1:23" ht="15" customHeight="1" x14ac:dyDescent="0.3">
      <c r="A1264" t="s">
        <v>8</v>
      </c>
      <c r="B1264">
        <v>215</v>
      </c>
      <c r="C1264" t="s">
        <v>717</v>
      </c>
      <c r="D1264" t="s">
        <v>821</v>
      </c>
      <c r="E1264" t="s">
        <v>822</v>
      </c>
      <c r="F1264" t="s">
        <v>736</v>
      </c>
      <c r="G1264" t="s">
        <v>36</v>
      </c>
      <c r="H1264" t="s">
        <v>37</v>
      </c>
      <c r="I1264" t="s">
        <v>821</v>
      </c>
      <c r="J1264" t="s">
        <v>823</v>
      </c>
      <c r="K1264" t="s">
        <v>824</v>
      </c>
      <c r="L1264" s="21" t="s">
        <v>825</v>
      </c>
      <c r="M1264" t="s">
        <v>826</v>
      </c>
      <c r="N1264" t="s">
        <v>42</v>
      </c>
      <c r="R1264" t="s">
        <v>828</v>
      </c>
      <c r="S1264" t="s">
        <v>823</v>
      </c>
      <c r="T1264" t="s">
        <v>45</v>
      </c>
      <c r="U1264" t="s">
        <v>46</v>
      </c>
      <c r="V1264" t="s">
        <v>829</v>
      </c>
      <c r="W1264" t="s">
        <v>830</v>
      </c>
    </row>
    <row r="1265" spans="1:23" ht="15" customHeight="1" x14ac:dyDescent="0.3">
      <c r="A1265" t="s">
        <v>8</v>
      </c>
      <c r="B1265">
        <v>215</v>
      </c>
      <c r="C1265" t="s">
        <v>717</v>
      </c>
      <c r="D1265" t="s">
        <v>821</v>
      </c>
      <c r="E1265" t="s">
        <v>822</v>
      </c>
      <c r="F1265" t="s">
        <v>736</v>
      </c>
      <c r="G1265" t="s">
        <v>36</v>
      </c>
      <c r="H1265" t="s">
        <v>52</v>
      </c>
      <c r="I1265" t="s">
        <v>821</v>
      </c>
      <c r="J1265" t="s">
        <v>831</v>
      </c>
      <c r="K1265" s="21" t="s">
        <v>832</v>
      </c>
      <c r="L1265" s="21" t="s">
        <v>825</v>
      </c>
      <c r="M1265" t="s">
        <v>826</v>
      </c>
      <c r="N1265" t="s">
        <v>42</v>
      </c>
      <c r="R1265" t="s">
        <v>828</v>
      </c>
      <c r="S1265" t="s">
        <v>831</v>
      </c>
      <c r="T1265" t="s">
        <v>45</v>
      </c>
      <c r="U1265" t="s">
        <v>46</v>
      </c>
      <c r="V1265" t="s">
        <v>833</v>
      </c>
      <c r="W1265" t="s">
        <v>834</v>
      </c>
    </row>
    <row r="1266" spans="1:23" ht="15" customHeight="1" x14ac:dyDescent="0.3">
      <c r="A1266" t="s">
        <v>8</v>
      </c>
      <c r="B1266">
        <v>215</v>
      </c>
      <c r="C1266" t="s">
        <v>717</v>
      </c>
      <c r="D1266" t="s">
        <v>821</v>
      </c>
      <c r="E1266" t="s">
        <v>822</v>
      </c>
      <c r="F1266" t="s">
        <v>736</v>
      </c>
      <c r="G1266" t="s">
        <v>36</v>
      </c>
      <c r="H1266" t="s">
        <v>57</v>
      </c>
      <c r="I1266" t="s">
        <v>821</v>
      </c>
      <c r="J1266" t="s">
        <v>2580</v>
      </c>
      <c r="K1266" s="21" t="s">
        <v>2581</v>
      </c>
      <c r="L1266" s="21" t="s">
        <v>825</v>
      </c>
      <c r="M1266" t="s">
        <v>826</v>
      </c>
      <c r="N1266" t="s">
        <v>42</v>
      </c>
      <c r="R1266" t="s">
        <v>828</v>
      </c>
      <c r="S1266" t="s">
        <v>2580</v>
      </c>
      <c r="T1266" t="s">
        <v>45</v>
      </c>
      <c r="U1266" t="s">
        <v>1486</v>
      </c>
      <c r="V1266" t="s">
        <v>837</v>
      </c>
      <c r="W1266" t="s">
        <v>2582</v>
      </c>
    </row>
    <row r="1267" spans="1:23" ht="15" customHeight="1" x14ac:dyDescent="0.3">
      <c r="A1267" t="s">
        <v>8</v>
      </c>
      <c r="B1267">
        <v>215</v>
      </c>
      <c r="C1267" t="s">
        <v>717</v>
      </c>
      <c r="D1267" t="s">
        <v>821</v>
      </c>
      <c r="E1267" t="s">
        <v>822</v>
      </c>
      <c r="F1267" t="s">
        <v>736</v>
      </c>
      <c r="G1267" t="s">
        <v>36</v>
      </c>
      <c r="H1267" t="s">
        <v>49</v>
      </c>
      <c r="I1267" t="s">
        <v>821</v>
      </c>
      <c r="J1267" t="s">
        <v>835</v>
      </c>
      <c r="K1267" s="21" t="s">
        <v>836</v>
      </c>
      <c r="L1267" s="21" t="s">
        <v>825</v>
      </c>
      <c r="M1267" t="s">
        <v>826</v>
      </c>
      <c r="N1267" t="s">
        <v>42</v>
      </c>
      <c r="R1267" t="s">
        <v>828</v>
      </c>
      <c r="S1267" t="s">
        <v>835</v>
      </c>
      <c r="T1267" t="s">
        <v>45</v>
      </c>
      <c r="U1267" t="s">
        <v>90</v>
      </c>
      <c r="V1267" t="s">
        <v>837</v>
      </c>
      <c r="W1267" t="s">
        <v>838</v>
      </c>
    </row>
    <row r="1268" spans="1:23" ht="15" customHeight="1" x14ac:dyDescent="0.3">
      <c r="A1268" t="s">
        <v>8</v>
      </c>
      <c r="B1268">
        <v>215</v>
      </c>
      <c r="C1268" t="s">
        <v>717</v>
      </c>
      <c r="D1268" t="s">
        <v>821</v>
      </c>
      <c r="E1268" t="s">
        <v>822</v>
      </c>
      <c r="F1268" t="s">
        <v>736</v>
      </c>
      <c r="G1268" t="s">
        <v>36</v>
      </c>
      <c r="H1268" t="s">
        <v>87</v>
      </c>
      <c r="I1268" t="s">
        <v>821</v>
      </c>
      <c r="J1268" t="s">
        <v>2583</v>
      </c>
      <c r="K1268" s="21" t="s">
        <v>2584</v>
      </c>
      <c r="L1268" s="21" t="s">
        <v>825</v>
      </c>
      <c r="M1268" t="s">
        <v>826</v>
      </c>
      <c r="N1268" t="s">
        <v>42</v>
      </c>
      <c r="R1268" t="s">
        <v>828</v>
      </c>
      <c r="S1268" t="s">
        <v>2583</v>
      </c>
      <c r="T1268" t="s">
        <v>1290</v>
      </c>
      <c r="U1268" t="s">
        <v>2036</v>
      </c>
      <c r="V1268" t="s">
        <v>881</v>
      </c>
      <c r="W1268" t="s">
        <v>2585</v>
      </c>
    </row>
    <row r="1269" spans="1:23" ht="15" customHeight="1" x14ac:dyDescent="0.3">
      <c r="A1269" t="s">
        <v>8</v>
      </c>
      <c r="B1269">
        <v>215</v>
      </c>
      <c r="C1269" t="s">
        <v>717</v>
      </c>
      <c r="D1269" t="s">
        <v>821</v>
      </c>
      <c r="E1269" t="s">
        <v>822</v>
      </c>
      <c r="F1269" t="s">
        <v>736</v>
      </c>
      <c r="G1269" t="s">
        <v>36</v>
      </c>
      <c r="H1269" t="s">
        <v>421</v>
      </c>
      <c r="I1269" t="s">
        <v>821</v>
      </c>
      <c r="J1269" t="s">
        <v>2586</v>
      </c>
      <c r="K1269" s="21" t="s">
        <v>2587</v>
      </c>
      <c r="L1269" s="21" t="s">
        <v>825</v>
      </c>
      <c r="M1269" t="s">
        <v>826</v>
      </c>
      <c r="N1269" t="s">
        <v>42</v>
      </c>
      <c r="R1269" t="s">
        <v>828</v>
      </c>
      <c r="S1269" t="s">
        <v>2586</v>
      </c>
      <c r="T1269" t="s">
        <v>1290</v>
      </c>
      <c r="U1269" t="s">
        <v>1291</v>
      </c>
      <c r="V1269" t="s">
        <v>2428</v>
      </c>
      <c r="W1269" t="s">
        <v>2585</v>
      </c>
    </row>
    <row r="1270" spans="1:23" ht="15" customHeight="1" x14ac:dyDescent="0.3">
      <c r="A1270" t="s">
        <v>8</v>
      </c>
      <c r="B1270">
        <v>223</v>
      </c>
      <c r="C1270" t="s">
        <v>717</v>
      </c>
      <c r="D1270" t="s">
        <v>839</v>
      </c>
      <c r="E1270" t="s">
        <v>840</v>
      </c>
      <c r="F1270" t="s">
        <v>841</v>
      </c>
      <c r="G1270" t="s">
        <v>36</v>
      </c>
      <c r="H1270" t="s">
        <v>37</v>
      </c>
      <c r="I1270" t="s">
        <v>839</v>
      </c>
      <c r="J1270" t="s">
        <v>2588</v>
      </c>
      <c r="K1270" t="s">
        <v>2589</v>
      </c>
      <c r="L1270" s="21" t="s">
        <v>844</v>
      </c>
      <c r="M1270" t="s">
        <v>845</v>
      </c>
      <c r="N1270" t="s">
        <v>846</v>
      </c>
      <c r="R1270" t="s">
        <v>848</v>
      </c>
      <c r="S1270" t="s">
        <v>2588</v>
      </c>
      <c r="T1270" t="s">
        <v>45</v>
      </c>
      <c r="U1270" t="s">
        <v>1257</v>
      </c>
      <c r="V1270" t="s">
        <v>849</v>
      </c>
      <c r="W1270" t="s">
        <v>2590</v>
      </c>
    </row>
    <row r="1271" spans="1:23" ht="15" customHeight="1" x14ac:dyDescent="0.3">
      <c r="A1271" t="s">
        <v>8</v>
      </c>
      <c r="B1271">
        <v>223</v>
      </c>
      <c r="C1271" t="s">
        <v>717</v>
      </c>
      <c r="D1271" t="s">
        <v>839</v>
      </c>
      <c r="E1271" t="s">
        <v>840</v>
      </c>
      <c r="F1271" t="s">
        <v>841</v>
      </c>
      <c r="G1271" t="s">
        <v>36</v>
      </c>
      <c r="H1271" t="s">
        <v>52</v>
      </c>
      <c r="I1271" t="s">
        <v>839</v>
      </c>
      <c r="J1271" t="s">
        <v>842</v>
      </c>
      <c r="K1271" s="21" t="s">
        <v>843</v>
      </c>
      <c r="L1271" s="21" t="s">
        <v>844</v>
      </c>
      <c r="M1271" t="s">
        <v>845</v>
      </c>
      <c r="N1271" t="s">
        <v>846</v>
      </c>
      <c r="R1271" t="s">
        <v>848</v>
      </c>
      <c r="S1271" t="s">
        <v>842</v>
      </c>
      <c r="T1271" t="s">
        <v>45</v>
      </c>
      <c r="U1271" t="s">
        <v>90</v>
      </c>
      <c r="V1271" t="s">
        <v>849</v>
      </c>
      <c r="W1271" t="s">
        <v>850</v>
      </c>
    </row>
    <row r="1272" spans="1:23" ht="15" customHeight="1" x14ac:dyDescent="0.3">
      <c r="A1272" t="s">
        <v>8</v>
      </c>
      <c r="B1272">
        <v>206</v>
      </c>
      <c r="C1272" t="s">
        <v>717</v>
      </c>
      <c r="D1272" t="s">
        <v>851</v>
      </c>
      <c r="E1272" t="s">
        <v>370</v>
      </c>
      <c r="F1272" t="s">
        <v>852</v>
      </c>
      <c r="G1272" t="s">
        <v>36</v>
      </c>
      <c r="H1272" t="s">
        <v>37</v>
      </c>
      <c r="I1272" t="s">
        <v>851</v>
      </c>
      <c r="J1272" t="s">
        <v>853</v>
      </c>
      <c r="K1272" t="s">
        <v>854</v>
      </c>
      <c r="L1272" s="21" t="s">
        <v>855</v>
      </c>
      <c r="M1272" t="s">
        <v>856</v>
      </c>
      <c r="N1272" t="s">
        <v>42</v>
      </c>
      <c r="R1272" t="s">
        <v>858</v>
      </c>
      <c r="S1272" t="s">
        <v>853</v>
      </c>
      <c r="T1272" t="s">
        <v>45</v>
      </c>
      <c r="U1272" t="s">
        <v>46</v>
      </c>
      <c r="V1272" t="s">
        <v>859</v>
      </c>
      <c r="W1272" t="s">
        <v>860</v>
      </c>
    </row>
    <row r="1273" spans="1:23" ht="15" customHeight="1" x14ac:dyDescent="0.3">
      <c r="A1273" t="s">
        <v>8</v>
      </c>
      <c r="B1273">
        <v>206</v>
      </c>
      <c r="C1273" t="s">
        <v>717</v>
      </c>
      <c r="D1273" t="s">
        <v>851</v>
      </c>
      <c r="E1273" t="s">
        <v>370</v>
      </c>
      <c r="F1273" t="s">
        <v>852</v>
      </c>
      <c r="G1273" t="s">
        <v>36</v>
      </c>
      <c r="H1273" t="s">
        <v>52</v>
      </c>
      <c r="I1273" t="s">
        <v>851</v>
      </c>
      <c r="J1273" t="s">
        <v>2591</v>
      </c>
      <c r="K1273" s="21" t="s">
        <v>2592</v>
      </c>
      <c r="L1273" s="21" t="s">
        <v>855</v>
      </c>
      <c r="M1273" t="s">
        <v>856</v>
      </c>
      <c r="N1273" t="s">
        <v>42</v>
      </c>
      <c r="R1273" t="s">
        <v>858</v>
      </c>
      <c r="S1273" t="s">
        <v>2591</v>
      </c>
      <c r="T1273" t="s">
        <v>45</v>
      </c>
      <c r="U1273" t="s">
        <v>1257</v>
      </c>
      <c r="V1273" t="s">
        <v>859</v>
      </c>
      <c r="W1273" t="s">
        <v>2593</v>
      </c>
    </row>
    <row r="1274" spans="1:23" ht="15" customHeight="1" x14ac:dyDescent="0.3">
      <c r="A1274" t="s">
        <v>8</v>
      </c>
      <c r="B1274">
        <v>206</v>
      </c>
      <c r="C1274" t="s">
        <v>717</v>
      </c>
      <c r="D1274" t="s">
        <v>851</v>
      </c>
      <c r="E1274" t="s">
        <v>370</v>
      </c>
      <c r="F1274" t="s">
        <v>852</v>
      </c>
      <c r="G1274" t="s">
        <v>36</v>
      </c>
      <c r="H1274" t="s">
        <v>57</v>
      </c>
      <c r="I1274" t="s">
        <v>851</v>
      </c>
      <c r="J1274" t="s">
        <v>861</v>
      </c>
      <c r="K1274" s="21" t="s">
        <v>862</v>
      </c>
      <c r="L1274" s="21" t="s">
        <v>855</v>
      </c>
      <c r="M1274" t="s">
        <v>856</v>
      </c>
      <c r="N1274" t="s">
        <v>42</v>
      </c>
      <c r="R1274" t="s">
        <v>858</v>
      </c>
      <c r="S1274" t="s">
        <v>861</v>
      </c>
      <c r="T1274" t="s">
        <v>45</v>
      </c>
      <c r="U1274" t="s">
        <v>90</v>
      </c>
      <c r="V1274" t="s">
        <v>859</v>
      </c>
      <c r="W1274" t="s">
        <v>863</v>
      </c>
    </row>
    <row r="1275" spans="1:23" ht="15" customHeight="1" x14ac:dyDescent="0.3">
      <c r="A1275" t="s">
        <v>8</v>
      </c>
      <c r="B1275">
        <v>206</v>
      </c>
      <c r="C1275" t="s">
        <v>717</v>
      </c>
      <c r="D1275" t="s">
        <v>851</v>
      </c>
      <c r="E1275" t="s">
        <v>370</v>
      </c>
      <c r="F1275" t="s">
        <v>852</v>
      </c>
      <c r="G1275" t="s">
        <v>36</v>
      </c>
      <c r="H1275" t="s">
        <v>49</v>
      </c>
      <c r="I1275" t="s">
        <v>851</v>
      </c>
      <c r="J1275" t="s">
        <v>2594</v>
      </c>
      <c r="K1275" s="21" t="s">
        <v>2595</v>
      </c>
      <c r="L1275" s="21" t="s">
        <v>855</v>
      </c>
      <c r="M1275" t="s">
        <v>856</v>
      </c>
      <c r="N1275" t="s">
        <v>42</v>
      </c>
      <c r="R1275" t="s">
        <v>858</v>
      </c>
      <c r="S1275" t="s">
        <v>2594</v>
      </c>
      <c r="T1275" t="s">
        <v>1231</v>
      </c>
      <c r="U1275" t="s">
        <v>1232</v>
      </c>
      <c r="V1275" t="s">
        <v>859</v>
      </c>
      <c r="W1275" t="s">
        <v>2596</v>
      </c>
    </row>
    <row r="1276" spans="1:23" ht="15" customHeight="1" x14ac:dyDescent="0.3">
      <c r="A1276" t="s">
        <v>8</v>
      </c>
      <c r="B1276">
        <v>206</v>
      </c>
      <c r="C1276" t="s">
        <v>717</v>
      </c>
      <c r="D1276" t="s">
        <v>851</v>
      </c>
      <c r="E1276" t="s">
        <v>370</v>
      </c>
      <c r="F1276" t="s">
        <v>852</v>
      </c>
      <c r="G1276" t="s">
        <v>36</v>
      </c>
      <c r="H1276" t="s">
        <v>87</v>
      </c>
      <c r="I1276" t="s">
        <v>851</v>
      </c>
      <c r="J1276" t="s">
        <v>2597</v>
      </c>
      <c r="K1276" s="21" t="s">
        <v>2598</v>
      </c>
      <c r="L1276" s="21" t="s">
        <v>855</v>
      </c>
      <c r="M1276" t="s">
        <v>856</v>
      </c>
      <c r="N1276" t="s">
        <v>42</v>
      </c>
      <c r="R1276" t="s">
        <v>858</v>
      </c>
      <c r="S1276" t="s">
        <v>2597</v>
      </c>
      <c r="T1276" t="s">
        <v>1249</v>
      </c>
      <c r="U1276" t="s">
        <v>1444</v>
      </c>
      <c r="V1276" t="s">
        <v>859</v>
      </c>
      <c r="W1276" t="s">
        <v>2596</v>
      </c>
    </row>
    <row r="1277" spans="1:23" ht="15" customHeight="1" x14ac:dyDescent="0.3">
      <c r="A1277" t="s">
        <v>8</v>
      </c>
      <c r="B1277">
        <v>206</v>
      </c>
      <c r="C1277" t="s">
        <v>717</v>
      </c>
      <c r="D1277" t="s">
        <v>851</v>
      </c>
      <c r="E1277" t="s">
        <v>370</v>
      </c>
      <c r="F1277" t="s">
        <v>852</v>
      </c>
      <c r="G1277" t="s">
        <v>36</v>
      </c>
      <c r="H1277" t="s">
        <v>421</v>
      </c>
      <c r="I1277" t="s">
        <v>851</v>
      </c>
      <c r="J1277" t="s">
        <v>2599</v>
      </c>
      <c r="K1277" s="21" t="s">
        <v>2600</v>
      </c>
      <c r="L1277" s="21" t="s">
        <v>855</v>
      </c>
      <c r="M1277" t="s">
        <v>856</v>
      </c>
      <c r="N1277" t="s">
        <v>42</v>
      </c>
      <c r="R1277" t="s">
        <v>858</v>
      </c>
      <c r="S1277" t="s">
        <v>2599</v>
      </c>
      <c r="T1277" t="s">
        <v>1249</v>
      </c>
      <c r="U1277" t="s">
        <v>2407</v>
      </c>
      <c r="V1277" t="s">
        <v>859</v>
      </c>
      <c r="W1277" t="s">
        <v>2596</v>
      </c>
    </row>
    <row r="1278" spans="1:23" ht="15" customHeight="1" x14ac:dyDescent="0.3">
      <c r="A1278" t="s">
        <v>8</v>
      </c>
      <c r="B1278">
        <v>206</v>
      </c>
      <c r="C1278" t="s">
        <v>717</v>
      </c>
      <c r="D1278" t="s">
        <v>851</v>
      </c>
      <c r="E1278" t="s">
        <v>370</v>
      </c>
      <c r="F1278" t="s">
        <v>852</v>
      </c>
      <c r="G1278" t="s">
        <v>36</v>
      </c>
      <c r="H1278" t="s">
        <v>182</v>
      </c>
      <c r="I1278" t="s">
        <v>851</v>
      </c>
      <c r="J1278" t="s">
        <v>2601</v>
      </c>
      <c r="K1278" s="21" t="s">
        <v>2602</v>
      </c>
      <c r="L1278" s="21" t="s">
        <v>855</v>
      </c>
      <c r="M1278" t="s">
        <v>856</v>
      </c>
      <c r="N1278" t="s">
        <v>42</v>
      </c>
      <c r="R1278" t="s">
        <v>858</v>
      </c>
      <c r="S1278" t="s">
        <v>2601</v>
      </c>
      <c r="T1278" t="s">
        <v>1290</v>
      </c>
      <c r="U1278" t="s">
        <v>1291</v>
      </c>
      <c r="V1278" t="s">
        <v>859</v>
      </c>
      <c r="W1278" t="s">
        <v>2603</v>
      </c>
    </row>
    <row r="1279" spans="1:23" ht="15" customHeight="1" x14ac:dyDescent="0.3">
      <c r="A1279" t="s">
        <v>8</v>
      </c>
      <c r="B1279">
        <v>206</v>
      </c>
      <c r="C1279" t="s">
        <v>717</v>
      </c>
      <c r="D1279" t="s">
        <v>851</v>
      </c>
      <c r="E1279" t="s">
        <v>370</v>
      </c>
      <c r="F1279" t="s">
        <v>852</v>
      </c>
      <c r="G1279" t="s">
        <v>36</v>
      </c>
      <c r="H1279" t="s">
        <v>1242</v>
      </c>
      <c r="I1279" t="s">
        <v>851</v>
      </c>
      <c r="J1279" t="s">
        <v>2604</v>
      </c>
      <c r="K1279" s="21" t="s">
        <v>2605</v>
      </c>
      <c r="L1279" s="21" t="s">
        <v>855</v>
      </c>
      <c r="M1279" t="s">
        <v>856</v>
      </c>
      <c r="N1279" t="s">
        <v>42</v>
      </c>
      <c r="R1279" t="s">
        <v>858</v>
      </c>
      <c r="S1279" t="s">
        <v>2604</v>
      </c>
      <c r="T1279" t="s">
        <v>1290</v>
      </c>
      <c r="U1279" t="s">
        <v>1296</v>
      </c>
      <c r="V1279" t="s">
        <v>859</v>
      </c>
      <c r="W1279" t="s">
        <v>2603</v>
      </c>
    </row>
    <row r="1280" spans="1:23" ht="15" customHeight="1" x14ac:dyDescent="0.3">
      <c r="A1280" t="s">
        <v>8</v>
      </c>
      <c r="B1280">
        <v>104</v>
      </c>
      <c r="C1280" t="s">
        <v>864</v>
      </c>
      <c r="D1280" t="s">
        <v>865</v>
      </c>
      <c r="E1280" t="s">
        <v>34</v>
      </c>
      <c r="F1280" t="s">
        <v>866</v>
      </c>
      <c r="G1280" t="s">
        <v>36</v>
      </c>
      <c r="H1280" t="s">
        <v>37</v>
      </c>
      <c r="I1280" t="s">
        <v>865</v>
      </c>
      <c r="J1280" t="s">
        <v>2606</v>
      </c>
      <c r="K1280" t="s">
        <v>2607</v>
      </c>
      <c r="L1280" s="21" t="s">
        <v>869</v>
      </c>
      <c r="M1280" t="s">
        <v>375</v>
      </c>
      <c r="N1280" t="s">
        <v>159</v>
      </c>
      <c r="R1280" t="s">
        <v>871</v>
      </c>
      <c r="S1280" t="s">
        <v>2606</v>
      </c>
      <c r="T1280" t="s">
        <v>45</v>
      </c>
      <c r="U1280" t="s">
        <v>1257</v>
      </c>
      <c r="V1280" t="s">
        <v>872</v>
      </c>
      <c r="W1280" t="s">
        <v>2608</v>
      </c>
    </row>
    <row r="1281" spans="1:23" ht="15" customHeight="1" x14ac:dyDescent="0.3">
      <c r="A1281" t="s">
        <v>8</v>
      </c>
      <c r="B1281">
        <v>104</v>
      </c>
      <c r="C1281" t="s">
        <v>864</v>
      </c>
      <c r="D1281" t="s">
        <v>865</v>
      </c>
      <c r="E1281" t="s">
        <v>34</v>
      </c>
      <c r="F1281" t="s">
        <v>866</v>
      </c>
      <c r="G1281" t="s">
        <v>36</v>
      </c>
      <c r="H1281" t="s">
        <v>52</v>
      </c>
      <c r="I1281" t="s">
        <v>865</v>
      </c>
      <c r="J1281" t="s">
        <v>867</v>
      </c>
      <c r="K1281" s="21" t="s">
        <v>868</v>
      </c>
      <c r="L1281" s="21" t="s">
        <v>869</v>
      </c>
      <c r="M1281" t="s">
        <v>375</v>
      </c>
      <c r="N1281" t="s">
        <v>159</v>
      </c>
      <c r="R1281" t="s">
        <v>871</v>
      </c>
      <c r="S1281" t="s">
        <v>867</v>
      </c>
      <c r="T1281" t="s">
        <v>45</v>
      </c>
      <c r="U1281" t="s">
        <v>90</v>
      </c>
      <c r="V1281" t="s">
        <v>872</v>
      </c>
      <c r="W1281" t="s">
        <v>873</v>
      </c>
    </row>
    <row r="1282" spans="1:23" ht="15" customHeight="1" x14ac:dyDescent="0.3">
      <c r="A1282" t="s">
        <v>8</v>
      </c>
      <c r="B1282">
        <v>107</v>
      </c>
      <c r="C1282" t="s">
        <v>864</v>
      </c>
      <c r="D1282" t="s">
        <v>874</v>
      </c>
      <c r="E1282" t="s">
        <v>605</v>
      </c>
      <c r="F1282" t="s">
        <v>875</v>
      </c>
      <c r="G1282" t="s">
        <v>36</v>
      </c>
      <c r="H1282" t="s">
        <v>37</v>
      </c>
      <c r="I1282" t="s">
        <v>874</v>
      </c>
      <c r="J1282" t="s">
        <v>876</v>
      </c>
      <c r="K1282" t="s">
        <v>877</v>
      </c>
      <c r="L1282" s="21" t="s">
        <v>878</v>
      </c>
      <c r="M1282" t="s">
        <v>610</v>
      </c>
      <c r="N1282" t="s">
        <v>611</v>
      </c>
      <c r="R1282" t="s">
        <v>880</v>
      </c>
      <c r="S1282" t="s">
        <v>876</v>
      </c>
      <c r="T1282" t="s">
        <v>45</v>
      </c>
      <c r="U1282" t="s">
        <v>46</v>
      </c>
      <c r="V1282" t="s">
        <v>881</v>
      </c>
      <c r="W1282" t="s">
        <v>882</v>
      </c>
    </row>
    <row r="1283" spans="1:23" ht="15" customHeight="1" x14ac:dyDescent="0.3">
      <c r="A1283" t="s">
        <v>8</v>
      </c>
      <c r="B1283">
        <v>107</v>
      </c>
      <c r="C1283" t="s">
        <v>864</v>
      </c>
      <c r="D1283" t="s">
        <v>874</v>
      </c>
      <c r="E1283" t="s">
        <v>605</v>
      </c>
      <c r="F1283" t="s">
        <v>875</v>
      </c>
      <c r="G1283" t="s">
        <v>36</v>
      </c>
      <c r="H1283" t="s">
        <v>52</v>
      </c>
      <c r="I1283" t="s">
        <v>874</v>
      </c>
      <c r="J1283" t="s">
        <v>883</v>
      </c>
      <c r="K1283" s="21" t="s">
        <v>884</v>
      </c>
      <c r="L1283" s="21" t="s">
        <v>878</v>
      </c>
      <c r="M1283" t="s">
        <v>610</v>
      </c>
      <c r="N1283" t="s">
        <v>611</v>
      </c>
      <c r="R1283" t="s">
        <v>880</v>
      </c>
      <c r="S1283" t="s">
        <v>883</v>
      </c>
      <c r="T1283" t="s">
        <v>45</v>
      </c>
      <c r="U1283" t="s">
        <v>46</v>
      </c>
      <c r="V1283" t="s">
        <v>885</v>
      </c>
      <c r="W1283" t="s">
        <v>886</v>
      </c>
    </row>
    <row r="1284" spans="1:23" ht="15" customHeight="1" x14ac:dyDescent="0.3">
      <c r="A1284" t="s">
        <v>8</v>
      </c>
      <c r="B1284">
        <v>107</v>
      </c>
      <c r="C1284" t="s">
        <v>864</v>
      </c>
      <c r="D1284" t="s">
        <v>874</v>
      </c>
      <c r="E1284" t="s">
        <v>605</v>
      </c>
      <c r="F1284" t="s">
        <v>875</v>
      </c>
      <c r="G1284" t="s">
        <v>36</v>
      </c>
      <c r="H1284" t="s">
        <v>57</v>
      </c>
      <c r="I1284" t="s">
        <v>874</v>
      </c>
      <c r="J1284" t="s">
        <v>887</v>
      </c>
      <c r="K1284" s="21" t="s">
        <v>888</v>
      </c>
      <c r="L1284" s="21" t="s">
        <v>878</v>
      </c>
      <c r="M1284" t="s">
        <v>610</v>
      </c>
      <c r="N1284" t="s">
        <v>611</v>
      </c>
      <c r="R1284" t="s">
        <v>880</v>
      </c>
      <c r="S1284" t="s">
        <v>887</v>
      </c>
      <c r="T1284" t="s">
        <v>45</v>
      </c>
      <c r="U1284" t="s">
        <v>46</v>
      </c>
      <c r="V1284" t="s">
        <v>889</v>
      </c>
      <c r="W1284" t="s">
        <v>890</v>
      </c>
    </row>
    <row r="1285" spans="1:23" ht="15" customHeight="1" x14ac:dyDescent="0.3">
      <c r="A1285" t="s">
        <v>8</v>
      </c>
      <c r="B1285">
        <v>107</v>
      </c>
      <c r="C1285" t="s">
        <v>864</v>
      </c>
      <c r="D1285" t="s">
        <v>874</v>
      </c>
      <c r="E1285" t="s">
        <v>605</v>
      </c>
      <c r="F1285" t="s">
        <v>875</v>
      </c>
      <c r="G1285" t="s">
        <v>36</v>
      </c>
      <c r="H1285" t="s">
        <v>49</v>
      </c>
      <c r="I1285" t="s">
        <v>874</v>
      </c>
      <c r="J1285" t="s">
        <v>2609</v>
      </c>
      <c r="K1285" s="21" t="s">
        <v>2610</v>
      </c>
      <c r="L1285" s="21" t="s">
        <v>878</v>
      </c>
      <c r="M1285" t="s">
        <v>610</v>
      </c>
      <c r="N1285" t="s">
        <v>611</v>
      </c>
      <c r="R1285" t="s">
        <v>880</v>
      </c>
      <c r="S1285" t="s">
        <v>2609</v>
      </c>
      <c r="T1285" t="s">
        <v>45</v>
      </c>
      <c r="U1285" t="s">
        <v>1486</v>
      </c>
      <c r="V1285" t="s">
        <v>881</v>
      </c>
      <c r="W1285" t="s">
        <v>2611</v>
      </c>
    </row>
    <row r="1286" spans="1:23" ht="15" customHeight="1" x14ac:dyDescent="0.3">
      <c r="A1286" t="s">
        <v>8</v>
      </c>
      <c r="B1286">
        <v>107</v>
      </c>
      <c r="C1286" t="s">
        <v>864</v>
      </c>
      <c r="D1286" t="s">
        <v>874</v>
      </c>
      <c r="E1286" t="s">
        <v>605</v>
      </c>
      <c r="F1286" t="s">
        <v>875</v>
      </c>
      <c r="G1286" t="s">
        <v>36</v>
      </c>
      <c r="H1286" t="s">
        <v>87</v>
      </c>
      <c r="I1286" t="s">
        <v>874</v>
      </c>
      <c r="J1286" t="s">
        <v>2612</v>
      </c>
      <c r="K1286" s="21" t="s">
        <v>2613</v>
      </c>
      <c r="L1286" s="21" t="s">
        <v>878</v>
      </c>
      <c r="M1286" t="s">
        <v>610</v>
      </c>
      <c r="N1286" t="s">
        <v>611</v>
      </c>
      <c r="R1286" t="s">
        <v>880</v>
      </c>
      <c r="S1286" t="s">
        <v>2612</v>
      </c>
      <c r="T1286" t="s">
        <v>45</v>
      </c>
      <c r="U1286" t="s">
        <v>1257</v>
      </c>
      <c r="V1286" t="s">
        <v>881</v>
      </c>
      <c r="W1286" t="s">
        <v>2614</v>
      </c>
    </row>
    <row r="1287" spans="1:23" ht="15" customHeight="1" x14ac:dyDescent="0.3">
      <c r="A1287" t="s">
        <v>8</v>
      </c>
      <c r="B1287">
        <v>107</v>
      </c>
      <c r="C1287" t="s">
        <v>864</v>
      </c>
      <c r="D1287" t="s">
        <v>874</v>
      </c>
      <c r="E1287" t="s">
        <v>605</v>
      </c>
      <c r="F1287" t="s">
        <v>875</v>
      </c>
      <c r="G1287" t="s">
        <v>36</v>
      </c>
      <c r="H1287" t="s">
        <v>421</v>
      </c>
      <c r="I1287" t="s">
        <v>874</v>
      </c>
      <c r="J1287" t="s">
        <v>891</v>
      </c>
      <c r="K1287" s="21" t="s">
        <v>892</v>
      </c>
      <c r="L1287" s="21" t="s">
        <v>878</v>
      </c>
      <c r="M1287" t="s">
        <v>610</v>
      </c>
      <c r="N1287" t="s">
        <v>611</v>
      </c>
      <c r="R1287" t="s">
        <v>880</v>
      </c>
      <c r="S1287" t="s">
        <v>891</v>
      </c>
      <c r="T1287" t="s">
        <v>45</v>
      </c>
      <c r="U1287" t="s">
        <v>90</v>
      </c>
      <c r="V1287" t="s">
        <v>881</v>
      </c>
      <c r="W1287" t="s">
        <v>893</v>
      </c>
    </row>
    <row r="1288" spans="1:23" ht="15" customHeight="1" x14ac:dyDescent="0.3">
      <c r="A1288" t="s">
        <v>8</v>
      </c>
      <c r="B1288">
        <v>107</v>
      </c>
      <c r="C1288" t="s">
        <v>864</v>
      </c>
      <c r="D1288" t="s">
        <v>874</v>
      </c>
      <c r="E1288" t="s">
        <v>605</v>
      </c>
      <c r="F1288" t="s">
        <v>875</v>
      </c>
      <c r="G1288" t="s">
        <v>36</v>
      </c>
      <c r="H1288" t="s">
        <v>182</v>
      </c>
      <c r="I1288" t="s">
        <v>874</v>
      </c>
      <c r="J1288" t="s">
        <v>2615</v>
      </c>
      <c r="K1288" s="21" t="s">
        <v>2616</v>
      </c>
      <c r="L1288" s="21" t="s">
        <v>878</v>
      </c>
      <c r="M1288" t="s">
        <v>610</v>
      </c>
      <c r="N1288" t="s">
        <v>611</v>
      </c>
      <c r="R1288" t="s">
        <v>880</v>
      </c>
      <c r="S1288" t="s">
        <v>2615</v>
      </c>
      <c r="T1288" t="s">
        <v>1544</v>
      </c>
      <c r="U1288" t="s">
        <v>1691</v>
      </c>
      <c r="V1288" t="s">
        <v>881</v>
      </c>
      <c r="W1288" t="s">
        <v>2617</v>
      </c>
    </row>
    <row r="1289" spans="1:23" ht="15" customHeight="1" x14ac:dyDescent="0.3">
      <c r="A1289" t="s">
        <v>8</v>
      </c>
      <c r="B1289">
        <v>107</v>
      </c>
      <c r="C1289" t="s">
        <v>864</v>
      </c>
      <c r="D1289" t="s">
        <v>874</v>
      </c>
      <c r="E1289" t="s">
        <v>605</v>
      </c>
      <c r="F1289" t="s">
        <v>875</v>
      </c>
      <c r="G1289" t="s">
        <v>36</v>
      </c>
      <c r="H1289" t="s">
        <v>1242</v>
      </c>
      <c r="I1289" t="s">
        <v>874</v>
      </c>
      <c r="J1289" t="s">
        <v>2618</v>
      </c>
      <c r="K1289" s="21" t="s">
        <v>2619</v>
      </c>
      <c r="L1289" s="21" t="s">
        <v>878</v>
      </c>
      <c r="M1289" t="s">
        <v>610</v>
      </c>
      <c r="N1289" t="s">
        <v>611</v>
      </c>
      <c r="R1289" t="s">
        <v>880</v>
      </c>
      <c r="S1289" t="s">
        <v>2618</v>
      </c>
      <c r="T1289" t="s">
        <v>1231</v>
      </c>
      <c r="U1289" t="s">
        <v>1232</v>
      </c>
      <c r="V1289" t="s">
        <v>2620</v>
      </c>
      <c r="W1289" t="s">
        <v>2621</v>
      </c>
    </row>
    <row r="1290" spans="1:23" ht="15" customHeight="1" x14ac:dyDescent="0.3">
      <c r="A1290" t="s">
        <v>8</v>
      </c>
      <c r="B1290">
        <v>107</v>
      </c>
      <c r="C1290" t="s">
        <v>864</v>
      </c>
      <c r="D1290" t="s">
        <v>874</v>
      </c>
      <c r="E1290" t="s">
        <v>605</v>
      </c>
      <c r="F1290" t="s">
        <v>875</v>
      </c>
      <c r="G1290" t="s">
        <v>36</v>
      </c>
      <c r="H1290" t="s">
        <v>425</v>
      </c>
      <c r="I1290" t="s">
        <v>874</v>
      </c>
      <c r="J1290" t="s">
        <v>2622</v>
      </c>
      <c r="K1290" s="21" t="s">
        <v>2623</v>
      </c>
      <c r="L1290" s="21" t="s">
        <v>878</v>
      </c>
      <c r="M1290" t="s">
        <v>610</v>
      </c>
      <c r="N1290" t="s">
        <v>611</v>
      </c>
      <c r="R1290" t="s">
        <v>880</v>
      </c>
      <c r="S1290" t="s">
        <v>2622</v>
      </c>
      <c r="T1290" t="s">
        <v>1231</v>
      </c>
      <c r="U1290" t="s">
        <v>1241</v>
      </c>
      <c r="V1290" t="s">
        <v>2620</v>
      </c>
      <c r="W1290" t="s">
        <v>2621</v>
      </c>
    </row>
    <row r="1291" spans="1:23" ht="15" customHeight="1" x14ac:dyDescent="0.3">
      <c r="A1291" t="s">
        <v>8</v>
      </c>
      <c r="B1291">
        <v>107</v>
      </c>
      <c r="C1291" t="s">
        <v>864</v>
      </c>
      <c r="D1291" t="s">
        <v>874</v>
      </c>
      <c r="E1291" t="s">
        <v>605</v>
      </c>
      <c r="F1291" t="s">
        <v>875</v>
      </c>
      <c r="G1291" t="s">
        <v>36</v>
      </c>
      <c r="H1291" t="s">
        <v>996</v>
      </c>
      <c r="I1291" t="s">
        <v>874</v>
      </c>
      <c r="J1291" t="s">
        <v>2624</v>
      </c>
      <c r="K1291" s="21" t="s">
        <v>2625</v>
      </c>
      <c r="L1291" s="21" t="s">
        <v>878</v>
      </c>
      <c r="M1291" t="s">
        <v>610</v>
      </c>
      <c r="N1291" t="s">
        <v>611</v>
      </c>
      <c r="R1291" t="s">
        <v>880</v>
      </c>
      <c r="S1291" t="s">
        <v>2624</v>
      </c>
      <c r="T1291" t="s">
        <v>1290</v>
      </c>
      <c r="U1291" t="s">
        <v>1291</v>
      </c>
      <c r="V1291" t="s">
        <v>881</v>
      </c>
      <c r="W1291" t="s">
        <v>2626</v>
      </c>
    </row>
    <row r="1292" spans="1:23" ht="15" customHeight="1" x14ac:dyDescent="0.3">
      <c r="A1292" t="s">
        <v>8</v>
      </c>
      <c r="B1292">
        <v>107</v>
      </c>
      <c r="C1292" t="s">
        <v>864</v>
      </c>
      <c r="D1292" t="s">
        <v>874</v>
      </c>
      <c r="E1292" t="s">
        <v>605</v>
      </c>
      <c r="F1292" t="s">
        <v>875</v>
      </c>
      <c r="G1292" t="s">
        <v>36</v>
      </c>
      <c r="H1292" t="s">
        <v>1000</v>
      </c>
      <c r="I1292" t="s">
        <v>874</v>
      </c>
      <c r="J1292" t="s">
        <v>2627</v>
      </c>
      <c r="K1292" s="21" t="s">
        <v>2628</v>
      </c>
      <c r="L1292" s="21" t="s">
        <v>878</v>
      </c>
      <c r="M1292" t="s">
        <v>610</v>
      </c>
      <c r="N1292" t="s">
        <v>611</v>
      </c>
      <c r="R1292" t="s">
        <v>880</v>
      </c>
      <c r="S1292" t="s">
        <v>2627</v>
      </c>
      <c r="T1292" t="s">
        <v>1290</v>
      </c>
      <c r="U1292" t="s">
        <v>1296</v>
      </c>
      <c r="V1292" t="s">
        <v>881</v>
      </c>
      <c r="W1292" t="s">
        <v>2626</v>
      </c>
    </row>
    <row r="1293" spans="1:23" ht="15" customHeight="1" x14ac:dyDescent="0.3">
      <c r="A1293" t="s">
        <v>8</v>
      </c>
      <c r="B1293">
        <v>107</v>
      </c>
      <c r="C1293" t="s">
        <v>864</v>
      </c>
      <c r="D1293" t="s">
        <v>874</v>
      </c>
      <c r="E1293" t="s">
        <v>605</v>
      </c>
      <c r="F1293" t="s">
        <v>875</v>
      </c>
      <c r="G1293" t="s">
        <v>36</v>
      </c>
      <c r="H1293" t="s">
        <v>1272</v>
      </c>
      <c r="I1293" t="s">
        <v>874</v>
      </c>
      <c r="J1293" t="s">
        <v>2629</v>
      </c>
      <c r="K1293" s="21" t="s">
        <v>2630</v>
      </c>
      <c r="L1293" s="21" t="s">
        <v>878</v>
      </c>
      <c r="M1293" t="s">
        <v>610</v>
      </c>
      <c r="N1293" t="s">
        <v>611</v>
      </c>
      <c r="R1293" t="s">
        <v>880</v>
      </c>
      <c r="S1293" t="s">
        <v>2629</v>
      </c>
      <c r="T1293" t="s">
        <v>1290</v>
      </c>
      <c r="U1293" t="s">
        <v>2036</v>
      </c>
      <c r="V1293" t="s">
        <v>819</v>
      </c>
      <c r="W1293" t="s">
        <v>2631</v>
      </c>
    </row>
    <row r="1294" spans="1:23" ht="15" customHeight="1" x14ac:dyDescent="0.3">
      <c r="A1294" t="s">
        <v>8</v>
      </c>
      <c r="B1294">
        <v>109</v>
      </c>
      <c r="C1294" t="s">
        <v>864</v>
      </c>
      <c r="D1294" t="s">
        <v>894</v>
      </c>
      <c r="E1294" t="s">
        <v>34</v>
      </c>
      <c r="F1294" t="s">
        <v>895</v>
      </c>
      <c r="G1294" t="s">
        <v>36</v>
      </c>
      <c r="H1294" t="s">
        <v>37</v>
      </c>
      <c r="I1294" t="s">
        <v>894</v>
      </c>
      <c r="J1294" t="s">
        <v>896</v>
      </c>
      <c r="K1294" t="s">
        <v>897</v>
      </c>
      <c r="L1294" s="21" t="s">
        <v>898</v>
      </c>
      <c r="M1294" t="s">
        <v>375</v>
      </c>
      <c r="N1294" t="s">
        <v>159</v>
      </c>
      <c r="R1294" t="s">
        <v>900</v>
      </c>
      <c r="S1294" t="s">
        <v>896</v>
      </c>
      <c r="T1294" t="s">
        <v>45</v>
      </c>
      <c r="U1294" t="s">
        <v>46</v>
      </c>
      <c r="V1294" t="s">
        <v>901</v>
      </c>
      <c r="W1294" t="s">
        <v>902</v>
      </c>
    </row>
    <row r="1295" spans="1:23" ht="15" customHeight="1" x14ac:dyDescent="0.3">
      <c r="A1295" t="s">
        <v>8</v>
      </c>
      <c r="B1295">
        <v>109</v>
      </c>
      <c r="C1295" t="s">
        <v>864</v>
      </c>
      <c r="D1295" t="s">
        <v>894</v>
      </c>
      <c r="E1295" t="s">
        <v>34</v>
      </c>
      <c r="F1295" t="s">
        <v>895</v>
      </c>
      <c r="G1295" t="s">
        <v>36</v>
      </c>
      <c r="H1295" t="s">
        <v>52</v>
      </c>
      <c r="I1295" t="s">
        <v>894</v>
      </c>
      <c r="J1295" t="s">
        <v>2632</v>
      </c>
      <c r="K1295" s="21" t="s">
        <v>2633</v>
      </c>
      <c r="L1295" s="21" t="s">
        <v>898</v>
      </c>
      <c r="M1295" t="s">
        <v>375</v>
      </c>
      <c r="N1295" t="s">
        <v>159</v>
      </c>
      <c r="R1295" t="s">
        <v>900</v>
      </c>
      <c r="S1295" t="s">
        <v>2632</v>
      </c>
      <c r="T1295" t="s">
        <v>45</v>
      </c>
      <c r="U1295" t="s">
        <v>1257</v>
      </c>
      <c r="V1295" t="s">
        <v>901</v>
      </c>
      <c r="W1295" t="s">
        <v>2634</v>
      </c>
    </row>
    <row r="1296" spans="1:23" ht="15" customHeight="1" x14ac:dyDescent="0.3">
      <c r="A1296" t="s">
        <v>8</v>
      </c>
      <c r="B1296">
        <v>109</v>
      </c>
      <c r="C1296" t="s">
        <v>864</v>
      </c>
      <c r="D1296" t="s">
        <v>894</v>
      </c>
      <c r="E1296" t="s">
        <v>34</v>
      </c>
      <c r="F1296" t="s">
        <v>895</v>
      </c>
      <c r="G1296" t="s">
        <v>36</v>
      </c>
      <c r="H1296" t="s">
        <v>57</v>
      </c>
      <c r="I1296" t="s">
        <v>894</v>
      </c>
      <c r="J1296" t="s">
        <v>903</v>
      </c>
      <c r="K1296" s="21" t="s">
        <v>904</v>
      </c>
      <c r="L1296" s="21" t="s">
        <v>898</v>
      </c>
      <c r="M1296" t="s">
        <v>375</v>
      </c>
      <c r="N1296" t="s">
        <v>159</v>
      </c>
      <c r="R1296" t="s">
        <v>900</v>
      </c>
      <c r="S1296" t="s">
        <v>903</v>
      </c>
      <c r="T1296" t="s">
        <v>45</v>
      </c>
      <c r="U1296" t="s">
        <v>90</v>
      </c>
      <c r="V1296" t="s">
        <v>901</v>
      </c>
      <c r="W1296" t="s">
        <v>905</v>
      </c>
    </row>
    <row r="1297" spans="1:23" ht="15" customHeight="1" x14ac:dyDescent="0.3">
      <c r="A1297" t="s">
        <v>8</v>
      </c>
      <c r="B1297">
        <v>109</v>
      </c>
      <c r="C1297" t="s">
        <v>864</v>
      </c>
      <c r="D1297" t="s">
        <v>894</v>
      </c>
      <c r="E1297" t="s">
        <v>34</v>
      </c>
      <c r="F1297" t="s">
        <v>895</v>
      </c>
      <c r="G1297" t="s">
        <v>36</v>
      </c>
      <c r="H1297" t="s">
        <v>49</v>
      </c>
      <c r="I1297" t="s">
        <v>894</v>
      </c>
      <c r="J1297" t="s">
        <v>2635</v>
      </c>
      <c r="K1297" s="21" t="s">
        <v>2636</v>
      </c>
      <c r="L1297" s="21" t="s">
        <v>898</v>
      </c>
      <c r="M1297" t="s">
        <v>375</v>
      </c>
      <c r="N1297" t="s">
        <v>159</v>
      </c>
      <c r="R1297" t="s">
        <v>900</v>
      </c>
      <c r="S1297" t="s">
        <v>2635</v>
      </c>
      <c r="T1297" t="s">
        <v>1249</v>
      </c>
      <c r="U1297" t="s">
        <v>1473</v>
      </c>
      <c r="V1297" t="s">
        <v>2637</v>
      </c>
      <c r="W1297" t="s">
        <v>2638</v>
      </c>
    </row>
    <row r="1298" spans="1:23" ht="15" customHeight="1" x14ac:dyDescent="0.3">
      <c r="A1298" t="s">
        <v>8</v>
      </c>
      <c r="B1298">
        <v>109</v>
      </c>
      <c r="C1298" t="s">
        <v>864</v>
      </c>
      <c r="D1298" t="s">
        <v>894</v>
      </c>
      <c r="E1298" t="s">
        <v>34</v>
      </c>
      <c r="F1298" t="s">
        <v>895</v>
      </c>
      <c r="G1298" t="s">
        <v>36</v>
      </c>
      <c r="H1298" t="s">
        <v>87</v>
      </c>
      <c r="I1298" t="s">
        <v>894</v>
      </c>
      <c r="J1298" t="s">
        <v>2639</v>
      </c>
      <c r="K1298" s="21" t="s">
        <v>2640</v>
      </c>
      <c r="L1298" s="21" t="s">
        <v>898</v>
      </c>
      <c r="M1298" t="s">
        <v>375</v>
      </c>
      <c r="N1298" t="s">
        <v>159</v>
      </c>
      <c r="R1298" t="s">
        <v>900</v>
      </c>
      <c r="S1298" t="s">
        <v>2639</v>
      </c>
      <c r="T1298" t="s">
        <v>1249</v>
      </c>
      <c r="U1298" t="s">
        <v>2641</v>
      </c>
      <c r="V1298" t="s">
        <v>2642</v>
      </c>
      <c r="W1298" t="s">
        <v>2643</v>
      </c>
    </row>
    <row r="1299" spans="1:23" ht="15" customHeight="1" x14ac:dyDescent="0.3">
      <c r="A1299" t="s">
        <v>8</v>
      </c>
      <c r="B1299">
        <v>109</v>
      </c>
      <c r="C1299" t="s">
        <v>864</v>
      </c>
      <c r="D1299" t="s">
        <v>894</v>
      </c>
      <c r="E1299" t="s">
        <v>34</v>
      </c>
      <c r="F1299" t="s">
        <v>895</v>
      </c>
      <c r="G1299" t="s">
        <v>36</v>
      </c>
      <c r="H1299" t="s">
        <v>421</v>
      </c>
      <c r="I1299" t="s">
        <v>894</v>
      </c>
      <c r="J1299" t="s">
        <v>2644</v>
      </c>
      <c r="K1299" s="21" t="s">
        <v>2645</v>
      </c>
      <c r="L1299" s="21" t="s">
        <v>898</v>
      </c>
      <c r="M1299" t="s">
        <v>375</v>
      </c>
      <c r="N1299" t="s">
        <v>159</v>
      </c>
      <c r="R1299" t="s">
        <v>900</v>
      </c>
      <c r="S1299" t="s">
        <v>2644</v>
      </c>
      <c r="T1299" t="s">
        <v>1249</v>
      </c>
      <c r="U1299" t="s">
        <v>1286</v>
      </c>
      <c r="V1299" t="s">
        <v>2642</v>
      </c>
      <c r="W1299" t="s">
        <v>2643</v>
      </c>
    </row>
    <row r="1300" spans="1:23" ht="15" customHeight="1" x14ac:dyDescent="0.3">
      <c r="A1300" t="s">
        <v>8</v>
      </c>
      <c r="B1300">
        <v>106</v>
      </c>
      <c r="C1300" t="s">
        <v>864</v>
      </c>
      <c r="D1300" t="s">
        <v>906</v>
      </c>
      <c r="E1300" t="s">
        <v>34</v>
      </c>
      <c r="F1300" t="s">
        <v>907</v>
      </c>
      <c r="G1300" t="s">
        <v>36</v>
      </c>
      <c r="H1300" t="s">
        <v>37</v>
      </c>
      <c r="I1300" t="s">
        <v>906</v>
      </c>
      <c r="J1300" t="s">
        <v>2646</v>
      </c>
      <c r="K1300" t="s">
        <v>2647</v>
      </c>
      <c r="L1300" s="21" t="s">
        <v>910</v>
      </c>
      <c r="M1300" t="s">
        <v>911</v>
      </c>
      <c r="N1300" t="s">
        <v>159</v>
      </c>
      <c r="P1300" t="s">
        <v>913</v>
      </c>
      <c r="R1300" t="s">
        <v>912</v>
      </c>
      <c r="S1300" t="s">
        <v>2646</v>
      </c>
      <c r="T1300" t="s">
        <v>45</v>
      </c>
      <c r="U1300" t="s">
        <v>1486</v>
      </c>
      <c r="V1300" t="s">
        <v>914</v>
      </c>
      <c r="W1300" t="s">
        <v>2648</v>
      </c>
    </row>
    <row r="1301" spans="1:23" ht="15" customHeight="1" x14ac:dyDescent="0.3">
      <c r="A1301" t="s">
        <v>8</v>
      </c>
      <c r="B1301">
        <v>106</v>
      </c>
      <c r="C1301" t="s">
        <v>864</v>
      </c>
      <c r="D1301" t="s">
        <v>906</v>
      </c>
      <c r="E1301" t="s">
        <v>34</v>
      </c>
      <c r="F1301" t="s">
        <v>907</v>
      </c>
      <c r="G1301" t="s">
        <v>36</v>
      </c>
      <c r="H1301" t="s">
        <v>52</v>
      </c>
      <c r="I1301" t="s">
        <v>906</v>
      </c>
      <c r="J1301" t="s">
        <v>2649</v>
      </c>
      <c r="K1301" s="21" t="s">
        <v>2650</v>
      </c>
      <c r="L1301" s="21" t="s">
        <v>910</v>
      </c>
      <c r="M1301" t="s">
        <v>911</v>
      </c>
      <c r="N1301" t="s">
        <v>159</v>
      </c>
      <c r="P1301" t="s">
        <v>913</v>
      </c>
      <c r="R1301" t="s">
        <v>912</v>
      </c>
      <c r="S1301" t="s">
        <v>2649</v>
      </c>
      <c r="T1301" t="s">
        <v>45</v>
      </c>
      <c r="U1301" t="s">
        <v>1257</v>
      </c>
      <c r="V1301" t="s">
        <v>914</v>
      </c>
      <c r="W1301" t="s">
        <v>2651</v>
      </c>
    </row>
    <row r="1302" spans="1:23" ht="15" customHeight="1" x14ac:dyDescent="0.3">
      <c r="A1302" t="s">
        <v>8</v>
      </c>
      <c r="B1302">
        <v>106</v>
      </c>
      <c r="C1302" t="s">
        <v>864</v>
      </c>
      <c r="D1302" t="s">
        <v>906</v>
      </c>
      <c r="E1302" t="s">
        <v>34</v>
      </c>
      <c r="F1302" t="s">
        <v>907</v>
      </c>
      <c r="G1302" t="s">
        <v>36</v>
      </c>
      <c r="H1302" t="s">
        <v>57</v>
      </c>
      <c r="I1302" t="s">
        <v>906</v>
      </c>
      <c r="J1302" t="s">
        <v>908</v>
      </c>
      <c r="K1302" s="21" t="s">
        <v>909</v>
      </c>
      <c r="L1302" s="21" t="s">
        <v>910</v>
      </c>
      <c r="M1302" t="s">
        <v>911</v>
      </c>
      <c r="N1302" t="s">
        <v>159</v>
      </c>
      <c r="P1302" t="s">
        <v>913</v>
      </c>
      <c r="R1302" t="s">
        <v>912</v>
      </c>
      <c r="S1302" t="s">
        <v>908</v>
      </c>
      <c r="T1302" t="s">
        <v>45</v>
      </c>
      <c r="U1302" t="s">
        <v>90</v>
      </c>
      <c r="V1302" t="s">
        <v>914</v>
      </c>
      <c r="W1302" t="s">
        <v>915</v>
      </c>
    </row>
    <row r="1303" spans="1:23" ht="15" customHeight="1" x14ac:dyDescent="0.3">
      <c r="A1303" t="s">
        <v>8</v>
      </c>
      <c r="B1303">
        <v>106</v>
      </c>
      <c r="C1303" t="s">
        <v>864</v>
      </c>
      <c r="D1303" t="s">
        <v>906</v>
      </c>
      <c r="E1303" t="s">
        <v>34</v>
      </c>
      <c r="F1303" t="s">
        <v>907</v>
      </c>
      <c r="G1303" t="s">
        <v>36</v>
      </c>
      <c r="H1303" t="s">
        <v>49</v>
      </c>
      <c r="I1303" t="s">
        <v>906</v>
      </c>
      <c r="J1303" t="s">
        <v>916</v>
      </c>
      <c r="K1303" s="21" t="s">
        <v>917</v>
      </c>
      <c r="L1303" s="21" t="s">
        <v>910</v>
      </c>
      <c r="M1303" t="s">
        <v>911</v>
      </c>
      <c r="N1303" t="s">
        <v>159</v>
      </c>
      <c r="P1303" t="s">
        <v>913</v>
      </c>
      <c r="R1303" t="s">
        <v>912</v>
      </c>
      <c r="S1303" t="s">
        <v>916</v>
      </c>
      <c r="T1303" t="s">
        <v>45</v>
      </c>
      <c r="U1303" t="s">
        <v>46</v>
      </c>
      <c r="V1303" t="s">
        <v>914</v>
      </c>
      <c r="W1303" t="s">
        <v>918</v>
      </c>
    </row>
    <row r="1304" spans="1:23" ht="15" customHeight="1" x14ac:dyDescent="0.3">
      <c r="A1304" t="s">
        <v>8</v>
      </c>
      <c r="B1304">
        <v>106</v>
      </c>
      <c r="C1304" t="s">
        <v>864</v>
      </c>
      <c r="D1304" t="s">
        <v>906</v>
      </c>
      <c r="E1304" t="s">
        <v>34</v>
      </c>
      <c r="F1304" t="s">
        <v>907</v>
      </c>
      <c r="G1304" t="s">
        <v>36</v>
      </c>
      <c r="H1304" t="s">
        <v>87</v>
      </c>
      <c r="I1304" t="s">
        <v>906</v>
      </c>
      <c r="J1304" t="s">
        <v>2652</v>
      </c>
      <c r="K1304" s="21" t="s">
        <v>2653</v>
      </c>
      <c r="L1304" s="21" t="s">
        <v>910</v>
      </c>
      <c r="M1304" t="s">
        <v>911</v>
      </c>
      <c r="N1304" t="s">
        <v>159</v>
      </c>
      <c r="P1304" t="s">
        <v>913</v>
      </c>
      <c r="R1304" t="s">
        <v>912</v>
      </c>
      <c r="S1304" t="s">
        <v>2652</v>
      </c>
      <c r="T1304" t="s">
        <v>1544</v>
      </c>
      <c r="U1304" t="s">
        <v>2062</v>
      </c>
      <c r="V1304" t="s">
        <v>2654</v>
      </c>
      <c r="W1304" t="s">
        <v>2655</v>
      </c>
    </row>
    <row r="1305" spans="1:23" ht="15" customHeight="1" x14ac:dyDescent="0.3">
      <c r="A1305" t="s">
        <v>8</v>
      </c>
      <c r="B1305">
        <v>106</v>
      </c>
      <c r="C1305" t="s">
        <v>864</v>
      </c>
      <c r="D1305" t="s">
        <v>906</v>
      </c>
      <c r="E1305" t="s">
        <v>34</v>
      </c>
      <c r="F1305" t="s">
        <v>907</v>
      </c>
      <c r="G1305" t="s">
        <v>36</v>
      </c>
      <c r="H1305" t="s">
        <v>421</v>
      </c>
      <c r="I1305" t="s">
        <v>906</v>
      </c>
      <c r="J1305" t="s">
        <v>2656</v>
      </c>
      <c r="K1305" s="21" t="s">
        <v>2657</v>
      </c>
      <c r="L1305" s="21" t="s">
        <v>910</v>
      </c>
      <c r="M1305" t="s">
        <v>911</v>
      </c>
      <c r="N1305" t="s">
        <v>159</v>
      </c>
      <c r="P1305" t="s">
        <v>913</v>
      </c>
      <c r="R1305" t="s">
        <v>912</v>
      </c>
      <c r="S1305" t="s">
        <v>2656</v>
      </c>
      <c r="T1305" t="s">
        <v>1544</v>
      </c>
      <c r="U1305" t="s">
        <v>1691</v>
      </c>
      <c r="V1305" t="s">
        <v>914</v>
      </c>
      <c r="W1305" t="s">
        <v>2658</v>
      </c>
    </row>
    <row r="1306" spans="1:23" ht="15" customHeight="1" x14ac:dyDescent="0.3">
      <c r="A1306" t="s">
        <v>8</v>
      </c>
      <c r="B1306">
        <v>106</v>
      </c>
      <c r="C1306" t="s">
        <v>864</v>
      </c>
      <c r="D1306" t="s">
        <v>906</v>
      </c>
      <c r="E1306" t="s">
        <v>34</v>
      </c>
      <c r="F1306" t="s">
        <v>907</v>
      </c>
      <c r="G1306" t="s">
        <v>36</v>
      </c>
      <c r="H1306" t="s">
        <v>182</v>
      </c>
      <c r="I1306" t="s">
        <v>906</v>
      </c>
      <c r="J1306" t="s">
        <v>2659</v>
      </c>
      <c r="K1306" s="21" t="s">
        <v>2660</v>
      </c>
      <c r="L1306" s="21" t="s">
        <v>910</v>
      </c>
      <c r="M1306" t="s">
        <v>911</v>
      </c>
      <c r="N1306" t="s">
        <v>159</v>
      </c>
      <c r="P1306" t="s">
        <v>913</v>
      </c>
      <c r="R1306" t="s">
        <v>912</v>
      </c>
      <c r="S1306" t="s">
        <v>2659</v>
      </c>
      <c r="T1306" t="s">
        <v>1544</v>
      </c>
      <c r="U1306" t="s">
        <v>1699</v>
      </c>
      <c r="V1306" t="s">
        <v>914</v>
      </c>
      <c r="W1306" t="s">
        <v>2661</v>
      </c>
    </row>
    <row r="1307" spans="1:23" ht="15" customHeight="1" x14ac:dyDescent="0.3">
      <c r="A1307" t="s">
        <v>8</v>
      </c>
      <c r="B1307">
        <v>106</v>
      </c>
      <c r="C1307" t="s">
        <v>864</v>
      </c>
      <c r="D1307" t="s">
        <v>906</v>
      </c>
      <c r="E1307" t="s">
        <v>34</v>
      </c>
      <c r="F1307" t="s">
        <v>907</v>
      </c>
      <c r="G1307" t="s">
        <v>36</v>
      </c>
      <c r="H1307" t="s">
        <v>1242</v>
      </c>
      <c r="I1307" t="s">
        <v>906</v>
      </c>
      <c r="J1307" t="s">
        <v>2662</v>
      </c>
      <c r="K1307" s="21" t="s">
        <v>2663</v>
      </c>
      <c r="L1307" s="21" t="s">
        <v>910</v>
      </c>
      <c r="M1307" t="s">
        <v>911</v>
      </c>
      <c r="N1307" t="s">
        <v>159</v>
      </c>
      <c r="P1307" t="s">
        <v>913</v>
      </c>
      <c r="R1307" t="s">
        <v>912</v>
      </c>
      <c r="S1307" t="s">
        <v>2662</v>
      </c>
      <c r="T1307" t="s">
        <v>1544</v>
      </c>
      <c r="U1307" t="s">
        <v>1703</v>
      </c>
      <c r="V1307" t="s">
        <v>914</v>
      </c>
      <c r="W1307" t="s">
        <v>2664</v>
      </c>
    </row>
    <row r="1308" spans="1:23" ht="15" customHeight="1" x14ac:dyDescent="0.3">
      <c r="A1308" t="s">
        <v>8</v>
      </c>
      <c r="B1308">
        <v>106</v>
      </c>
      <c r="C1308" t="s">
        <v>864</v>
      </c>
      <c r="D1308" t="s">
        <v>906</v>
      </c>
      <c r="E1308" t="s">
        <v>34</v>
      </c>
      <c r="F1308" t="s">
        <v>907</v>
      </c>
      <c r="G1308" t="s">
        <v>36</v>
      </c>
      <c r="H1308" t="s">
        <v>425</v>
      </c>
      <c r="I1308" t="s">
        <v>906</v>
      </c>
      <c r="J1308" t="s">
        <v>2665</v>
      </c>
      <c r="K1308" s="21" t="s">
        <v>2666</v>
      </c>
      <c r="L1308" s="21" t="s">
        <v>910</v>
      </c>
      <c r="M1308" t="s">
        <v>911</v>
      </c>
      <c r="N1308" t="s">
        <v>159</v>
      </c>
      <c r="P1308" t="s">
        <v>913</v>
      </c>
      <c r="R1308" t="s">
        <v>912</v>
      </c>
      <c r="S1308" t="s">
        <v>2665</v>
      </c>
      <c r="T1308" t="s">
        <v>1249</v>
      </c>
      <c r="U1308" t="s">
        <v>1464</v>
      </c>
      <c r="V1308" t="s">
        <v>2667</v>
      </c>
      <c r="W1308" t="s">
        <v>2668</v>
      </c>
    </row>
    <row r="1309" spans="1:23" ht="15" customHeight="1" x14ac:dyDescent="0.3">
      <c r="A1309" t="s">
        <v>8</v>
      </c>
      <c r="B1309">
        <v>106</v>
      </c>
      <c r="C1309" t="s">
        <v>864</v>
      </c>
      <c r="D1309" t="s">
        <v>906</v>
      </c>
      <c r="E1309" t="s">
        <v>34</v>
      </c>
      <c r="F1309" t="s">
        <v>907</v>
      </c>
      <c r="G1309" t="s">
        <v>36</v>
      </c>
      <c r="H1309" t="s">
        <v>996</v>
      </c>
      <c r="I1309" t="s">
        <v>906</v>
      </c>
      <c r="J1309" t="s">
        <v>2669</v>
      </c>
      <c r="K1309" s="21" t="s">
        <v>2670</v>
      </c>
      <c r="L1309" s="21" t="s">
        <v>910</v>
      </c>
      <c r="M1309" t="s">
        <v>911</v>
      </c>
      <c r="N1309" t="s">
        <v>159</v>
      </c>
      <c r="P1309" t="s">
        <v>913</v>
      </c>
      <c r="R1309" t="s">
        <v>912</v>
      </c>
      <c r="S1309" t="s">
        <v>2669</v>
      </c>
      <c r="T1309" t="s">
        <v>1249</v>
      </c>
      <c r="U1309" t="s">
        <v>2671</v>
      </c>
      <c r="V1309" t="s">
        <v>2667</v>
      </c>
      <c r="W1309" t="s">
        <v>2668</v>
      </c>
    </row>
    <row r="1310" spans="1:23" ht="15" customHeight="1" x14ac:dyDescent="0.3">
      <c r="A1310" t="s">
        <v>8</v>
      </c>
      <c r="B1310">
        <v>106</v>
      </c>
      <c r="C1310" t="s">
        <v>864</v>
      </c>
      <c r="D1310" t="s">
        <v>906</v>
      </c>
      <c r="E1310" t="s">
        <v>34</v>
      </c>
      <c r="F1310" t="s">
        <v>907</v>
      </c>
      <c r="G1310" t="s">
        <v>36</v>
      </c>
      <c r="H1310" t="s">
        <v>1000</v>
      </c>
      <c r="I1310" t="s">
        <v>906</v>
      </c>
      <c r="J1310" t="s">
        <v>2672</v>
      </c>
      <c r="K1310" s="21" t="s">
        <v>2673</v>
      </c>
      <c r="L1310" s="21" t="s">
        <v>910</v>
      </c>
      <c r="M1310" t="s">
        <v>911</v>
      </c>
      <c r="N1310" t="s">
        <v>159</v>
      </c>
      <c r="P1310" t="s">
        <v>913</v>
      </c>
      <c r="R1310" t="s">
        <v>912</v>
      </c>
      <c r="S1310" t="s">
        <v>2672</v>
      </c>
      <c r="T1310" t="s">
        <v>1249</v>
      </c>
      <c r="U1310" t="s">
        <v>2005</v>
      </c>
      <c r="V1310" t="s">
        <v>914</v>
      </c>
      <c r="W1310" t="s">
        <v>2648</v>
      </c>
    </row>
    <row r="1311" spans="1:23" ht="15" customHeight="1" x14ac:dyDescent="0.3">
      <c r="A1311" t="s">
        <v>8</v>
      </c>
      <c r="B1311">
        <v>106</v>
      </c>
      <c r="C1311" t="s">
        <v>864</v>
      </c>
      <c r="D1311" t="s">
        <v>906</v>
      </c>
      <c r="E1311" t="s">
        <v>34</v>
      </c>
      <c r="F1311" t="s">
        <v>907</v>
      </c>
      <c r="G1311" t="s">
        <v>36</v>
      </c>
      <c r="H1311" t="s">
        <v>1272</v>
      </c>
      <c r="I1311" t="s">
        <v>906</v>
      </c>
      <c r="J1311" t="s">
        <v>2674</v>
      </c>
      <c r="K1311" s="21" t="s">
        <v>2675</v>
      </c>
      <c r="L1311" s="21" t="s">
        <v>910</v>
      </c>
      <c r="M1311" t="s">
        <v>911</v>
      </c>
      <c r="N1311" t="s">
        <v>159</v>
      </c>
      <c r="P1311" t="s">
        <v>913</v>
      </c>
      <c r="R1311" t="s">
        <v>912</v>
      </c>
      <c r="S1311" t="s">
        <v>2674</v>
      </c>
      <c r="T1311" t="s">
        <v>1249</v>
      </c>
      <c r="U1311" t="s">
        <v>1286</v>
      </c>
      <c r="V1311" t="s">
        <v>2667</v>
      </c>
      <c r="W1311" t="s">
        <v>2668</v>
      </c>
    </row>
    <row r="1312" spans="1:23" ht="15" customHeight="1" x14ac:dyDescent="0.3">
      <c r="A1312" t="s">
        <v>8</v>
      </c>
      <c r="B1312">
        <v>106</v>
      </c>
      <c r="C1312" t="s">
        <v>864</v>
      </c>
      <c r="D1312" t="s">
        <v>906</v>
      </c>
      <c r="E1312" t="s">
        <v>34</v>
      </c>
      <c r="F1312" t="s">
        <v>907</v>
      </c>
      <c r="G1312" t="s">
        <v>36</v>
      </c>
      <c r="H1312" t="s">
        <v>1276</v>
      </c>
      <c r="I1312" t="s">
        <v>906</v>
      </c>
      <c r="J1312" t="s">
        <v>2676</v>
      </c>
      <c r="K1312" s="21" t="s">
        <v>2677</v>
      </c>
      <c r="L1312" s="21" t="s">
        <v>910</v>
      </c>
      <c r="M1312" t="s">
        <v>911</v>
      </c>
      <c r="N1312" t="s">
        <v>159</v>
      </c>
      <c r="P1312" t="s">
        <v>913</v>
      </c>
      <c r="R1312" t="s">
        <v>912</v>
      </c>
      <c r="S1312" t="s">
        <v>2676</v>
      </c>
      <c r="T1312" t="s">
        <v>1290</v>
      </c>
      <c r="U1312" t="s">
        <v>1291</v>
      </c>
      <c r="V1312" t="s">
        <v>914</v>
      </c>
      <c r="W1312" t="s">
        <v>2648</v>
      </c>
    </row>
    <row r="1313" spans="1:23" ht="15" customHeight="1" x14ac:dyDescent="0.3">
      <c r="A1313" t="s">
        <v>8</v>
      </c>
      <c r="B1313">
        <v>106</v>
      </c>
      <c r="C1313" t="s">
        <v>864</v>
      </c>
      <c r="D1313" t="s">
        <v>906</v>
      </c>
      <c r="E1313" t="s">
        <v>34</v>
      </c>
      <c r="F1313" t="s">
        <v>907</v>
      </c>
      <c r="G1313" t="s">
        <v>36</v>
      </c>
      <c r="H1313" t="s">
        <v>1279</v>
      </c>
      <c r="I1313" t="s">
        <v>906</v>
      </c>
      <c r="J1313" t="s">
        <v>2678</v>
      </c>
      <c r="K1313" s="21" t="s">
        <v>2679</v>
      </c>
      <c r="L1313" s="21" t="s">
        <v>910</v>
      </c>
      <c r="M1313" t="s">
        <v>911</v>
      </c>
      <c r="N1313" t="s">
        <v>159</v>
      </c>
      <c r="P1313" t="s">
        <v>913</v>
      </c>
      <c r="R1313" t="s">
        <v>912</v>
      </c>
      <c r="S1313" t="s">
        <v>2678</v>
      </c>
      <c r="T1313" t="s">
        <v>1290</v>
      </c>
      <c r="U1313" t="s">
        <v>1296</v>
      </c>
      <c r="V1313" t="s">
        <v>914</v>
      </c>
      <c r="W1313" t="s">
        <v>2648</v>
      </c>
    </row>
    <row r="1314" spans="1:23" ht="15" customHeight="1" x14ac:dyDescent="0.3">
      <c r="A1314" t="s">
        <v>8</v>
      </c>
      <c r="B1314">
        <v>115</v>
      </c>
      <c r="C1314" t="s">
        <v>864</v>
      </c>
      <c r="D1314" t="s">
        <v>919</v>
      </c>
      <c r="E1314" t="s">
        <v>34</v>
      </c>
      <c r="F1314" t="s">
        <v>920</v>
      </c>
      <c r="G1314" t="s">
        <v>36</v>
      </c>
      <c r="H1314" t="s">
        <v>37</v>
      </c>
      <c r="I1314" t="s">
        <v>919</v>
      </c>
      <c r="J1314" t="s">
        <v>921</v>
      </c>
      <c r="K1314" t="s">
        <v>922</v>
      </c>
      <c r="L1314" s="21" t="s">
        <v>923</v>
      </c>
      <c r="M1314" t="s">
        <v>375</v>
      </c>
      <c r="N1314" t="s">
        <v>159</v>
      </c>
      <c r="R1314" t="s">
        <v>925</v>
      </c>
      <c r="S1314" t="s">
        <v>921</v>
      </c>
      <c r="T1314" t="s">
        <v>45</v>
      </c>
      <c r="U1314" t="s">
        <v>46</v>
      </c>
      <c r="V1314" t="s">
        <v>926</v>
      </c>
      <c r="W1314" t="s">
        <v>927</v>
      </c>
    </row>
    <row r="1315" spans="1:23" ht="15" customHeight="1" x14ac:dyDescent="0.3">
      <c r="A1315" t="s">
        <v>8</v>
      </c>
      <c r="B1315">
        <v>115</v>
      </c>
      <c r="C1315" t="s">
        <v>864</v>
      </c>
      <c r="D1315" t="s">
        <v>919</v>
      </c>
      <c r="E1315" t="s">
        <v>34</v>
      </c>
      <c r="F1315" t="s">
        <v>920</v>
      </c>
      <c r="G1315" t="s">
        <v>36</v>
      </c>
      <c r="H1315" t="s">
        <v>52</v>
      </c>
      <c r="I1315" t="s">
        <v>919</v>
      </c>
      <c r="J1315" t="s">
        <v>2680</v>
      </c>
      <c r="K1315" s="21" t="s">
        <v>2681</v>
      </c>
      <c r="L1315" s="21" t="s">
        <v>923</v>
      </c>
      <c r="M1315" t="s">
        <v>375</v>
      </c>
      <c r="N1315" t="s">
        <v>159</v>
      </c>
      <c r="R1315" t="s">
        <v>925</v>
      </c>
      <c r="S1315" t="s">
        <v>2680</v>
      </c>
      <c r="T1315" t="s">
        <v>45</v>
      </c>
      <c r="U1315" t="s">
        <v>1257</v>
      </c>
      <c r="V1315" t="s">
        <v>926</v>
      </c>
      <c r="W1315" t="s">
        <v>2682</v>
      </c>
    </row>
    <row r="1316" spans="1:23" ht="15" customHeight="1" x14ac:dyDescent="0.3">
      <c r="A1316" t="s">
        <v>8</v>
      </c>
      <c r="B1316">
        <v>115</v>
      </c>
      <c r="C1316" t="s">
        <v>864</v>
      </c>
      <c r="D1316" t="s">
        <v>919</v>
      </c>
      <c r="E1316" t="s">
        <v>34</v>
      </c>
      <c r="F1316" t="s">
        <v>920</v>
      </c>
      <c r="G1316" t="s">
        <v>36</v>
      </c>
      <c r="H1316" t="s">
        <v>57</v>
      </c>
      <c r="I1316" t="s">
        <v>919</v>
      </c>
      <c r="J1316" t="s">
        <v>928</v>
      </c>
      <c r="K1316" s="21" t="s">
        <v>929</v>
      </c>
      <c r="L1316" s="21" t="s">
        <v>923</v>
      </c>
      <c r="M1316" t="s">
        <v>375</v>
      </c>
      <c r="N1316" t="s">
        <v>159</v>
      </c>
      <c r="R1316" t="s">
        <v>925</v>
      </c>
      <c r="S1316" t="s">
        <v>928</v>
      </c>
      <c r="T1316" t="s">
        <v>45</v>
      </c>
      <c r="U1316" t="s">
        <v>90</v>
      </c>
      <c r="V1316" t="s">
        <v>926</v>
      </c>
      <c r="W1316" t="s">
        <v>930</v>
      </c>
    </row>
    <row r="1317" spans="1:23" ht="15" customHeight="1" x14ac:dyDescent="0.3">
      <c r="A1317" t="s">
        <v>8</v>
      </c>
      <c r="B1317">
        <v>115</v>
      </c>
      <c r="C1317" t="s">
        <v>864</v>
      </c>
      <c r="D1317" t="s">
        <v>919</v>
      </c>
      <c r="E1317" t="s">
        <v>34</v>
      </c>
      <c r="F1317" t="s">
        <v>920</v>
      </c>
      <c r="G1317" t="s">
        <v>36</v>
      </c>
      <c r="H1317" t="s">
        <v>49</v>
      </c>
      <c r="I1317" t="s">
        <v>919</v>
      </c>
      <c r="J1317" t="s">
        <v>2683</v>
      </c>
      <c r="K1317" s="21" t="s">
        <v>2684</v>
      </c>
      <c r="L1317" s="21" t="s">
        <v>923</v>
      </c>
      <c r="M1317" t="s">
        <v>375</v>
      </c>
      <c r="N1317" t="s">
        <v>159</v>
      </c>
      <c r="R1317" t="s">
        <v>925</v>
      </c>
      <c r="S1317" t="s">
        <v>2683</v>
      </c>
      <c r="T1317" t="s">
        <v>1544</v>
      </c>
      <c r="U1317" t="s">
        <v>1691</v>
      </c>
      <c r="V1317" t="s">
        <v>926</v>
      </c>
      <c r="W1317" t="s">
        <v>2685</v>
      </c>
    </row>
    <row r="1318" spans="1:23" ht="15" customHeight="1" x14ac:dyDescent="0.3">
      <c r="A1318" t="s">
        <v>8</v>
      </c>
      <c r="B1318">
        <v>115</v>
      </c>
      <c r="C1318" t="s">
        <v>864</v>
      </c>
      <c r="D1318" t="s">
        <v>919</v>
      </c>
      <c r="E1318" t="s">
        <v>34</v>
      </c>
      <c r="F1318" t="s">
        <v>920</v>
      </c>
      <c r="G1318" t="s">
        <v>36</v>
      </c>
      <c r="H1318" t="s">
        <v>87</v>
      </c>
      <c r="I1318" t="s">
        <v>919</v>
      </c>
      <c r="J1318" t="s">
        <v>2686</v>
      </c>
      <c r="K1318" s="21" t="s">
        <v>2687</v>
      </c>
      <c r="L1318" s="21" t="s">
        <v>923</v>
      </c>
      <c r="M1318" t="s">
        <v>375</v>
      </c>
      <c r="N1318" t="s">
        <v>159</v>
      </c>
      <c r="R1318" t="s">
        <v>925</v>
      </c>
      <c r="S1318" t="s">
        <v>2686</v>
      </c>
      <c r="T1318" t="s">
        <v>1249</v>
      </c>
      <c r="U1318" t="s">
        <v>2688</v>
      </c>
      <c r="V1318" t="s">
        <v>2689</v>
      </c>
      <c r="W1318" t="s">
        <v>2690</v>
      </c>
    </row>
    <row r="1319" spans="1:23" ht="15" customHeight="1" x14ac:dyDescent="0.3">
      <c r="A1319" t="s">
        <v>8</v>
      </c>
      <c r="B1319">
        <v>116</v>
      </c>
      <c r="C1319" t="s">
        <v>864</v>
      </c>
      <c r="D1319" t="s">
        <v>931</v>
      </c>
      <c r="E1319" t="s">
        <v>34</v>
      </c>
      <c r="F1319" t="s">
        <v>932</v>
      </c>
      <c r="G1319" t="s">
        <v>36</v>
      </c>
      <c r="H1319" t="s">
        <v>37</v>
      </c>
      <c r="I1319" t="s">
        <v>931</v>
      </c>
      <c r="J1319" t="s">
        <v>933</v>
      </c>
      <c r="K1319" t="s">
        <v>934</v>
      </c>
      <c r="L1319" s="21" t="s">
        <v>935</v>
      </c>
      <c r="M1319" t="s">
        <v>375</v>
      </c>
      <c r="N1319" t="s">
        <v>159</v>
      </c>
      <c r="R1319" t="s">
        <v>937</v>
      </c>
      <c r="S1319" t="s">
        <v>933</v>
      </c>
      <c r="T1319" t="s">
        <v>45</v>
      </c>
      <c r="U1319" t="s">
        <v>46</v>
      </c>
      <c r="V1319" t="s">
        <v>938</v>
      </c>
      <c r="W1319" t="s">
        <v>939</v>
      </c>
    </row>
    <row r="1320" spans="1:23" ht="15" customHeight="1" x14ac:dyDescent="0.3">
      <c r="A1320" t="s">
        <v>8</v>
      </c>
      <c r="B1320">
        <v>116</v>
      </c>
      <c r="C1320" t="s">
        <v>864</v>
      </c>
      <c r="D1320" t="s">
        <v>931</v>
      </c>
      <c r="E1320" t="s">
        <v>34</v>
      </c>
      <c r="F1320" t="s">
        <v>932</v>
      </c>
      <c r="G1320" t="s">
        <v>36</v>
      </c>
      <c r="H1320" t="s">
        <v>52</v>
      </c>
      <c r="I1320" t="s">
        <v>931</v>
      </c>
      <c r="J1320" t="s">
        <v>2691</v>
      </c>
      <c r="K1320" s="21" t="s">
        <v>2692</v>
      </c>
      <c r="L1320" s="21" t="s">
        <v>935</v>
      </c>
      <c r="M1320" t="s">
        <v>375</v>
      </c>
      <c r="N1320" t="s">
        <v>159</v>
      </c>
      <c r="R1320" t="s">
        <v>937</v>
      </c>
      <c r="S1320" t="s">
        <v>2691</v>
      </c>
      <c r="T1320" t="s">
        <v>45</v>
      </c>
      <c r="U1320" t="s">
        <v>1257</v>
      </c>
      <c r="V1320" t="s">
        <v>938</v>
      </c>
      <c r="W1320" t="s">
        <v>2693</v>
      </c>
    </row>
    <row r="1321" spans="1:23" ht="15" customHeight="1" x14ac:dyDescent="0.3">
      <c r="A1321" t="s">
        <v>8</v>
      </c>
      <c r="B1321">
        <v>116</v>
      </c>
      <c r="C1321" t="s">
        <v>864</v>
      </c>
      <c r="D1321" t="s">
        <v>931</v>
      </c>
      <c r="E1321" t="s">
        <v>34</v>
      </c>
      <c r="F1321" t="s">
        <v>932</v>
      </c>
      <c r="G1321" t="s">
        <v>36</v>
      </c>
      <c r="H1321" t="s">
        <v>57</v>
      </c>
      <c r="I1321" t="s">
        <v>931</v>
      </c>
      <c r="J1321" t="s">
        <v>940</v>
      </c>
      <c r="K1321" s="21" t="s">
        <v>941</v>
      </c>
      <c r="L1321" s="21" t="s">
        <v>935</v>
      </c>
      <c r="M1321" t="s">
        <v>375</v>
      </c>
      <c r="N1321" t="s">
        <v>159</v>
      </c>
      <c r="R1321" t="s">
        <v>937</v>
      </c>
      <c r="S1321" t="s">
        <v>940</v>
      </c>
      <c r="T1321" t="s">
        <v>45</v>
      </c>
      <c r="U1321" t="s">
        <v>90</v>
      </c>
      <c r="V1321" t="s">
        <v>938</v>
      </c>
      <c r="W1321" t="s">
        <v>942</v>
      </c>
    </row>
    <row r="1322" spans="1:23" ht="15" customHeight="1" x14ac:dyDescent="0.3">
      <c r="A1322" t="s">
        <v>8</v>
      </c>
      <c r="B1322">
        <v>116</v>
      </c>
      <c r="C1322" t="s">
        <v>864</v>
      </c>
      <c r="D1322" t="s">
        <v>931</v>
      </c>
      <c r="E1322" t="s">
        <v>34</v>
      </c>
      <c r="F1322" t="s">
        <v>932</v>
      </c>
      <c r="G1322" t="s">
        <v>36</v>
      </c>
      <c r="H1322" t="s">
        <v>49</v>
      </c>
      <c r="I1322" t="s">
        <v>931</v>
      </c>
      <c r="J1322" t="s">
        <v>2694</v>
      </c>
      <c r="K1322" s="21" t="s">
        <v>2695</v>
      </c>
      <c r="L1322" s="21" t="s">
        <v>935</v>
      </c>
      <c r="M1322" t="s">
        <v>375</v>
      </c>
      <c r="N1322" t="s">
        <v>159</v>
      </c>
      <c r="R1322" t="s">
        <v>937</v>
      </c>
      <c r="S1322" t="s">
        <v>2694</v>
      </c>
      <c r="T1322" t="s">
        <v>1231</v>
      </c>
      <c r="U1322" t="s">
        <v>1232</v>
      </c>
      <c r="V1322" t="s">
        <v>938</v>
      </c>
      <c r="W1322" t="s">
        <v>2696</v>
      </c>
    </row>
    <row r="1323" spans="1:23" ht="15" customHeight="1" x14ac:dyDescent="0.3">
      <c r="A1323" t="s">
        <v>8</v>
      </c>
      <c r="B1323">
        <v>116</v>
      </c>
      <c r="C1323" t="s">
        <v>864</v>
      </c>
      <c r="D1323" t="s">
        <v>931</v>
      </c>
      <c r="E1323" t="s">
        <v>34</v>
      </c>
      <c r="F1323" t="s">
        <v>932</v>
      </c>
      <c r="G1323" t="s">
        <v>36</v>
      </c>
      <c r="H1323" t="s">
        <v>87</v>
      </c>
      <c r="I1323" t="s">
        <v>931</v>
      </c>
      <c r="J1323" t="s">
        <v>2697</v>
      </c>
      <c r="K1323" s="21" t="s">
        <v>2698</v>
      </c>
      <c r="L1323" s="21" t="s">
        <v>935</v>
      </c>
      <c r="M1323" t="s">
        <v>375</v>
      </c>
      <c r="N1323" t="s">
        <v>159</v>
      </c>
      <c r="R1323" t="s">
        <v>937</v>
      </c>
      <c r="S1323" t="s">
        <v>2697</v>
      </c>
      <c r="T1323" t="s">
        <v>1231</v>
      </c>
      <c r="U1323" t="s">
        <v>1241</v>
      </c>
      <c r="V1323" t="s">
        <v>938</v>
      </c>
      <c r="W1323" t="s">
        <v>2696</v>
      </c>
    </row>
    <row r="1324" spans="1:23" ht="15" customHeight="1" x14ac:dyDescent="0.3">
      <c r="A1324" t="s">
        <v>8</v>
      </c>
      <c r="B1324">
        <v>116</v>
      </c>
      <c r="C1324" t="s">
        <v>864</v>
      </c>
      <c r="D1324" t="s">
        <v>931</v>
      </c>
      <c r="E1324" t="s">
        <v>34</v>
      </c>
      <c r="F1324" t="s">
        <v>932</v>
      </c>
      <c r="G1324" t="s">
        <v>36</v>
      </c>
      <c r="H1324" t="s">
        <v>421</v>
      </c>
      <c r="I1324" t="s">
        <v>931</v>
      </c>
      <c r="J1324" t="s">
        <v>2699</v>
      </c>
      <c r="K1324" s="21" t="s">
        <v>2700</v>
      </c>
      <c r="L1324" s="21" t="s">
        <v>935</v>
      </c>
      <c r="M1324" t="s">
        <v>375</v>
      </c>
      <c r="N1324" t="s">
        <v>159</v>
      </c>
      <c r="R1324" t="s">
        <v>937</v>
      </c>
      <c r="S1324" t="s">
        <v>2699</v>
      </c>
      <c r="T1324" t="s">
        <v>1249</v>
      </c>
      <c r="U1324" t="s">
        <v>2701</v>
      </c>
      <c r="V1324" t="s">
        <v>2702</v>
      </c>
      <c r="W1324" t="s">
        <v>2703</v>
      </c>
    </row>
    <row r="1325" spans="1:23" ht="15" customHeight="1" x14ac:dyDescent="0.3">
      <c r="A1325" t="s">
        <v>8</v>
      </c>
      <c r="B1325">
        <v>116</v>
      </c>
      <c r="C1325" t="s">
        <v>864</v>
      </c>
      <c r="D1325" t="s">
        <v>931</v>
      </c>
      <c r="E1325" t="s">
        <v>34</v>
      </c>
      <c r="F1325" t="s">
        <v>932</v>
      </c>
      <c r="G1325" t="s">
        <v>36</v>
      </c>
      <c r="H1325" t="s">
        <v>182</v>
      </c>
      <c r="I1325" t="s">
        <v>931</v>
      </c>
      <c r="J1325" t="s">
        <v>2704</v>
      </c>
      <c r="K1325" s="21" t="s">
        <v>2705</v>
      </c>
      <c r="L1325" s="21" t="s">
        <v>935</v>
      </c>
      <c r="M1325" t="s">
        <v>375</v>
      </c>
      <c r="N1325" t="s">
        <v>159</v>
      </c>
      <c r="R1325" t="s">
        <v>937</v>
      </c>
      <c r="S1325" t="s">
        <v>2704</v>
      </c>
      <c r="T1325" t="s">
        <v>1249</v>
      </c>
      <c r="U1325" t="s">
        <v>1286</v>
      </c>
      <c r="V1325" t="s">
        <v>2702</v>
      </c>
      <c r="W1325" t="s">
        <v>2703</v>
      </c>
    </row>
    <row r="1326" spans="1:23" ht="15" customHeight="1" x14ac:dyDescent="0.3">
      <c r="A1326" t="s">
        <v>8</v>
      </c>
      <c r="B1326">
        <v>116</v>
      </c>
      <c r="C1326" t="s">
        <v>864</v>
      </c>
      <c r="D1326" t="s">
        <v>931</v>
      </c>
      <c r="E1326" t="s">
        <v>34</v>
      </c>
      <c r="F1326" t="s">
        <v>932</v>
      </c>
      <c r="G1326" t="s">
        <v>36</v>
      </c>
      <c r="H1326" t="s">
        <v>1242</v>
      </c>
      <c r="I1326" t="s">
        <v>931</v>
      </c>
      <c r="J1326" t="s">
        <v>2706</v>
      </c>
      <c r="K1326" s="21" t="s">
        <v>2707</v>
      </c>
      <c r="L1326" s="21" t="s">
        <v>935</v>
      </c>
      <c r="M1326" t="s">
        <v>375</v>
      </c>
      <c r="N1326" t="s">
        <v>159</v>
      </c>
      <c r="R1326" t="s">
        <v>937</v>
      </c>
      <c r="S1326" t="s">
        <v>2706</v>
      </c>
      <c r="T1326" t="s">
        <v>1290</v>
      </c>
      <c r="U1326" t="s">
        <v>1291</v>
      </c>
      <c r="V1326" t="s">
        <v>938</v>
      </c>
      <c r="W1326" t="s">
        <v>2708</v>
      </c>
    </row>
    <row r="1327" spans="1:23" ht="15" customHeight="1" x14ac:dyDescent="0.3">
      <c r="A1327" t="s">
        <v>8</v>
      </c>
      <c r="B1327">
        <v>116</v>
      </c>
      <c r="C1327" t="s">
        <v>864</v>
      </c>
      <c r="D1327" t="s">
        <v>931</v>
      </c>
      <c r="E1327" t="s">
        <v>34</v>
      </c>
      <c r="F1327" t="s">
        <v>932</v>
      </c>
      <c r="G1327" t="s">
        <v>36</v>
      </c>
      <c r="H1327" t="s">
        <v>425</v>
      </c>
      <c r="I1327" t="s">
        <v>931</v>
      </c>
      <c r="J1327" t="s">
        <v>2709</v>
      </c>
      <c r="K1327" s="21" t="s">
        <v>2710</v>
      </c>
      <c r="L1327" s="21" t="s">
        <v>935</v>
      </c>
      <c r="M1327" t="s">
        <v>375</v>
      </c>
      <c r="N1327" t="s">
        <v>159</v>
      </c>
      <c r="R1327" t="s">
        <v>937</v>
      </c>
      <c r="S1327" t="s">
        <v>2709</v>
      </c>
      <c r="T1327" t="s">
        <v>1290</v>
      </c>
      <c r="U1327" t="s">
        <v>2036</v>
      </c>
      <c r="V1327" t="s">
        <v>938</v>
      </c>
      <c r="W1327" t="s">
        <v>2708</v>
      </c>
    </row>
    <row r="1328" spans="1:23" ht="15" customHeight="1" x14ac:dyDescent="0.3">
      <c r="A1328" t="s">
        <v>8</v>
      </c>
      <c r="B1328">
        <v>116</v>
      </c>
      <c r="C1328" t="s">
        <v>864</v>
      </c>
      <c r="D1328" t="s">
        <v>931</v>
      </c>
      <c r="E1328" t="s">
        <v>34</v>
      </c>
      <c r="F1328" t="s">
        <v>932</v>
      </c>
      <c r="G1328" t="s">
        <v>36</v>
      </c>
      <c r="H1328" t="s">
        <v>996</v>
      </c>
      <c r="I1328" t="s">
        <v>931</v>
      </c>
      <c r="J1328" t="s">
        <v>2711</v>
      </c>
      <c r="K1328" s="21" t="s">
        <v>2712</v>
      </c>
      <c r="L1328" s="21" t="s">
        <v>935</v>
      </c>
      <c r="M1328" t="s">
        <v>375</v>
      </c>
      <c r="N1328" t="s">
        <v>159</v>
      </c>
      <c r="R1328" t="s">
        <v>937</v>
      </c>
      <c r="S1328" t="s">
        <v>2711</v>
      </c>
      <c r="T1328" t="s">
        <v>1290</v>
      </c>
      <c r="U1328" t="s">
        <v>1296</v>
      </c>
      <c r="V1328" t="s">
        <v>938</v>
      </c>
      <c r="W1328" t="s">
        <v>2708</v>
      </c>
    </row>
    <row r="1329" spans="1:23" ht="15" customHeight="1" x14ac:dyDescent="0.3">
      <c r="A1329" t="s">
        <v>8</v>
      </c>
      <c r="B1329">
        <v>117</v>
      </c>
      <c r="C1329" t="s">
        <v>864</v>
      </c>
      <c r="D1329" t="s">
        <v>2713</v>
      </c>
      <c r="E1329" t="s">
        <v>34</v>
      </c>
      <c r="F1329" t="s">
        <v>2714</v>
      </c>
      <c r="G1329" t="s">
        <v>36</v>
      </c>
      <c r="H1329" t="s">
        <v>2713</v>
      </c>
      <c r="I1329" t="s">
        <v>2713</v>
      </c>
      <c r="J1329" t="s">
        <v>2715</v>
      </c>
      <c r="K1329" t="s">
        <v>2716</v>
      </c>
      <c r="L1329" t="s">
        <v>2716</v>
      </c>
      <c r="M1329" t="s">
        <v>375</v>
      </c>
      <c r="N1329" t="s">
        <v>159</v>
      </c>
      <c r="R1329" t="s">
        <v>2717</v>
      </c>
      <c r="S1329" t="s">
        <v>2715</v>
      </c>
      <c r="T1329" t="s">
        <v>1249</v>
      </c>
      <c r="U1329" t="s">
        <v>1286</v>
      </c>
      <c r="V1329" t="s">
        <v>2718</v>
      </c>
      <c r="W1329" t="s">
        <v>2719</v>
      </c>
    </row>
    <row r="1330" spans="1:23" ht="15" customHeight="1" x14ac:dyDescent="0.3">
      <c r="A1330" t="s">
        <v>8</v>
      </c>
      <c r="B1330">
        <v>119</v>
      </c>
      <c r="C1330" t="s">
        <v>864</v>
      </c>
      <c r="D1330" t="s">
        <v>943</v>
      </c>
      <c r="E1330" t="s">
        <v>34</v>
      </c>
      <c r="F1330" t="s">
        <v>944</v>
      </c>
      <c r="G1330" t="s">
        <v>36</v>
      </c>
      <c r="H1330" t="s">
        <v>37</v>
      </c>
      <c r="I1330" t="s">
        <v>943</v>
      </c>
      <c r="J1330" t="s">
        <v>945</v>
      </c>
      <c r="K1330" t="s">
        <v>946</v>
      </c>
      <c r="L1330" s="21" t="s">
        <v>947</v>
      </c>
      <c r="M1330" t="s">
        <v>41</v>
      </c>
      <c r="N1330" t="s">
        <v>42</v>
      </c>
      <c r="R1330" t="s">
        <v>108</v>
      </c>
      <c r="S1330" t="s">
        <v>945</v>
      </c>
      <c r="T1330" t="s">
        <v>45</v>
      </c>
      <c r="U1330" t="s">
        <v>46</v>
      </c>
      <c r="V1330" t="s">
        <v>949</v>
      </c>
      <c r="W1330" t="s">
        <v>950</v>
      </c>
    </row>
    <row r="1331" spans="1:23" ht="15" customHeight="1" x14ac:dyDescent="0.3">
      <c r="A1331" t="s">
        <v>8</v>
      </c>
      <c r="B1331">
        <v>119</v>
      </c>
      <c r="C1331" t="s">
        <v>864</v>
      </c>
      <c r="D1331" t="s">
        <v>943</v>
      </c>
      <c r="E1331" t="s">
        <v>34</v>
      </c>
      <c r="F1331" t="s">
        <v>944</v>
      </c>
      <c r="G1331" t="s">
        <v>36</v>
      </c>
      <c r="H1331" t="s">
        <v>52</v>
      </c>
      <c r="I1331" t="s">
        <v>943</v>
      </c>
      <c r="J1331" t="s">
        <v>2720</v>
      </c>
      <c r="K1331" s="21" t="s">
        <v>2721</v>
      </c>
      <c r="L1331" s="21" t="s">
        <v>947</v>
      </c>
      <c r="M1331" t="s">
        <v>41</v>
      </c>
      <c r="N1331" t="s">
        <v>42</v>
      </c>
      <c r="R1331" t="s">
        <v>108</v>
      </c>
      <c r="S1331" t="s">
        <v>2720</v>
      </c>
      <c r="T1331" t="s">
        <v>45</v>
      </c>
      <c r="U1331" t="s">
        <v>1257</v>
      </c>
      <c r="V1331" t="s">
        <v>938</v>
      </c>
      <c r="W1331" t="s">
        <v>2722</v>
      </c>
    </row>
    <row r="1332" spans="1:23" ht="15" customHeight="1" x14ac:dyDescent="0.3">
      <c r="A1332" t="s">
        <v>8</v>
      </c>
      <c r="B1332">
        <v>119</v>
      </c>
      <c r="C1332" t="s">
        <v>864</v>
      </c>
      <c r="D1332" t="s">
        <v>943</v>
      </c>
      <c r="E1332" t="s">
        <v>34</v>
      </c>
      <c r="F1332" t="s">
        <v>944</v>
      </c>
      <c r="G1332" t="s">
        <v>36</v>
      </c>
      <c r="H1332" t="s">
        <v>57</v>
      </c>
      <c r="I1332" t="s">
        <v>943</v>
      </c>
      <c r="J1332" t="s">
        <v>951</v>
      </c>
      <c r="K1332" s="21" t="s">
        <v>952</v>
      </c>
      <c r="L1332" s="21" t="s">
        <v>947</v>
      </c>
      <c r="M1332" t="s">
        <v>41</v>
      </c>
      <c r="N1332" t="s">
        <v>42</v>
      </c>
      <c r="R1332" t="s">
        <v>108</v>
      </c>
      <c r="S1332" t="s">
        <v>951</v>
      </c>
      <c r="T1332" t="s">
        <v>45</v>
      </c>
      <c r="U1332" t="s">
        <v>90</v>
      </c>
      <c r="V1332" t="s">
        <v>205</v>
      </c>
      <c r="W1332" t="s">
        <v>953</v>
      </c>
    </row>
    <row r="1333" spans="1:23" ht="15" customHeight="1" x14ac:dyDescent="0.3">
      <c r="A1333" t="s">
        <v>8</v>
      </c>
      <c r="B1333">
        <v>119</v>
      </c>
      <c r="C1333" t="s">
        <v>864</v>
      </c>
      <c r="D1333" t="s">
        <v>943</v>
      </c>
      <c r="E1333" t="s">
        <v>34</v>
      </c>
      <c r="F1333" t="s">
        <v>944</v>
      </c>
      <c r="G1333" t="s">
        <v>36</v>
      </c>
      <c r="H1333" t="s">
        <v>49</v>
      </c>
      <c r="I1333" t="s">
        <v>943</v>
      </c>
      <c r="J1333" t="s">
        <v>2723</v>
      </c>
      <c r="K1333" s="21" t="s">
        <v>2724</v>
      </c>
      <c r="L1333" s="21" t="s">
        <v>947</v>
      </c>
      <c r="M1333" t="s">
        <v>41</v>
      </c>
      <c r="N1333" t="s">
        <v>42</v>
      </c>
      <c r="R1333" t="s">
        <v>108</v>
      </c>
      <c r="S1333" t="s">
        <v>2723</v>
      </c>
      <c r="T1333" t="s">
        <v>1249</v>
      </c>
      <c r="U1333" t="s">
        <v>2407</v>
      </c>
      <c r="V1333" t="s">
        <v>2725</v>
      </c>
      <c r="W1333" t="s">
        <v>2726</v>
      </c>
    </row>
    <row r="1334" spans="1:23" ht="15" customHeight="1" x14ac:dyDescent="0.3">
      <c r="A1334" t="s">
        <v>8</v>
      </c>
      <c r="B1334">
        <v>119</v>
      </c>
      <c r="C1334" t="s">
        <v>864</v>
      </c>
      <c r="D1334" t="s">
        <v>943</v>
      </c>
      <c r="E1334" t="s">
        <v>34</v>
      </c>
      <c r="F1334" t="s">
        <v>944</v>
      </c>
      <c r="G1334" t="s">
        <v>36</v>
      </c>
      <c r="H1334" t="s">
        <v>87</v>
      </c>
      <c r="I1334" t="s">
        <v>943</v>
      </c>
      <c r="J1334" t="s">
        <v>2727</v>
      </c>
      <c r="K1334" s="21" t="s">
        <v>2728</v>
      </c>
      <c r="L1334" s="21" t="s">
        <v>947</v>
      </c>
      <c r="M1334" t="s">
        <v>41</v>
      </c>
      <c r="N1334" t="s">
        <v>42</v>
      </c>
      <c r="R1334" t="s">
        <v>108</v>
      </c>
      <c r="S1334" t="s">
        <v>2727</v>
      </c>
      <c r="T1334" t="s">
        <v>1249</v>
      </c>
      <c r="U1334" t="s">
        <v>1286</v>
      </c>
      <c r="V1334" t="s">
        <v>2725</v>
      </c>
      <c r="W1334" t="s">
        <v>2726</v>
      </c>
    </row>
    <row r="1335" spans="1:23" ht="15" customHeight="1" x14ac:dyDescent="0.3">
      <c r="A1335" t="s">
        <v>8</v>
      </c>
      <c r="B1335">
        <v>193</v>
      </c>
      <c r="C1335" t="s">
        <v>954</v>
      </c>
      <c r="D1335" t="s">
        <v>2729</v>
      </c>
      <c r="E1335" t="s">
        <v>34</v>
      </c>
      <c r="F1335" t="s">
        <v>2730</v>
      </c>
      <c r="G1335" t="s">
        <v>440</v>
      </c>
      <c r="H1335" t="s">
        <v>2729</v>
      </c>
      <c r="I1335" t="s">
        <v>2729</v>
      </c>
      <c r="J1335" t="s">
        <v>2731</v>
      </c>
      <c r="K1335" t="s">
        <v>2732</v>
      </c>
      <c r="L1335" t="s">
        <v>2732</v>
      </c>
      <c r="M1335" t="s">
        <v>2733</v>
      </c>
      <c r="N1335" t="s">
        <v>42</v>
      </c>
      <c r="R1335" t="s">
        <v>2734</v>
      </c>
      <c r="S1335" t="s">
        <v>2731</v>
      </c>
      <c r="T1335" t="s">
        <v>1231</v>
      </c>
      <c r="U1335" t="s">
        <v>2292</v>
      </c>
      <c r="V1335" t="s">
        <v>2735</v>
      </c>
      <c r="W1335" t="s">
        <v>2736</v>
      </c>
    </row>
    <row r="1336" spans="1:23" ht="15" customHeight="1" x14ac:dyDescent="0.3">
      <c r="A1336" t="s">
        <v>8</v>
      </c>
      <c r="B1336">
        <v>194</v>
      </c>
      <c r="C1336" t="s">
        <v>954</v>
      </c>
      <c r="D1336" t="s">
        <v>2737</v>
      </c>
      <c r="E1336" t="s">
        <v>34</v>
      </c>
      <c r="F1336" t="s">
        <v>2738</v>
      </c>
      <c r="G1336" t="s">
        <v>440</v>
      </c>
      <c r="H1336" t="s">
        <v>2737</v>
      </c>
      <c r="I1336" t="s">
        <v>2737</v>
      </c>
      <c r="J1336" t="s">
        <v>2731</v>
      </c>
      <c r="K1336" t="s">
        <v>2732</v>
      </c>
      <c r="L1336" t="s">
        <v>2732</v>
      </c>
      <c r="M1336" t="s">
        <v>2733</v>
      </c>
      <c r="N1336" t="s">
        <v>42</v>
      </c>
      <c r="R1336" t="s">
        <v>2739</v>
      </c>
      <c r="S1336" t="s">
        <v>2731</v>
      </c>
      <c r="T1336" t="s">
        <v>1231</v>
      </c>
      <c r="U1336" t="s">
        <v>2292</v>
      </c>
      <c r="V1336" t="s">
        <v>2735</v>
      </c>
      <c r="W1336" t="s">
        <v>2736</v>
      </c>
    </row>
    <row r="1337" spans="1:23" ht="15" customHeight="1" x14ac:dyDescent="0.3">
      <c r="A1337" t="s">
        <v>8</v>
      </c>
      <c r="B1337">
        <v>186</v>
      </c>
      <c r="C1337" t="s">
        <v>954</v>
      </c>
      <c r="D1337" t="s">
        <v>955</v>
      </c>
      <c r="E1337" t="s">
        <v>34</v>
      </c>
      <c r="F1337" t="s">
        <v>956</v>
      </c>
      <c r="G1337" t="s">
        <v>36</v>
      </c>
      <c r="H1337" t="s">
        <v>37</v>
      </c>
      <c r="I1337" t="s">
        <v>955</v>
      </c>
      <c r="J1337" t="s">
        <v>957</v>
      </c>
      <c r="K1337" t="s">
        <v>958</v>
      </c>
      <c r="L1337" s="21" t="s">
        <v>959</v>
      </c>
      <c r="M1337" t="s">
        <v>960</v>
      </c>
      <c r="N1337" t="s">
        <v>961</v>
      </c>
      <c r="O1337" t="s">
        <v>962</v>
      </c>
      <c r="R1337" t="s">
        <v>964</v>
      </c>
      <c r="S1337" t="s">
        <v>957</v>
      </c>
      <c r="T1337" t="s">
        <v>45</v>
      </c>
      <c r="U1337" t="s">
        <v>46</v>
      </c>
      <c r="V1337" t="s">
        <v>965</v>
      </c>
      <c r="W1337" t="s">
        <v>966</v>
      </c>
    </row>
    <row r="1338" spans="1:23" ht="15" customHeight="1" x14ac:dyDescent="0.3">
      <c r="A1338" t="s">
        <v>8</v>
      </c>
      <c r="B1338">
        <v>186</v>
      </c>
      <c r="C1338" t="s">
        <v>954</v>
      </c>
      <c r="D1338" t="s">
        <v>955</v>
      </c>
      <c r="E1338" t="s">
        <v>34</v>
      </c>
      <c r="F1338" t="s">
        <v>956</v>
      </c>
      <c r="G1338" t="s">
        <v>36</v>
      </c>
      <c r="H1338" t="s">
        <v>37</v>
      </c>
      <c r="I1338" t="s">
        <v>955</v>
      </c>
      <c r="J1338" t="s">
        <v>957</v>
      </c>
      <c r="K1338" t="s">
        <v>958</v>
      </c>
      <c r="L1338" s="21" t="s">
        <v>959</v>
      </c>
      <c r="M1338" t="s">
        <v>960</v>
      </c>
      <c r="N1338" t="s">
        <v>961</v>
      </c>
      <c r="O1338" t="s">
        <v>962</v>
      </c>
      <c r="R1338" t="s">
        <v>967</v>
      </c>
      <c r="S1338" t="s">
        <v>957</v>
      </c>
      <c r="T1338" t="s">
        <v>45</v>
      </c>
      <c r="U1338" t="s">
        <v>46</v>
      </c>
      <c r="V1338" t="s">
        <v>965</v>
      </c>
      <c r="W1338" t="s">
        <v>966</v>
      </c>
    </row>
    <row r="1339" spans="1:23" ht="15" customHeight="1" x14ac:dyDescent="0.3">
      <c r="A1339" t="s">
        <v>8</v>
      </c>
      <c r="B1339">
        <v>186</v>
      </c>
      <c r="C1339" t="s">
        <v>954</v>
      </c>
      <c r="D1339" t="s">
        <v>955</v>
      </c>
      <c r="E1339" t="s">
        <v>34</v>
      </c>
      <c r="F1339" t="s">
        <v>956</v>
      </c>
      <c r="G1339" t="s">
        <v>36</v>
      </c>
      <c r="H1339" t="s">
        <v>37</v>
      </c>
      <c r="I1339" t="s">
        <v>955</v>
      </c>
      <c r="J1339" t="s">
        <v>957</v>
      </c>
      <c r="K1339" t="s">
        <v>958</v>
      </c>
      <c r="L1339" s="21" t="s">
        <v>959</v>
      </c>
      <c r="M1339" t="s">
        <v>960</v>
      </c>
      <c r="N1339" t="s">
        <v>961</v>
      </c>
      <c r="O1339" t="s">
        <v>962</v>
      </c>
      <c r="R1339" t="s">
        <v>971</v>
      </c>
      <c r="S1339" t="s">
        <v>957</v>
      </c>
      <c r="T1339" t="s">
        <v>45</v>
      </c>
      <c r="U1339" t="s">
        <v>46</v>
      </c>
      <c r="V1339" t="s">
        <v>965</v>
      </c>
      <c r="W1339" t="s">
        <v>966</v>
      </c>
    </row>
    <row r="1340" spans="1:23" ht="15" customHeight="1" x14ac:dyDescent="0.3">
      <c r="A1340" t="s">
        <v>8</v>
      </c>
      <c r="B1340">
        <v>186</v>
      </c>
      <c r="C1340" t="s">
        <v>954</v>
      </c>
      <c r="D1340" t="s">
        <v>955</v>
      </c>
      <c r="E1340" t="s">
        <v>34</v>
      </c>
      <c r="F1340" t="s">
        <v>956</v>
      </c>
      <c r="G1340" t="s">
        <v>36</v>
      </c>
      <c r="H1340" t="s">
        <v>37</v>
      </c>
      <c r="I1340" t="s">
        <v>955</v>
      </c>
      <c r="J1340" t="s">
        <v>957</v>
      </c>
      <c r="K1340" t="s">
        <v>958</v>
      </c>
      <c r="L1340" s="21" t="s">
        <v>959</v>
      </c>
      <c r="M1340" t="s">
        <v>960</v>
      </c>
      <c r="N1340" t="s">
        <v>961</v>
      </c>
      <c r="O1340" t="s">
        <v>962</v>
      </c>
      <c r="R1340" t="s">
        <v>976</v>
      </c>
      <c r="S1340" t="s">
        <v>957</v>
      </c>
      <c r="T1340" t="s">
        <v>45</v>
      </c>
      <c r="U1340" t="s">
        <v>46</v>
      </c>
      <c r="V1340" t="s">
        <v>965</v>
      </c>
      <c r="W1340" t="s">
        <v>966</v>
      </c>
    </row>
    <row r="1341" spans="1:23" ht="15" customHeight="1" x14ac:dyDescent="0.3">
      <c r="A1341" t="s">
        <v>8</v>
      </c>
      <c r="B1341">
        <v>186</v>
      </c>
      <c r="C1341" t="s">
        <v>954</v>
      </c>
      <c r="D1341" t="s">
        <v>955</v>
      </c>
      <c r="E1341" t="s">
        <v>34</v>
      </c>
      <c r="F1341" t="s">
        <v>956</v>
      </c>
      <c r="G1341" t="s">
        <v>36</v>
      </c>
      <c r="H1341" t="s">
        <v>52</v>
      </c>
      <c r="I1341" t="s">
        <v>955</v>
      </c>
      <c r="J1341" t="s">
        <v>969</v>
      </c>
      <c r="K1341" s="21" t="s">
        <v>970</v>
      </c>
      <c r="L1341" s="21" t="s">
        <v>959</v>
      </c>
      <c r="M1341" t="s">
        <v>960</v>
      </c>
      <c r="N1341" t="s">
        <v>961</v>
      </c>
      <c r="O1341" t="s">
        <v>962</v>
      </c>
      <c r="R1341" t="s">
        <v>964</v>
      </c>
      <c r="S1341" t="s">
        <v>969</v>
      </c>
      <c r="T1341" t="s">
        <v>45</v>
      </c>
      <c r="U1341" t="s">
        <v>46</v>
      </c>
      <c r="V1341" t="s">
        <v>972</v>
      </c>
      <c r="W1341" t="s">
        <v>973</v>
      </c>
    </row>
    <row r="1342" spans="1:23" ht="15" customHeight="1" x14ac:dyDescent="0.3">
      <c r="A1342" t="s">
        <v>8</v>
      </c>
      <c r="B1342">
        <v>186</v>
      </c>
      <c r="C1342" t="s">
        <v>954</v>
      </c>
      <c r="D1342" t="s">
        <v>955</v>
      </c>
      <c r="E1342" t="s">
        <v>34</v>
      </c>
      <c r="F1342" t="s">
        <v>956</v>
      </c>
      <c r="G1342" t="s">
        <v>36</v>
      </c>
      <c r="H1342" t="s">
        <v>52</v>
      </c>
      <c r="I1342" t="s">
        <v>955</v>
      </c>
      <c r="J1342" t="s">
        <v>969</v>
      </c>
      <c r="K1342" s="21" t="s">
        <v>970</v>
      </c>
      <c r="L1342" s="21" t="s">
        <v>959</v>
      </c>
      <c r="M1342" t="s">
        <v>960</v>
      </c>
      <c r="N1342" t="s">
        <v>961</v>
      </c>
      <c r="O1342" t="s">
        <v>962</v>
      </c>
      <c r="R1342" t="s">
        <v>967</v>
      </c>
      <c r="S1342" t="s">
        <v>969</v>
      </c>
      <c r="T1342" t="s">
        <v>45</v>
      </c>
      <c r="U1342" t="s">
        <v>46</v>
      </c>
      <c r="V1342" t="s">
        <v>972</v>
      </c>
      <c r="W1342" t="s">
        <v>973</v>
      </c>
    </row>
    <row r="1343" spans="1:23" ht="15" customHeight="1" x14ac:dyDescent="0.3">
      <c r="A1343" t="s">
        <v>8</v>
      </c>
      <c r="B1343">
        <v>186</v>
      </c>
      <c r="C1343" t="s">
        <v>954</v>
      </c>
      <c r="D1343" t="s">
        <v>955</v>
      </c>
      <c r="E1343" t="s">
        <v>34</v>
      </c>
      <c r="F1343" t="s">
        <v>956</v>
      </c>
      <c r="G1343" t="s">
        <v>36</v>
      </c>
      <c r="H1343" t="s">
        <v>52</v>
      </c>
      <c r="I1343" t="s">
        <v>955</v>
      </c>
      <c r="J1343" t="s">
        <v>969</v>
      </c>
      <c r="K1343" s="21" t="s">
        <v>970</v>
      </c>
      <c r="L1343" s="21" t="s">
        <v>959</v>
      </c>
      <c r="M1343" t="s">
        <v>960</v>
      </c>
      <c r="N1343" t="s">
        <v>961</v>
      </c>
      <c r="O1343" t="s">
        <v>962</v>
      </c>
      <c r="R1343" t="s">
        <v>971</v>
      </c>
      <c r="S1343" t="s">
        <v>969</v>
      </c>
      <c r="T1343" t="s">
        <v>45</v>
      </c>
      <c r="U1343" t="s">
        <v>46</v>
      </c>
      <c r="V1343" t="s">
        <v>972</v>
      </c>
      <c r="W1343" t="s">
        <v>973</v>
      </c>
    </row>
    <row r="1344" spans="1:23" ht="15" customHeight="1" x14ac:dyDescent="0.3">
      <c r="A1344" t="s">
        <v>8</v>
      </c>
      <c r="B1344">
        <v>186</v>
      </c>
      <c r="C1344" t="s">
        <v>954</v>
      </c>
      <c r="D1344" t="s">
        <v>955</v>
      </c>
      <c r="E1344" t="s">
        <v>34</v>
      </c>
      <c r="F1344" t="s">
        <v>956</v>
      </c>
      <c r="G1344" t="s">
        <v>36</v>
      </c>
      <c r="H1344" t="s">
        <v>52</v>
      </c>
      <c r="I1344" t="s">
        <v>955</v>
      </c>
      <c r="J1344" t="s">
        <v>969</v>
      </c>
      <c r="K1344" s="21" t="s">
        <v>970</v>
      </c>
      <c r="L1344" s="21" t="s">
        <v>959</v>
      </c>
      <c r="M1344" t="s">
        <v>960</v>
      </c>
      <c r="N1344" t="s">
        <v>961</v>
      </c>
      <c r="O1344" t="s">
        <v>962</v>
      </c>
      <c r="R1344" t="s">
        <v>976</v>
      </c>
      <c r="S1344" t="s">
        <v>969</v>
      </c>
      <c r="T1344" t="s">
        <v>45</v>
      </c>
      <c r="U1344" t="s">
        <v>46</v>
      </c>
      <c r="V1344" t="s">
        <v>972</v>
      </c>
      <c r="W1344" t="s">
        <v>973</v>
      </c>
    </row>
    <row r="1345" spans="1:23" ht="15" customHeight="1" x14ac:dyDescent="0.3">
      <c r="A1345" t="s">
        <v>8</v>
      </c>
      <c r="B1345">
        <v>186</v>
      </c>
      <c r="C1345" t="s">
        <v>954</v>
      </c>
      <c r="D1345" t="s">
        <v>955</v>
      </c>
      <c r="E1345" t="s">
        <v>34</v>
      </c>
      <c r="F1345" t="s">
        <v>956</v>
      </c>
      <c r="G1345" t="s">
        <v>36</v>
      </c>
      <c r="H1345" t="s">
        <v>57</v>
      </c>
      <c r="I1345" t="s">
        <v>955</v>
      </c>
      <c r="J1345" t="s">
        <v>974</v>
      </c>
      <c r="K1345" s="21" t="s">
        <v>975</v>
      </c>
      <c r="L1345" s="21" t="s">
        <v>959</v>
      </c>
      <c r="M1345" t="s">
        <v>960</v>
      </c>
      <c r="N1345" t="s">
        <v>961</v>
      </c>
      <c r="O1345" t="s">
        <v>962</v>
      </c>
      <c r="R1345" t="s">
        <v>964</v>
      </c>
      <c r="S1345" t="s">
        <v>974</v>
      </c>
      <c r="T1345" t="s">
        <v>45</v>
      </c>
      <c r="U1345" t="s">
        <v>46</v>
      </c>
      <c r="V1345" t="s">
        <v>977</v>
      </c>
      <c r="W1345" t="s">
        <v>978</v>
      </c>
    </row>
    <row r="1346" spans="1:23" ht="15" customHeight="1" x14ac:dyDescent="0.3">
      <c r="A1346" t="s">
        <v>8</v>
      </c>
      <c r="B1346">
        <v>186</v>
      </c>
      <c r="C1346" t="s">
        <v>954</v>
      </c>
      <c r="D1346" t="s">
        <v>955</v>
      </c>
      <c r="E1346" t="s">
        <v>34</v>
      </c>
      <c r="F1346" t="s">
        <v>956</v>
      </c>
      <c r="G1346" t="s">
        <v>36</v>
      </c>
      <c r="H1346" t="s">
        <v>57</v>
      </c>
      <c r="I1346" t="s">
        <v>955</v>
      </c>
      <c r="J1346" t="s">
        <v>974</v>
      </c>
      <c r="K1346" s="21" t="s">
        <v>975</v>
      </c>
      <c r="L1346" s="21" t="s">
        <v>959</v>
      </c>
      <c r="M1346" t="s">
        <v>960</v>
      </c>
      <c r="N1346" t="s">
        <v>961</v>
      </c>
      <c r="O1346" t="s">
        <v>962</v>
      </c>
      <c r="R1346" t="s">
        <v>967</v>
      </c>
      <c r="S1346" t="s">
        <v>974</v>
      </c>
      <c r="T1346" t="s">
        <v>45</v>
      </c>
      <c r="U1346" t="s">
        <v>46</v>
      </c>
      <c r="V1346" t="s">
        <v>977</v>
      </c>
      <c r="W1346" t="s">
        <v>978</v>
      </c>
    </row>
    <row r="1347" spans="1:23" ht="15" customHeight="1" x14ac:dyDescent="0.3">
      <c r="A1347" t="s">
        <v>8</v>
      </c>
      <c r="B1347">
        <v>186</v>
      </c>
      <c r="C1347" t="s">
        <v>954</v>
      </c>
      <c r="D1347" t="s">
        <v>955</v>
      </c>
      <c r="E1347" t="s">
        <v>34</v>
      </c>
      <c r="F1347" t="s">
        <v>956</v>
      </c>
      <c r="G1347" t="s">
        <v>36</v>
      </c>
      <c r="H1347" t="s">
        <v>57</v>
      </c>
      <c r="I1347" t="s">
        <v>955</v>
      </c>
      <c r="J1347" t="s">
        <v>974</v>
      </c>
      <c r="K1347" s="21" t="s">
        <v>975</v>
      </c>
      <c r="L1347" s="21" t="s">
        <v>959</v>
      </c>
      <c r="M1347" t="s">
        <v>960</v>
      </c>
      <c r="N1347" t="s">
        <v>961</v>
      </c>
      <c r="O1347" t="s">
        <v>962</v>
      </c>
      <c r="R1347" t="s">
        <v>971</v>
      </c>
      <c r="S1347" t="s">
        <v>974</v>
      </c>
      <c r="T1347" t="s">
        <v>45</v>
      </c>
      <c r="U1347" t="s">
        <v>46</v>
      </c>
      <c r="V1347" t="s">
        <v>977</v>
      </c>
      <c r="W1347" t="s">
        <v>978</v>
      </c>
    </row>
    <row r="1348" spans="1:23" ht="15" customHeight="1" x14ac:dyDescent="0.3">
      <c r="A1348" t="s">
        <v>8</v>
      </c>
      <c r="B1348">
        <v>186</v>
      </c>
      <c r="C1348" t="s">
        <v>954</v>
      </c>
      <c r="D1348" t="s">
        <v>955</v>
      </c>
      <c r="E1348" t="s">
        <v>34</v>
      </c>
      <c r="F1348" t="s">
        <v>956</v>
      </c>
      <c r="G1348" t="s">
        <v>36</v>
      </c>
      <c r="H1348" t="s">
        <v>57</v>
      </c>
      <c r="I1348" t="s">
        <v>955</v>
      </c>
      <c r="J1348" t="s">
        <v>974</v>
      </c>
      <c r="K1348" s="21" t="s">
        <v>975</v>
      </c>
      <c r="L1348" s="21" t="s">
        <v>959</v>
      </c>
      <c r="M1348" t="s">
        <v>960</v>
      </c>
      <c r="N1348" t="s">
        <v>961</v>
      </c>
      <c r="O1348" t="s">
        <v>962</v>
      </c>
      <c r="R1348" t="s">
        <v>976</v>
      </c>
      <c r="S1348" t="s">
        <v>974</v>
      </c>
      <c r="T1348" t="s">
        <v>45</v>
      </c>
      <c r="U1348" t="s">
        <v>46</v>
      </c>
      <c r="V1348" t="s">
        <v>977</v>
      </c>
      <c r="W1348" t="s">
        <v>978</v>
      </c>
    </row>
    <row r="1349" spans="1:23" ht="15" customHeight="1" x14ac:dyDescent="0.3">
      <c r="A1349" t="s">
        <v>8</v>
      </c>
      <c r="B1349">
        <v>186</v>
      </c>
      <c r="C1349" t="s">
        <v>954</v>
      </c>
      <c r="D1349" t="s">
        <v>955</v>
      </c>
      <c r="E1349" t="s">
        <v>34</v>
      </c>
      <c r="F1349" t="s">
        <v>956</v>
      </c>
      <c r="G1349" t="s">
        <v>36</v>
      </c>
      <c r="H1349" t="s">
        <v>49</v>
      </c>
      <c r="I1349" t="s">
        <v>955</v>
      </c>
      <c r="J1349" t="s">
        <v>979</v>
      </c>
      <c r="K1349" s="21" t="s">
        <v>980</v>
      </c>
      <c r="L1349" s="21" t="s">
        <v>959</v>
      </c>
      <c r="M1349" t="s">
        <v>960</v>
      </c>
      <c r="N1349" t="s">
        <v>961</v>
      </c>
      <c r="O1349" t="s">
        <v>962</v>
      </c>
      <c r="R1349" t="s">
        <v>964</v>
      </c>
      <c r="S1349" t="s">
        <v>979</v>
      </c>
      <c r="T1349" t="s">
        <v>45</v>
      </c>
      <c r="U1349" t="s">
        <v>46</v>
      </c>
      <c r="V1349" t="s">
        <v>981</v>
      </c>
      <c r="W1349" t="s">
        <v>982</v>
      </c>
    </row>
    <row r="1350" spans="1:23" ht="15" customHeight="1" x14ac:dyDescent="0.3">
      <c r="A1350" t="s">
        <v>8</v>
      </c>
      <c r="B1350">
        <v>186</v>
      </c>
      <c r="C1350" t="s">
        <v>954</v>
      </c>
      <c r="D1350" t="s">
        <v>955</v>
      </c>
      <c r="E1350" t="s">
        <v>34</v>
      </c>
      <c r="F1350" t="s">
        <v>956</v>
      </c>
      <c r="G1350" t="s">
        <v>36</v>
      </c>
      <c r="H1350" t="s">
        <v>49</v>
      </c>
      <c r="I1350" t="s">
        <v>955</v>
      </c>
      <c r="J1350" t="s">
        <v>979</v>
      </c>
      <c r="K1350" s="21" t="s">
        <v>980</v>
      </c>
      <c r="L1350" s="21" t="s">
        <v>959</v>
      </c>
      <c r="M1350" t="s">
        <v>960</v>
      </c>
      <c r="N1350" t="s">
        <v>961</v>
      </c>
      <c r="O1350" t="s">
        <v>962</v>
      </c>
      <c r="R1350" t="s">
        <v>967</v>
      </c>
      <c r="S1350" t="s">
        <v>979</v>
      </c>
      <c r="T1350" t="s">
        <v>45</v>
      </c>
      <c r="U1350" t="s">
        <v>46</v>
      </c>
      <c r="V1350" t="s">
        <v>981</v>
      </c>
      <c r="W1350" t="s">
        <v>982</v>
      </c>
    </row>
    <row r="1351" spans="1:23" ht="15" customHeight="1" x14ac:dyDescent="0.3">
      <c r="A1351" t="s">
        <v>8</v>
      </c>
      <c r="B1351">
        <v>186</v>
      </c>
      <c r="C1351" t="s">
        <v>954</v>
      </c>
      <c r="D1351" t="s">
        <v>955</v>
      </c>
      <c r="E1351" t="s">
        <v>34</v>
      </c>
      <c r="F1351" t="s">
        <v>956</v>
      </c>
      <c r="G1351" t="s">
        <v>36</v>
      </c>
      <c r="H1351" t="s">
        <v>49</v>
      </c>
      <c r="I1351" t="s">
        <v>955</v>
      </c>
      <c r="J1351" t="s">
        <v>979</v>
      </c>
      <c r="K1351" s="21" t="s">
        <v>980</v>
      </c>
      <c r="L1351" s="21" t="s">
        <v>959</v>
      </c>
      <c r="M1351" t="s">
        <v>960</v>
      </c>
      <c r="N1351" t="s">
        <v>961</v>
      </c>
      <c r="O1351" t="s">
        <v>962</v>
      </c>
      <c r="R1351" t="s">
        <v>971</v>
      </c>
      <c r="S1351" t="s">
        <v>979</v>
      </c>
      <c r="T1351" t="s">
        <v>45</v>
      </c>
      <c r="U1351" t="s">
        <v>46</v>
      </c>
      <c r="V1351" t="s">
        <v>981</v>
      </c>
      <c r="W1351" t="s">
        <v>982</v>
      </c>
    </row>
    <row r="1352" spans="1:23" ht="15" customHeight="1" x14ac:dyDescent="0.3">
      <c r="A1352" t="s">
        <v>8</v>
      </c>
      <c r="B1352">
        <v>186</v>
      </c>
      <c r="C1352" t="s">
        <v>954</v>
      </c>
      <c r="D1352" t="s">
        <v>955</v>
      </c>
      <c r="E1352" t="s">
        <v>34</v>
      </c>
      <c r="F1352" t="s">
        <v>956</v>
      </c>
      <c r="G1352" t="s">
        <v>36</v>
      </c>
      <c r="H1352" t="s">
        <v>49</v>
      </c>
      <c r="I1352" t="s">
        <v>955</v>
      </c>
      <c r="J1352" t="s">
        <v>979</v>
      </c>
      <c r="K1352" s="21" t="s">
        <v>980</v>
      </c>
      <c r="L1352" s="21" t="s">
        <v>959</v>
      </c>
      <c r="M1352" t="s">
        <v>960</v>
      </c>
      <c r="N1352" t="s">
        <v>961</v>
      </c>
      <c r="O1352" t="s">
        <v>962</v>
      </c>
      <c r="R1352" t="s">
        <v>976</v>
      </c>
      <c r="S1352" t="s">
        <v>979</v>
      </c>
      <c r="T1352" t="s">
        <v>45</v>
      </c>
      <c r="U1352" t="s">
        <v>46</v>
      </c>
      <c r="V1352" t="s">
        <v>981</v>
      </c>
      <c r="W1352" t="s">
        <v>982</v>
      </c>
    </row>
    <row r="1353" spans="1:23" ht="15" customHeight="1" x14ac:dyDescent="0.3">
      <c r="A1353" t="s">
        <v>8</v>
      </c>
      <c r="B1353">
        <v>186</v>
      </c>
      <c r="C1353" t="s">
        <v>954</v>
      </c>
      <c r="D1353" t="s">
        <v>955</v>
      </c>
      <c r="E1353" t="s">
        <v>34</v>
      </c>
      <c r="F1353" t="s">
        <v>956</v>
      </c>
      <c r="G1353" t="s">
        <v>36</v>
      </c>
      <c r="H1353" t="s">
        <v>87</v>
      </c>
      <c r="I1353" t="s">
        <v>955</v>
      </c>
      <c r="J1353" t="s">
        <v>983</v>
      </c>
      <c r="K1353" s="21" t="s">
        <v>984</v>
      </c>
      <c r="L1353" s="21" t="s">
        <v>959</v>
      </c>
      <c r="M1353" t="s">
        <v>960</v>
      </c>
      <c r="N1353" t="s">
        <v>961</v>
      </c>
      <c r="O1353" t="s">
        <v>962</v>
      </c>
      <c r="R1353" t="s">
        <v>964</v>
      </c>
      <c r="S1353" t="s">
        <v>983</v>
      </c>
      <c r="T1353" t="s">
        <v>45</v>
      </c>
      <c r="U1353" t="s">
        <v>46</v>
      </c>
      <c r="V1353" t="s">
        <v>985</v>
      </c>
      <c r="W1353" t="s">
        <v>986</v>
      </c>
    </row>
    <row r="1354" spans="1:23" ht="15" customHeight="1" x14ac:dyDescent="0.3">
      <c r="A1354" t="s">
        <v>8</v>
      </c>
      <c r="B1354">
        <v>186</v>
      </c>
      <c r="C1354" t="s">
        <v>954</v>
      </c>
      <c r="D1354" t="s">
        <v>955</v>
      </c>
      <c r="E1354" t="s">
        <v>34</v>
      </c>
      <c r="F1354" t="s">
        <v>956</v>
      </c>
      <c r="G1354" t="s">
        <v>36</v>
      </c>
      <c r="H1354" t="s">
        <v>87</v>
      </c>
      <c r="I1354" t="s">
        <v>955</v>
      </c>
      <c r="J1354" t="s">
        <v>983</v>
      </c>
      <c r="K1354" s="21" t="s">
        <v>984</v>
      </c>
      <c r="L1354" s="21" t="s">
        <v>959</v>
      </c>
      <c r="M1354" t="s">
        <v>960</v>
      </c>
      <c r="N1354" t="s">
        <v>961</v>
      </c>
      <c r="O1354" t="s">
        <v>962</v>
      </c>
      <c r="R1354" t="s">
        <v>967</v>
      </c>
      <c r="S1354" t="s">
        <v>983</v>
      </c>
      <c r="T1354" t="s">
        <v>45</v>
      </c>
      <c r="U1354" t="s">
        <v>46</v>
      </c>
      <c r="V1354" t="s">
        <v>985</v>
      </c>
      <c r="W1354" t="s">
        <v>986</v>
      </c>
    </row>
    <row r="1355" spans="1:23" ht="15" customHeight="1" x14ac:dyDescent="0.3">
      <c r="A1355" t="s">
        <v>8</v>
      </c>
      <c r="B1355">
        <v>186</v>
      </c>
      <c r="C1355" t="s">
        <v>954</v>
      </c>
      <c r="D1355" t="s">
        <v>955</v>
      </c>
      <c r="E1355" t="s">
        <v>34</v>
      </c>
      <c r="F1355" t="s">
        <v>956</v>
      </c>
      <c r="G1355" t="s">
        <v>36</v>
      </c>
      <c r="H1355" t="s">
        <v>87</v>
      </c>
      <c r="I1355" t="s">
        <v>955</v>
      </c>
      <c r="J1355" t="s">
        <v>983</v>
      </c>
      <c r="K1355" s="21" t="s">
        <v>984</v>
      </c>
      <c r="L1355" s="21" t="s">
        <v>959</v>
      </c>
      <c r="M1355" t="s">
        <v>960</v>
      </c>
      <c r="N1355" t="s">
        <v>961</v>
      </c>
      <c r="O1355" t="s">
        <v>962</v>
      </c>
      <c r="R1355" t="s">
        <v>971</v>
      </c>
      <c r="S1355" t="s">
        <v>983</v>
      </c>
      <c r="T1355" t="s">
        <v>45</v>
      </c>
      <c r="U1355" t="s">
        <v>46</v>
      </c>
      <c r="V1355" t="s">
        <v>985</v>
      </c>
      <c r="W1355" t="s">
        <v>986</v>
      </c>
    </row>
    <row r="1356" spans="1:23" ht="15" customHeight="1" x14ac:dyDescent="0.3">
      <c r="A1356" t="s">
        <v>8</v>
      </c>
      <c r="B1356">
        <v>186</v>
      </c>
      <c r="C1356" t="s">
        <v>954</v>
      </c>
      <c r="D1356" t="s">
        <v>955</v>
      </c>
      <c r="E1356" t="s">
        <v>34</v>
      </c>
      <c r="F1356" t="s">
        <v>956</v>
      </c>
      <c r="G1356" t="s">
        <v>36</v>
      </c>
      <c r="H1356" t="s">
        <v>87</v>
      </c>
      <c r="I1356" t="s">
        <v>955</v>
      </c>
      <c r="J1356" t="s">
        <v>983</v>
      </c>
      <c r="K1356" s="21" t="s">
        <v>984</v>
      </c>
      <c r="L1356" s="21" t="s">
        <v>959</v>
      </c>
      <c r="M1356" t="s">
        <v>960</v>
      </c>
      <c r="N1356" t="s">
        <v>961</v>
      </c>
      <c r="O1356" t="s">
        <v>962</v>
      </c>
      <c r="R1356" t="s">
        <v>976</v>
      </c>
      <c r="S1356" t="s">
        <v>983</v>
      </c>
      <c r="T1356" t="s">
        <v>45</v>
      </c>
      <c r="U1356" t="s">
        <v>46</v>
      </c>
      <c r="V1356" t="s">
        <v>985</v>
      </c>
      <c r="W1356" t="s">
        <v>986</v>
      </c>
    </row>
    <row r="1357" spans="1:23" ht="15" customHeight="1" x14ac:dyDescent="0.3">
      <c r="A1357" t="s">
        <v>8</v>
      </c>
      <c r="B1357">
        <v>186</v>
      </c>
      <c r="C1357" t="s">
        <v>954</v>
      </c>
      <c r="D1357" t="s">
        <v>955</v>
      </c>
      <c r="E1357" t="s">
        <v>34</v>
      </c>
      <c r="F1357" t="s">
        <v>956</v>
      </c>
      <c r="G1357" t="s">
        <v>36</v>
      </c>
      <c r="H1357" t="s">
        <v>421</v>
      </c>
      <c r="I1357" t="s">
        <v>955</v>
      </c>
      <c r="J1357" t="s">
        <v>987</v>
      </c>
      <c r="K1357" s="21" t="s">
        <v>988</v>
      </c>
      <c r="L1357" s="21" t="s">
        <v>959</v>
      </c>
      <c r="M1357" t="s">
        <v>960</v>
      </c>
      <c r="N1357" t="s">
        <v>961</v>
      </c>
      <c r="O1357" t="s">
        <v>962</v>
      </c>
      <c r="R1357" t="s">
        <v>964</v>
      </c>
      <c r="S1357" t="s">
        <v>987</v>
      </c>
      <c r="T1357" t="s">
        <v>45</v>
      </c>
      <c r="U1357" t="s">
        <v>46</v>
      </c>
      <c r="V1357" t="s">
        <v>991</v>
      </c>
      <c r="W1357" t="s">
        <v>992</v>
      </c>
    </row>
    <row r="1358" spans="1:23" ht="15" customHeight="1" x14ac:dyDescent="0.3">
      <c r="A1358" t="s">
        <v>8</v>
      </c>
      <c r="B1358">
        <v>186</v>
      </c>
      <c r="C1358" t="s">
        <v>954</v>
      </c>
      <c r="D1358" t="s">
        <v>955</v>
      </c>
      <c r="E1358" t="s">
        <v>34</v>
      </c>
      <c r="F1358" t="s">
        <v>956</v>
      </c>
      <c r="G1358" t="s">
        <v>36</v>
      </c>
      <c r="H1358" t="s">
        <v>421</v>
      </c>
      <c r="I1358" t="s">
        <v>955</v>
      </c>
      <c r="J1358" t="s">
        <v>987</v>
      </c>
      <c r="K1358" s="21" t="s">
        <v>988</v>
      </c>
      <c r="L1358" s="21" t="s">
        <v>959</v>
      </c>
      <c r="M1358" t="s">
        <v>960</v>
      </c>
      <c r="N1358" t="s">
        <v>961</v>
      </c>
      <c r="O1358" t="s">
        <v>962</v>
      </c>
      <c r="R1358" t="s">
        <v>967</v>
      </c>
      <c r="S1358" t="s">
        <v>987</v>
      </c>
      <c r="T1358" t="s">
        <v>45</v>
      </c>
      <c r="U1358" t="s">
        <v>46</v>
      </c>
      <c r="V1358" t="s">
        <v>991</v>
      </c>
      <c r="W1358" t="s">
        <v>992</v>
      </c>
    </row>
    <row r="1359" spans="1:23" ht="15" customHeight="1" x14ac:dyDescent="0.3">
      <c r="A1359" t="s">
        <v>8</v>
      </c>
      <c r="B1359">
        <v>186</v>
      </c>
      <c r="C1359" t="s">
        <v>954</v>
      </c>
      <c r="D1359" t="s">
        <v>955</v>
      </c>
      <c r="E1359" t="s">
        <v>34</v>
      </c>
      <c r="F1359" t="s">
        <v>956</v>
      </c>
      <c r="G1359" t="s">
        <v>36</v>
      </c>
      <c r="H1359" t="s">
        <v>421</v>
      </c>
      <c r="I1359" t="s">
        <v>955</v>
      </c>
      <c r="J1359" t="s">
        <v>987</v>
      </c>
      <c r="K1359" s="21" t="s">
        <v>988</v>
      </c>
      <c r="L1359" s="21" t="s">
        <v>959</v>
      </c>
      <c r="M1359" t="s">
        <v>960</v>
      </c>
      <c r="N1359" t="s">
        <v>961</v>
      </c>
      <c r="O1359" t="s">
        <v>962</v>
      </c>
      <c r="R1359" t="s">
        <v>971</v>
      </c>
      <c r="S1359" t="s">
        <v>987</v>
      </c>
      <c r="T1359" t="s">
        <v>45</v>
      </c>
      <c r="U1359" t="s">
        <v>46</v>
      </c>
      <c r="V1359" t="s">
        <v>991</v>
      </c>
      <c r="W1359" t="s">
        <v>992</v>
      </c>
    </row>
    <row r="1360" spans="1:23" ht="15" customHeight="1" x14ac:dyDescent="0.3">
      <c r="A1360" t="s">
        <v>8</v>
      </c>
      <c r="B1360">
        <v>186</v>
      </c>
      <c r="C1360" t="s">
        <v>954</v>
      </c>
      <c r="D1360" t="s">
        <v>955</v>
      </c>
      <c r="E1360" t="s">
        <v>34</v>
      </c>
      <c r="F1360" t="s">
        <v>956</v>
      </c>
      <c r="G1360" t="s">
        <v>36</v>
      </c>
      <c r="H1360" t="s">
        <v>421</v>
      </c>
      <c r="I1360" t="s">
        <v>955</v>
      </c>
      <c r="J1360" t="s">
        <v>987</v>
      </c>
      <c r="K1360" s="21" t="s">
        <v>988</v>
      </c>
      <c r="L1360" s="21" t="s">
        <v>959</v>
      </c>
      <c r="M1360" t="s">
        <v>960</v>
      </c>
      <c r="N1360" t="s">
        <v>961</v>
      </c>
      <c r="O1360" t="s">
        <v>962</v>
      </c>
      <c r="R1360" t="s">
        <v>976</v>
      </c>
      <c r="S1360" t="s">
        <v>987</v>
      </c>
      <c r="T1360" t="s">
        <v>45</v>
      </c>
      <c r="U1360" t="s">
        <v>46</v>
      </c>
      <c r="V1360" t="s">
        <v>991</v>
      </c>
      <c r="W1360" t="s">
        <v>992</v>
      </c>
    </row>
    <row r="1361" spans="1:23" ht="15" customHeight="1" x14ac:dyDescent="0.3">
      <c r="A1361" t="s">
        <v>8</v>
      </c>
      <c r="B1361">
        <v>186</v>
      </c>
      <c r="C1361" t="s">
        <v>954</v>
      </c>
      <c r="D1361" t="s">
        <v>955</v>
      </c>
      <c r="E1361" t="s">
        <v>34</v>
      </c>
      <c r="F1361" t="s">
        <v>956</v>
      </c>
      <c r="G1361" t="s">
        <v>36</v>
      </c>
      <c r="H1361" t="s">
        <v>182</v>
      </c>
      <c r="I1361" t="s">
        <v>955</v>
      </c>
      <c r="J1361" t="s">
        <v>2740</v>
      </c>
      <c r="K1361" s="21" t="s">
        <v>2741</v>
      </c>
      <c r="L1361" s="21" t="s">
        <v>959</v>
      </c>
      <c r="M1361" t="s">
        <v>960</v>
      </c>
      <c r="N1361" t="s">
        <v>961</v>
      </c>
      <c r="O1361" t="s">
        <v>962</v>
      </c>
      <c r="R1361" t="s">
        <v>964</v>
      </c>
      <c r="S1361" t="s">
        <v>2740</v>
      </c>
      <c r="T1361" t="s">
        <v>45</v>
      </c>
      <c r="U1361" t="s">
        <v>1486</v>
      </c>
      <c r="V1361" t="s">
        <v>965</v>
      </c>
      <c r="W1361" t="s">
        <v>2742</v>
      </c>
    </row>
    <row r="1362" spans="1:23" ht="15" customHeight="1" x14ac:dyDescent="0.3">
      <c r="A1362" t="s">
        <v>8</v>
      </c>
      <c r="B1362">
        <v>186</v>
      </c>
      <c r="C1362" t="s">
        <v>954</v>
      </c>
      <c r="D1362" t="s">
        <v>955</v>
      </c>
      <c r="E1362" t="s">
        <v>34</v>
      </c>
      <c r="F1362" t="s">
        <v>956</v>
      </c>
      <c r="G1362" t="s">
        <v>36</v>
      </c>
      <c r="H1362" t="s">
        <v>182</v>
      </c>
      <c r="I1362" t="s">
        <v>955</v>
      </c>
      <c r="J1362" t="s">
        <v>2740</v>
      </c>
      <c r="K1362" s="21" t="s">
        <v>2741</v>
      </c>
      <c r="L1362" s="21" t="s">
        <v>959</v>
      </c>
      <c r="M1362" t="s">
        <v>960</v>
      </c>
      <c r="N1362" t="s">
        <v>961</v>
      </c>
      <c r="O1362" t="s">
        <v>962</v>
      </c>
      <c r="R1362" t="s">
        <v>967</v>
      </c>
      <c r="S1362" t="s">
        <v>2740</v>
      </c>
      <c r="T1362" t="s">
        <v>45</v>
      </c>
      <c r="U1362" t="s">
        <v>1486</v>
      </c>
      <c r="V1362" t="s">
        <v>965</v>
      </c>
      <c r="W1362" t="s">
        <v>2742</v>
      </c>
    </row>
    <row r="1363" spans="1:23" ht="15" customHeight="1" x14ac:dyDescent="0.3">
      <c r="A1363" t="s">
        <v>8</v>
      </c>
      <c r="B1363">
        <v>186</v>
      </c>
      <c r="C1363" t="s">
        <v>954</v>
      </c>
      <c r="D1363" t="s">
        <v>955</v>
      </c>
      <c r="E1363" t="s">
        <v>34</v>
      </c>
      <c r="F1363" t="s">
        <v>956</v>
      </c>
      <c r="G1363" t="s">
        <v>36</v>
      </c>
      <c r="H1363" t="s">
        <v>182</v>
      </c>
      <c r="I1363" t="s">
        <v>955</v>
      </c>
      <c r="J1363" t="s">
        <v>2740</v>
      </c>
      <c r="K1363" s="21" t="s">
        <v>2741</v>
      </c>
      <c r="L1363" s="21" t="s">
        <v>959</v>
      </c>
      <c r="M1363" t="s">
        <v>960</v>
      </c>
      <c r="N1363" t="s">
        <v>961</v>
      </c>
      <c r="O1363" t="s">
        <v>962</v>
      </c>
      <c r="R1363" t="s">
        <v>971</v>
      </c>
      <c r="S1363" t="s">
        <v>2740</v>
      </c>
      <c r="T1363" t="s">
        <v>45</v>
      </c>
      <c r="U1363" t="s">
        <v>1486</v>
      </c>
      <c r="V1363" t="s">
        <v>965</v>
      </c>
      <c r="W1363" t="s">
        <v>2742</v>
      </c>
    </row>
    <row r="1364" spans="1:23" ht="15" customHeight="1" x14ac:dyDescent="0.3">
      <c r="A1364" t="s">
        <v>8</v>
      </c>
      <c r="B1364">
        <v>186</v>
      </c>
      <c r="C1364" t="s">
        <v>954</v>
      </c>
      <c r="D1364" t="s">
        <v>955</v>
      </c>
      <c r="E1364" t="s">
        <v>34</v>
      </c>
      <c r="F1364" t="s">
        <v>956</v>
      </c>
      <c r="G1364" t="s">
        <v>36</v>
      </c>
      <c r="H1364" t="s">
        <v>182</v>
      </c>
      <c r="I1364" t="s">
        <v>955</v>
      </c>
      <c r="J1364" t="s">
        <v>2740</v>
      </c>
      <c r="K1364" s="21" t="s">
        <v>2741</v>
      </c>
      <c r="L1364" s="21" t="s">
        <v>959</v>
      </c>
      <c r="M1364" t="s">
        <v>960</v>
      </c>
      <c r="N1364" t="s">
        <v>961</v>
      </c>
      <c r="O1364" t="s">
        <v>962</v>
      </c>
      <c r="R1364" t="s">
        <v>976</v>
      </c>
      <c r="S1364" t="s">
        <v>2740</v>
      </c>
      <c r="T1364" t="s">
        <v>45</v>
      </c>
      <c r="U1364" t="s">
        <v>1486</v>
      </c>
      <c r="V1364" t="s">
        <v>965</v>
      </c>
      <c r="W1364" t="s">
        <v>2742</v>
      </c>
    </row>
    <row r="1365" spans="1:23" ht="15" customHeight="1" x14ac:dyDescent="0.3">
      <c r="A1365" t="s">
        <v>8</v>
      </c>
      <c r="B1365">
        <v>186</v>
      </c>
      <c r="C1365" t="s">
        <v>954</v>
      </c>
      <c r="D1365" t="s">
        <v>955</v>
      </c>
      <c r="E1365" t="s">
        <v>34</v>
      </c>
      <c r="F1365" t="s">
        <v>956</v>
      </c>
      <c r="G1365" t="s">
        <v>36</v>
      </c>
      <c r="H1365" t="s">
        <v>1242</v>
      </c>
      <c r="I1365" t="s">
        <v>955</v>
      </c>
      <c r="J1365" t="s">
        <v>2743</v>
      </c>
      <c r="K1365" s="21" t="s">
        <v>2744</v>
      </c>
      <c r="L1365" s="21" t="s">
        <v>959</v>
      </c>
      <c r="M1365" t="s">
        <v>960</v>
      </c>
      <c r="N1365" t="s">
        <v>961</v>
      </c>
      <c r="O1365" t="s">
        <v>962</v>
      </c>
      <c r="R1365" t="s">
        <v>964</v>
      </c>
      <c r="S1365" t="s">
        <v>2743</v>
      </c>
      <c r="T1365" t="s">
        <v>45</v>
      </c>
      <c r="U1365" t="s">
        <v>1257</v>
      </c>
      <c r="V1365" t="s">
        <v>965</v>
      </c>
      <c r="W1365" t="s">
        <v>2745</v>
      </c>
    </row>
    <row r="1366" spans="1:23" ht="15" customHeight="1" x14ac:dyDescent="0.3">
      <c r="A1366" t="s">
        <v>8</v>
      </c>
      <c r="B1366">
        <v>186</v>
      </c>
      <c r="C1366" t="s">
        <v>954</v>
      </c>
      <c r="D1366" t="s">
        <v>955</v>
      </c>
      <c r="E1366" t="s">
        <v>34</v>
      </c>
      <c r="F1366" t="s">
        <v>956</v>
      </c>
      <c r="G1366" t="s">
        <v>36</v>
      </c>
      <c r="H1366" t="s">
        <v>1242</v>
      </c>
      <c r="I1366" t="s">
        <v>955</v>
      </c>
      <c r="J1366" t="s">
        <v>2743</v>
      </c>
      <c r="K1366" s="21" t="s">
        <v>2744</v>
      </c>
      <c r="L1366" s="21" t="s">
        <v>959</v>
      </c>
      <c r="M1366" t="s">
        <v>960</v>
      </c>
      <c r="N1366" t="s">
        <v>961</v>
      </c>
      <c r="O1366" t="s">
        <v>962</v>
      </c>
      <c r="R1366" t="s">
        <v>967</v>
      </c>
      <c r="S1366" t="s">
        <v>2743</v>
      </c>
      <c r="T1366" t="s">
        <v>45</v>
      </c>
      <c r="U1366" t="s">
        <v>1257</v>
      </c>
      <c r="V1366" t="s">
        <v>965</v>
      </c>
      <c r="W1366" t="s">
        <v>2745</v>
      </c>
    </row>
    <row r="1367" spans="1:23" ht="15" customHeight="1" x14ac:dyDescent="0.3">
      <c r="A1367" t="s">
        <v>8</v>
      </c>
      <c r="B1367">
        <v>186</v>
      </c>
      <c r="C1367" t="s">
        <v>954</v>
      </c>
      <c r="D1367" t="s">
        <v>955</v>
      </c>
      <c r="E1367" t="s">
        <v>34</v>
      </c>
      <c r="F1367" t="s">
        <v>956</v>
      </c>
      <c r="G1367" t="s">
        <v>36</v>
      </c>
      <c r="H1367" t="s">
        <v>1242</v>
      </c>
      <c r="I1367" t="s">
        <v>955</v>
      </c>
      <c r="J1367" t="s">
        <v>2743</v>
      </c>
      <c r="K1367" s="21" t="s">
        <v>2744</v>
      </c>
      <c r="L1367" s="21" t="s">
        <v>959</v>
      </c>
      <c r="M1367" t="s">
        <v>960</v>
      </c>
      <c r="N1367" t="s">
        <v>961</v>
      </c>
      <c r="O1367" t="s">
        <v>962</v>
      </c>
      <c r="R1367" t="s">
        <v>971</v>
      </c>
      <c r="S1367" t="s">
        <v>2743</v>
      </c>
      <c r="T1367" t="s">
        <v>45</v>
      </c>
      <c r="U1367" t="s">
        <v>1257</v>
      </c>
      <c r="V1367" t="s">
        <v>965</v>
      </c>
      <c r="W1367" t="s">
        <v>2745</v>
      </c>
    </row>
    <row r="1368" spans="1:23" ht="15" customHeight="1" x14ac:dyDescent="0.3">
      <c r="A1368" t="s">
        <v>8</v>
      </c>
      <c r="B1368">
        <v>186</v>
      </c>
      <c r="C1368" t="s">
        <v>954</v>
      </c>
      <c r="D1368" t="s">
        <v>955</v>
      </c>
      <c r="E1368" t="s">
        <v>34</v>
      </c>
      <c r="F1368" t="s">
        <v>956</v>
      </c>
      <c r="G1368" t="s">
        <v>36</v>
      </c>
      <c r="H1368" t="s">
        <v>1242</v>
      </c>
      <c r="I1368" t="s">
        <v>955</v>
      </c>
      <c r="J1368" t="s">
        <v>2743</v>
      </c>
      <c r="K1368" s="21" t="s">
        <v>2744</v>
      </c>
      <c r="L1368" s="21" t="s">
        <v>959</v>
      </c>
      <c r="M1368" t="s">
        <v>960</v>
      </c>
      <c r="N1368" t="s">
        <v>961</v>
      </c>
      <c r="O1368" t="s">
        <v>962</v>
      </c>
      <c r="R1368" t="s">
        <v>976</v>
      </c>
      <c r="S1368" t="s">
        <v>2743</v>
      </c>
      <c r="T1368" t="s">
        <v>45</v>
      </c>
      <c r="U1368" t="s">
        <v>1257</v>
      </c>
      <c r="V1368" t="s">
        <v>965</v>
      </c>
      <c r="W1368" t="s">
        <v>2745</v>
      </c>
    </row>
    <row r="1369" spans="1:23" ht="15" customHeight="1" x14ac:dyDescent="0.3">
      <c r="A1369" t="s">
        <v>8</v>
      </c>
      <c r="B1369">
        <v>186</v>
      </c>
      <c r="C1369" t="s">
        <v>954</v>
      </c>
      <c r="D1369" t="s">
        <v>955</v>
      </c>
      <c r="E1369" t="s">
        <v>34</v>
      </c>
      <c r="F1369" t="s">
        <v>956</v>
      </c>
      <c r="G1369" t="s">
        <v>36</v>
      </c>
      <c r="H1369" t="s">
        <v>425</v>
      </c>
      <c r="I1369" t="s">
        <v>955</v>
      </c>
      <c r="J1369" t="s">
        <v>993</v>
      </c>
      <c r="K1369" s="21" t="s">
        <v>994</v>
      </c>
      <c r="L1369" s="21" t="s">
        <v>959</v>
      </c>
      <c r="M1369" t="s">
        <v>960</v>
      </c>
      <c r="N1369" t="s">
        <v>961</v>
      </c>
      <c r="O1369" t="s">
        <v>962</v>
      </c>
      <c r="R1369" t="s">
        <v>964</v>
      </c>
      <c r="S1369" t="s">
        <v>993</v>
      </c>
      <c r="T1369" t="s">
        <v>45</v>
      </c>
      <c r="U1369" t="s">
        <v>90</v>
      </c>
      <c r="V1369" t="s">
        <v>965</v>
      </c>
      <c r="W1369" t="s">
        <v>995</v>
      </c>
    </row>
    <row r="1370" spans="1:23" ht="15" customHeight="1" x14ac:dyDescent="0.3">
      <c r="A1370" t="s">
        <v>8</v>
      </c>
      <c r="B1370">
        <v>186</v>
      </c>
      <c r="C1370" t="s">
        <v>954</v>
      </c>
      <c r="D1370" t="s">
        <v>955</v>
      </c>
      <c r="E1370" t="s">
        <v>34</v>
      </c>
      <c r="F1370" t="s">
        <v>956</v>
      </c>
      <c r="G1370" t="s">
        <v>36</v>
      </c>
      <c r="H1370" t="s">
        <v>425</v>
      </c>
      <c r="I1370" t="s">
        <v>955</v>
      </c>
      <c r="J1370" t="s">
        <v>993</v>
      </c>
      <c r="K1370" s="21" t="s">
        <v>994</v>
      </c>
      <c r="L1370" s="21" t="s">
        <v>959</v>
      </c>
      <c r="M1370" t="s">
        <v>960</v>
      </c>
      <c r="N1370" t="s">
        <v>961</v>
      </c>
      <c r="O1370" t="s">
        <v>962</v>
      </c>
      <c r="R1370" t="s">
        <v>967</v>
      </c>
      <c r="S1370" t="s">
        <v>993</v>
      </c>
      <c r="T1370" t="s">
        <v>45</v>
      </c>
      <c r="U1370" t="s">
        <v>90</v>
      </c>
      <c r="V1370" t="s">
        <v>965</v>
      </c>
      <c r="W1370" t="s">
        <v>995</v>
      </c>
    </row>
    <row r="1371" spans="1:23" ht="15" customHeight="1" x14ac:dyDescent="0.3">
      <c r="A1371" t="s">
        <v>8</v>
      </c>
      <c r="B1371">
        <v>186</v>
      </c>
      <c r="C1371" t="s">
        <v>954</v>
      </c>
      <c r="D1371" t="s">
        <v>955</v>
      </c>
      <c r="E1371" t="s">
        <v>34</v>
      </c>
      <c r="F1371" t="s">
        <v>956</v>
      </c>
      <c r="G1371" t="s">
        <v>36</v>
      </c>
      <c r="H1371" t="s">
        <v>425</v>
      </c>
      <c r="I1371" t="s">
        <v>955</v>
      </c>
      <c r="J1371" t="s">
        <v>993</v>
      </c>
      <c r="K1371" s="21" t="s">
        <v>994</v>
      </c>
      <c r="L1371" s="21" t="s">
        <v>959</v>
      </c>
      <c r="M1371" t="s">
        <v>960</v>
      </c>
      <c r="N1371" t="s">
        <v>961</v>
      </c>
      <c r="O1371" t="s">
        <v>962</v>
      </c>
      <c r="R1371" t="s">
        <v>971</v>
      </c>
      <c r="S1371" t="s">
        <v>993</v>
      </c>
      <c r="T1371" t="s">
        <v>45</v>
      </c>
      <c r="U1371" t="s">
        <v>90</v>
      </c>
      <c r="V1371" t="s">
        <v>965</v>
      </c>
      <c r="W1371" t="s">
        <v>995</v>
      </c>
    </row>
    <row r="1372" spans="1:23" ht="15" customHeight="1" x14ac:dyDescent="0.3">
      <c r="A1372" t="s">
        <v>8</v>
      </c>
      <c r="B1372">
        <v>186</v>
      </c>
      <c r="C1372" t="s">
        <v>954</v>
      </c>
      <c r="D1372" t="s">
        <v>955</v>
      </c>
      <c r="E1372" t="s">
        <v>34</v>
      </c>
      <c r="F1372" t="s">
        <v>956</v>
      </c>
      <c r="G1372" t="s">
        <v>36</v>
      </c>
      <c r="H1372" t="s">
        <v>425</v>
      </c>
      <c r="I1372" t="s">
        <v>955</v>
      </c>
      <c r="J1372" t="s">
        <v>993</v>
      </c>
      <c r="K1372" s="21" t="s">
        <v>994</v>
      </c>
      <c r="L1372" s="21" t="s">
        <v>959</v>
      </c>
      <c r="M1372" t="s">
        <v>960</v>
      </c>
      <c r="N1372" t="s">
        <v>961</v>
      </c>
      <c r="O1372" t="s">
        <v>962</v>
      </c>
      <c r="R1372" t="s">
        <v>976</v>
      </c>
      <c r="S1372" t="s">
        <v>993</v>
      </c>
      <c r="T1372" t="s">
        <v>45</v>
      </c>
      <c r="U1372" t="s">
        <v>90</v>
      </c>
      <c r="V1372" t="s">
        <v>965</v>
      </c>
      <c r="W1372" t="s">
        <v>995</v>
      </c>
    </row>
    <row r="1373" spans="1:23" ht="15" customHeight="1" x14ac:dyDescent="0.3">
      <c r="A1373" t="s">
        <v>8</v>
      </c>
      <c r="B1373">
        <v>186</v>
      </c>
      <c r="C1373" t="s">
        <v>954</v>
      </c>
      <c r="D1373" t="s">
        <v>955</v>
      </c>
      <c r="E1373" t="s">
        <v>34</v>
      </c>
      <c r="F1373" t="s">
        <v>956</v>
      </c>
      <c r="G1373" t="s">
        <v>36</v>
      </c>
      <c r="H1373" t="s">
        <v>996</v>
      </c>
      <c r="I1373" t="s">
        <v>955</v>
      </c>
      <c r="J1373" t="s">
        <v>997</v>
      </c>
      <c r="K1373" s="21" t="s">
        <v>998</v>
      </c>
      <c r="L1373" s="21" t="s">
        <v>959</v>
      </c>
      <c r="M1373" t="s">
        <v>960</v>
      </c>
      <c r="N1373" t="s">
        <v>961</v>
      </c>
      <c r="O1373" t="s">
        <v>962</v>
      </c>
      <c r="R1373" t="s">
        <v>964</v>
      </c>
      <c r="S1373" t="s">
        <v>997</v>
      </c>
      <c r="T1373" t="s">
        <v>45</v>
      </c>
      <c r="U1373" t="s">
        <v>90</v>
      </c>
      <c r="V1373" t="s">
        <v>972</v>
      </c>
      <c r="W1373" t="s">
        <v>999</v>
      </c>
    </row>
    <row r="1374" spans="1:23" ht="15" customHeight="1" x14ac:dyDescent="0.3">
      <c r="A1374" t="s">
        <v>8</v>
      </c>
      <c r="B1374">
        <v>186</v>
      </c>
      <c r="C1374" t="s">
        <v>954</v>
      </c>
      <c r="D1374" t="s">
        <v>955</v>
      </c>
      <c r="E1374" t="s">
        <v>34</v>
      </c>
      <c r="F1374" t="s">
        <v>956</v>
      </c>
      <c r="G1374" t="s">
        <v>36</v>
      </c>
      <c r="H1374" t="s">
        <v>996</v>
      </c>
      <c r="I1374" t="s">
        <v>955</v>
      </c>
      <c r="J1374" t="s">
        <v>997</v>
      </c>
      <c r="K1374" s="21" t="s">
        <v>998</v>
      </c>
      <c r="L1374" s="21" t="s">
        <v>959</v>
      </c>
      <c r="M1374" t="s">
        <v>960</v>
      </c>
      <c r="N1374" t="s">
        <v>961</v>
      </c>
      <c r="O1374" t="s">
        <v>962</v>
      </c>
      <c r="R1374" t="s">
        <v>967</v>
      </c>
      <c r="S1374" t="s">
        <v>997</v>
      </c>
      <c r="T1374" t="s">
        <v>45</v>
      </c>
      <c r="U1374" t="s">
        <v>90</v>
      </c>
      <c r="V1374" t="s">
        <v>972</v>
      </c>
      <c r="W1374" t="s">
        <v>999</v>
      </c>
    </row>
    <row r="1375" spans="1:23" ht="15" customHeight="1" x14ac:dyDescent="0.3">
      <c r="A1375" t="s">
        <v>8</v>
      </c>
      <c r="B1375">
        <v>186</v>
      </c>
      <c r="C1375" t="s">
        <v>954</v>
      </c>
      <c r="D1375" t="s">
        <v>955</v>
      </c>
      <c r="E1375" t="s">
        <v>34</v>
      </c>
      <c r="F1375" t="s">
        <v>956</v>
      </c>
      <c r="G1375" t="s">
        <v>36</v>
      </c>
      <c r="H1375" t="s">
        <v>996</v>
      </c>
      <c r="I1375" t="s">
        <v>955</v>
      </c>
      <c r="J1375" t="s">
        <v>997</v>
      </c>
      <c r="K1375" s="21" t="s">
        <v>998</v>
      </c>
      <c r="L1375" s="21" t="s">
        <v>959</v>
      </c>
      <c r="M1375" t="s">
        <v>960</v>
      </c>
      <c r="N1375" t="s">
        <v>961</v>
      </c>
      <c r="O1375" t="s">
        <v>962</v>
      </c>
      <c r="R1375" t="s">
        <v>971</v>
      </c>
      <c r="S1375" t="s">
        <v>997</v>
      </c>
      <c r="T1375" t="s">
        <v>45</v>
      </c>
      <c r="U1375" t="s">
        <v>90</v>
      </c>
      <c r="V1375" t="s">
        <v>972</v>
      </c>
      <c r="W1375" t="s">
        <v>999</v>
      </c>
    </row>
    <row r="1376" spans="1:23" ht="15" customHeight="1" x14ac:dyDescent="0.3">
      <c r="A1376" t="s">
        <v>8</v>
      </c>
      <c r="B1376">
        <v>186</v>
      </c>
      <c r="C1376" t="s">
        <v>954</v>
      </c>
      <c r="D1376" t="s">
        <v>955</v>
      </c>
      <c r="E1376" t="s">
        <v>34</v>
      </c>
      <c r="F1376" t="s">
        <v>956</v>
      </c>
      <c r="G1376" t="s">
        <v>36</v>
      </c>
      <c r="H1376" t="s">
        <v>996</v>
      </c>
      <c r="I1376" t="s">
        <v>955</v>
      </c>
      <c r="J1376" t="s">
        <v>997</v>
      </c>
      <c r="K1376" s="21" t="s">
        <v>998</v>
      </c>
      <c r="L1376" s="21" t="s">
        <v>959</v>
      </c>
      <c r="M1376" t="s">
        <v>960</v>
      </c>
      <c r="N1376" t="s">
        <v>961</v>
      </c>
      <c r="O1376" t="s">
        <v>962</v>
      </c>
      <c r="R1376" t="s">
        <v>976</v>
      </c>
      <c r="S1376" t="s">
        <v>997</v>
      </c>
      <c r="T1376" t="s">
        <v>45</v>
      </c>
      <c r="U1376" t="s">
        <v>90</v>
      </c>
      <c r="V1376" t="s">
        <v>972</v>
      </c>
      <c r="W1376" t="s">
        <v>999</v>
      </c>
    </row>
    <row r="1377" spans="1:23" ht="15" customHeight="1" x14ac:dyDescent="0.3">
      <c r="A1377" t="s">
        <v>8</v>
      </c>
      <c r="B1377">
        <v>186</v>
      </c>
      <c r="C1377" t="s">
        <v>954</v>
      </c>
      <c r="D1377" t="s">
        <v>955</v>
      </c>
      <c r="E1377" t="s">
        <v>34</v>
      </c>
      <c r="F1377" t="s">
        <v>956</v>
      </c>
      <c r="G1377" t="s">
        <v>36</v>
      </c>
      <c r="H1377" t="s">
        <v>1000</v>
      </c>
      <c r="I1377" t="s">
        <v>955</v>
      </c>
      <c r="J1377" t="s">
        <v>1001</v>
      </c>
      <c r="K1377" s="21" t="s">
        <v>1002</v>
      </c>
      <c r="L1377" s="21" t="s">
        <v>959</v>
      </c>
      <c r="M1377" t="s">
        <v>960</v>
      </c>
      <c r="N1377" t="s">
        <v>961</v>
      </c>
      <c r="O1377" t="s">
        <v>962</v>
      </c>
      <c r="R1377" t="s">
        <v>964</v>
      </c>
      <c r="S1377" t="s">
        <v>1001</v>
      </c>
      <c r="T1377" t="s">
        <v>45</v>
      </c>
      <c r="U1377" t="s">
        <v>90</v>
      </c>
      <c r="V1377" t="s">
        <v>1003</v>
      </c>
      <c r="W1377" t="s">
        <v>1004</v>
      </c>
    </row>
    <row r="1378" spans="1:23" ht="15" customHeight="1" x14ac:dyDescent="0.3">
      <c r="A1378" t="s">
        <v>8</v>
      </c>
      <c r="B1378">
        <v>186</v>
      </c>
      <c r="C1378" t="s">
        <v>954</v>
      </c>
      <c r="D1378" t="s">
        <v>955</v>
      </c>
      <c r="E1378" t="s">
        <v>34</v>
      </c>
      <c r="F1378" t="s">
        <v>956</v>
      </c>
      <c r="G1378" t="s">
        <v>36</v>
      </c>
      <c r="H1378" t="s">
        <v>1000</v>
      </c>
      <c r="I1378" t="s">
        <v>955</v>
      </c>
      <c r="J1378" t="s">
        <v>1001</v>
      </c>
      <c r="K1378" s="21" t="s">
        <v>1002</v>
      </c>
      <c r="L1378" s="21" t="s">
        <v>959</v>
      </c>
      <c r="M1378" t="s">
        <v>960</v>
      </c>
      <c r="N1378" t="s">
        <v>961</v>
      </c>
      <c r="O1378" t="s">
        <v>962</v>
      </c>
      <c r="R1378" t="s">
        <v>967</v>
      </c>
      <c r="S1378" t="s">
        <v>1001</v>
      </c>
      <c r="T1378" t="s">
        <v>45</v>
      </c>
      <c r="U1378" t="s">
        <v>90</v>
      </c>
      <c r="V1378" t="s">
        <v>1003</v>
      </c>
      <c r="W1378" t="s">
        <v>1004</v>
      </c>
    </row>
    <row r="1379" spans="1:23" ht="15" customHeight="1" x14ac:dyDescent="0.3">
      <c r="A1379" t="s">
        <v>8</v>
      </c>
      <c r="B1379">
        <v>186</v>
      </c>
      <c r="C1379" t="s">
        <v>954</v>
      </c>
      <c r="D1379" t="s">
        <v>955</v>
      </c>
      <c r="E1379" t="s">
        <v>34</v>
      </c>
      <c r="F1379" t="s">
        <v>956</v>
      </c>
      <c r="G1379" t="s">
        <v>36</v>
      </c>
      <c r="H1379" t="s">
        <v>1000</v>
      </c>
      <c r="I1379" t="s">
        <v>955</v>
      </c>
      <c r="J1379" t="s">
        <v>1001</v>
      </c>
      <c r="K1379" s="21" t="s">
        <v>1002</v>
      </c>
      <c r="L1379" s="21" t="s">
        <v>959</v>
      </c>
      <c r="M1379" t="s">
        <v>960</v>
      </c>
      <c r="N1379" t="s">
        <v>961</v>
      </c>
      <c r="O1379" t="s">
        <v>962</v>
      </c>
      <c r="R1379" t="s">
        <v>971</v>
      </c>
      <c r="S1379" t="s">
        <v>1001</v>
      </c>
      <c r="T1379" t="s">
        <v>45</v>
      </c>
      <c r="U1379" t="s">
        <v>90</v>
      </c>
      <c r="V1379" t="s">
        <v>1003</v>
      </c>
      <c r="W1379" t="s">
        <v>1004</v>
      </c>
    </row>
    <row r="1380" spans="1:23" ht="15" customHeight="1" x14ac:dyDescent="0.3">
      <c r="A1380" t="s">
        <v>8</v>
      </c>
      <c r="B1380">
        <v>186</v>
      </c>
      <c r="C1380" t="s">
        <v>954</v>
      </c>
      <c r="D1380" t="s">
        <v>955</v>
      </c>
      <c r="E1380" t="s">
        <v>34</v>
      </c>
      <c r="F1380" t="s">
        <v>956</v>
      </c>
      <c r="G1380" t="s">
        <v>36</v>
      </c>
      <c r="H1380" t="s">
        <v>1000</v>
      </c>
      <c r="I1380" t="s">
        <v>955</v>
      </c>
      <c r="J1380" t="s">
        <v>1001</v>
      </c>
      <c r="K1380" s="21" t="s">
        <v>1002</v>
      </c>
      <c r="L1380" s="21" t="s">
        <v>959</v>
      </c>
      <c r="M1380" t="s">
        <v>960</v>
      </c>
      <c r="N1380" t="s">
        <v>961</v>
      </c>
      <c r="O1380" t="s">
        <v>962</v>
      </c>
      <c r="R1380" t="s">
        <v>976</v>
      </c>
      <c r="S1380" t="s">
        <v>1001</v>
      </c>
      <c r="T1380" t="s">
        <v>45</v>
      </c>
      <c r="U1380" t="s">
        <v>90</v>
      </c>
      <c r="V1380" t="s">
        <v>1003</v>
      </c>
      <c r="W1380" t="s">
        <v>1004</v>
      </c>
    </row>
    <row r="1381" spans="1:23" ht="15" customHeight="1" x14ac:dyDescent="0.3">
      <c r="A1381" t="s">
        <v>8</v>
      </c>
      <c r="B1381">
        <v>186</v>
      </c>
      <c r="C1381" t="s">
        <v>954</v>
      </c>
      <c r="D1381" t="s">
        <v>955</v>
      </c>
      <c r="E1381" t="s">
        <v>34</v>
      </c>
      <c r="F1381" t="s">
        <v>956</v>
      </c>
      <c r="G1381" t="s">
        <v>36</v>
      </c>
      <c r="H1381" t="s">
        <v>1272</v>
      </c>
      <c r="I1381" t="s">
        <v>955</v>
      </c>
      <c r="J1381" t="s">
        <v>2746</v>
      </c>
      <c r="K1381" s="21" t="s">
        <v>2747</v>
      </c>
      <c r="L1381" s="21" t="s">
        <v>959</v>
      </c>
      <c r="M1381" t="s">
        <v>960</v>
      </c>
      <c r="N1381" t="s">
        <v>961</v>
      </c>
      <c r="O1381" t="s">
        <v>962</v>
      </c>
      <c r="R1381" t="s">
        <v>964</v>
      </c>
      <c r="S1381" t="s">
        <v>2746</v>
      </c>
      <c r="T1381" t="s">
        <v>1544</v>
      </c>
      <c r="U1381" t="s">
        <v>1691</v>
      </c>
      <c r="V1381" t="s">
        <v>965</v>
      </c>
      <c r="W1381" t="s">
        <v>2748</v>
      </c>
    </row>
    <row r="1382" spans="1:23" ht="15" customHeight="1" x14ac:dyDescent="0.3">
      <c r="A1382" t="s">
        <v>8</v>
      </c>
      <c r="B1382">
        <v>186</v>
      </c>
      <c r="C1382" t="s">
        <v>954</v>
      </c>
      <c r="D1382" t="s">
        <v>955</v>
      </c>
      <c r="E1382" t="s">
        <v>34</v>
      </c>
      <c r="F1382" t="s">
        <v>956</v>
      </c>
      <c r="G1382" t="s">
        <v>36</v>
      </c>
      <c r="H1382" t="s">
        <v>1272</v>
      </c>
      <c r="I1382" t="s">
        <v>955</v>
      </c>
      <c r="J1382" t="s">
        <v>2746</v>
      </c>
      <c r="K1382" s="21" t="s">
        <v>2747</v>
      </c>
      <c r="L1382" s="21" t="s">
        <v>959</v>
      </c>
      <c r="M1382" t="s">
        <v>960</v>
      </c>
      <c r="N1382" t="s">
        <v>961</v>
      </c>
      <c r="O1382" t="s">
        <v>962</v>
      </c>
      <c r="R1382" t="s">
        <v>967</v>
      </c>
      <c r="S1382" t="s">
        <v>2746</v>
      </c>
      <c r="T1382" t="s">
        <v>1544</v>
      </c>
      <c r="U1382" t="s">
        <v>1691</v>
      </c>
      <c r="V1382" t="s">
        <v>965</v>
      </c>
      <c r="W1382" t="s">
        <v>2748</v>
      </c>
    </row>
    <row r="1383" spans="1:23" ht="15" customHeight="1" x14ac:dyDescent="0.3">
      <c r="A1383" t="s">
        <v>8</v>
      </c>
      <c r="B1383">
        <v>186</v>
      </c>
      <c r="C1383" t="s">
        <v>954</v>
      </c>
      <c r="D1383" t="s">
        <v>955</v>
      </c>
      <c r="E1383" t="s">
        <v>34</v>
      </c>
      <c r="F1383" t="s">
        <v>956</v>
      </c>
      <c r="G1383" t="s">
        <v>36</v>
      </c>
      <c r="H1383" t="s">
        <v>1272</v>
      </c>
      <c r="I1383" t="s">
        <v>955</v>
      </c>
      <c r="J1383" t="s">
        <v>2746</v>
      </c>
      <c r="K1383" s="21" t="s">
        <v>2747</v>
      </c>
      <c r="L1383" s="21" t="s">
        <v>959</v>
      </c>
      <c r="M1383" t="s">
        <v>960</v>
      </c>
      <c r="N1383" t="s">
        <v>961</v>
      </c>
      <c r="O1383" t="s">
        <v>962</v>
      </c>
      <c r="R1383" t="s">
        <v>971</v>
      </c>
      <c r="S1383" t="s">
        <v>2746</v>
      </c>
      <c r="T1383" t="s">
        <v>1544</v>
      </c>
      <c r="U1383" t="s">
        <v>1691</v>
      </c>
      <c r="V1383" t="s">
        <v>965</v>
      </c>
      <c r="W1383" t="s">
        <v>2748</v>
      </c>
    </row>
    <row r="1384" spans="1:23" ht="15" customHeight="1" x14ac:dyDescent="0.3">
      <c r="A1384" t="s">
        <v>8</v>
      </c>
      <c r="B1384">
        <v>186</v>
      </c>
      <c r="C1384" t="s">
        <v>954</v>
      </c>
      <c r="D1384" t="s">
        <v>955</v>
      </c>
      <c r="E1384" t="s">
        <v>34</v>
      </c>
      <c r="F1384" t="s">
        <v>956</v>
      </c>
      <c r="G1384" t="s">
        <v>36</v>
      </c>
      <c r="H1384" t="s">
        <v>1272</v>
      </c>
      <c r="I1384" t="s">
        <v>955</v>
      </c>
      <c r="J1384" t="s">
        <v>2746</v>
      </c>
      <c r="K1384" s="21" t="s">
        <v>2747</v>
      </c>
      <c r="L1384" s="21" t="s">
        <v>959</v>
      </c>
      <c r="M1384" t="s">
        <v>960</v>
      </c>
      <c r="N1384" t="s">
        <v>961</v>
      </c>
      <c r="O1384" t="s">
        <v>962</v>
      </c>
      <c r="R1384" t="s">
        <v>976</v>
      </c>
      <c r="S1384" t="s">
        <v>2746</v>
      </c>
      <c r="T1384" t="s">
        <v>1544</v>
      </c>
      <c r="U1384" t="s">
        <v>1691</v>
      </c>
      <c r="V1384" t="s">
        <v>965</v>
      </c>
      <c r="W1384" t="s">
        <v>2748</v>
      </c>
    </row>
    <row r="1385" spans="1:23" ht="15" customHeight="1" x14ac:dyDescent="0.3">
      <c r="A1385" t="s">
        <v>8</v>
      </c>
      <c r="B1385">
        <v>186</v>
      </c>
      <c r="C1385" t="s">
        <v>954</v>
      </c>
      <c r="D1385" t="s">
        <v>955</v>
      </c>
      <c r="E1385" t="s">
        <v>34</v>
      </c>
      <c r="F1385" t="s">
        <v>956</v>
      </c>
      <c r="G1385" t="s">
        <v>36</v>
      </c>
      <c r="H1385" t="s">
        <v>1276</v>
      </c>
      <c r="I1385" t="s">
        <v>955</v>
      </c>
      <c r="J1385" t="s">
        <v>2749</v>
      </c>
      <c r="K1385" s="21" t="s">
        <v>2750</v>
      </c>
      <c r="L1385" s="21" t="s">
        <v>959</v>
      </c>
      <c r="M1385" t="s">
        <v>960</v>
      </c>
      <c r="N1385" t="s">
        <v>961</v>
      </c>
      <c r="O1385" t="s">
        <v>962</v>
      </c>
      <c r="R1385" t="s">
        <v>964</v>
      </c>
      <c r="S1385" t="s">
        <v>2749</v>
      </c>
      <c r="T1385" t="s">
        <v>1544</v>
      </c>
      <c r="U1385" t="s">
        <v>2028</v>
      </c>
      <c r="V1385" t="s">
        <v>965</v>
      </c>
      <c r="W1385" t="s">
        <v>2751</v>
      </c>
    </row>
    <row r="1386" spans="1:23" ht="15" customHeight="1" x14ac:dyDescent="0.3">
      <c r="A1386" t="s">
        <v>8</v>
      </c>
      <c r="B1386">
        <v>186</v>
      </c>
      <c r="C1386" t="s">
        <v>954</v>
      </c>
      <c r="D1386" t="s">
        <v>955</v>
      </c>
      <c r="E1386" t="s">
        <v>34</v>
      </c>
      <c r="F1386" t="s">
        <v>956</v>
      </c>
      <c r="G1386" t="s">
        <v>36</v>
      </c>
      <c r="H1386" t="s">
        <v>1276</v>
      </c>
      <c r="I1386" t="s">
        <v>955</v>
      </c>
      <c r="J1386" t="s">
        <v>2749</v>
      </c>
      <c r="K1386" s="21" t="s">
        <v>2750</v>
      </c>
      <c r="L1386" s="21" t="s">
        <v>959</v>
      </c>
      <c r="M1386" t="s">
        <v>960</v>
      </c>
      <c r="N1386" t="s">
        <v>961</v>
      </c>
      <c r="O1386" t="s">
        <v>962</v>
      </c>
      <c r="R1386" t="s">
        <v>967</v>
      </c>
      <c r="S1386" t="s">
        <v>2749</v>
      </c>
      <c r="T1386" t="s">
        <v>1544</v>
      </c>
      <c r="U1386" t="s">
        <v>2028</v>
      </c>
      <c r="V1386" t="s">
        <v>965</v>
      </c>
      <c r="W1386" t="s">
        <v>2751</v>
      </c>
    </row>
    <row r="1387" spans="1:23" ht="15" customHeight="1" x14ac:dyDescent="0.3">
      <c r="A1387" t="s">
        <v>8</v>
      </c>
      <c r="B1387">
        <v>186</v>
      </c>
      <c r="C1387" t="s">
        <v>954</v>
      </c>
      <c r="D1387" t="s">
        <v>955</v>
      </c>
      <c r="E1387" t="s">
        <v>34</v>
      </c>
      <c r="F1387" t="s">
        <v>956</v>
      </c>
      <c r="G1387" t="s">
        <v>36</v>
      </c>
      <c r="H1387" t="s">
        <v>1276</v>
      </c>
      <c r="I1387" t="s">
        <v>955</v>
      </c>
      <c r="J1387" t="s">
        <v>2749</v>
      </c>
      <c r="K1387" s="21" t="s">
        <v>2750</v>
      </c>
      <c r="L1387" s="21" t="s">
        <v>959</v>
      </c>
      <c r="M1387" t="s">
        <v>960</v>
      </c>
      <c r="N1387" t="s">
        <v>961</v>
      </c>
      <c r="O1387" t="s">
        <v>962</v>
      </c>
      <c r="R1387" t="s">
        <v>971</v>
      </c>
      <c r="S1387" t="s">
        <v>2749</v>
      </c>
      <c r="T1387" t="s">
        <v>1544</v>
      </c>
      <c r="U1387" t="s">
        <v>2028</v>
      </c>
      <c r="V1387" t="s">
        <v>965</v>
      </c>
      <c r="W1387" t="s">
        <v>2751</v>
      </c>
    </row>
    <row r="1388" spans="1:23" ht="15" customHeight="1" x14ac:dyDescent="0.3">
      <c r="A1388" t="s">
        <v>8</v>
      </c>
      <c r="B1388">
        <v>186</v>
      </c>
      <c r="C1388" t="s">
        <v>954</v>
      </c>
      <c r="D1388" t="s">
        <v>955</v>
      </c>
      <c r="E1388" t="s">
        <v>34</v>
      </c>
      <c r="F1388" t="s">
        <v>956</v>
      </c>
      <c r="G1388" t="s">
        <v>36</v>
      </c>
      <c r="H1388" t="s">
        <v>1276</v>
      </c>
      <c r="I1388" t="s">
        <v>955</v>
      </c>
      <c r="J1388" t="s">
        <v>2749</v>
      </c>
      <c r="K1388" s="21" t="s">
        <v>2750</v>
      </c>
      <c r="L1388" s="21" t="s">
        <v>959</v>
      </c>
      <c r="M1388" t="s">
        <v>960</v>
      </c>
      <c r="N1388" t="s">
        <v>961</v>
      </c>
      <c r="O1388" t="s">
        <v>962</v>
      </c>
      <c r="R1388" t="s">
        <v>976</v>
      </c>
      <c r="S1388" t="s">
        <v>2749</v>
      </c>
      <c r="T1388" t="s">
        <v>1544</v>
      </c>
      <c r="U1388" t="s">
        <v>2028</v>
      </c>
      <c r="V1388" t="s">
        <v>965</v>
      </c>
      <c r="W1388" t="s">
        <v>2751</v>
      </c>
    </row>
    <row r="1389" spans="1:23" ht="15" customHeight="1" x14ac:dyDescent="0.3">
      <c r="A1389" t="s">
        <v>8</v>
      </c>
      <c r="B1389">
        <v>186</v>
      </c>
      <c r="C1389" t="s">
        <v>954</v>
      </c>
      <c r="D1389" t="s">
        <v>955</v>
      </c>
      <c r="E1389" t="s">
        <v>34</v>
      </c>
      <c r="F1389" t="s">
        <v>956</v>
      </c>
      <c r="G1389" t="s">
        <v>36</v>
      </c>
      <c r="H1389" t="s">
        <v>1279</v>
      </c>
      <c r="I1389" t="s">
        <v>955</v>
      </c>
      <c r="J1389" t="s">
        <v>2752</v>
      </c>
      <c r="K1389" s="21" t="s">
        <v>2753</v>
      </c>
      <c r="L1389" s="21" t="s">
        <v>959</v>
      </c>
      <c r="M1389" t="s">
        <v>960</v>
      </c>
      <c r="N1389" t="s">
        <v>961</v>
      </c>
      <c r="O1389" t="s">
        <v>962</v>
      </c>
      <c r="R1389" t="s">
        <v>964</v>
      </c>
      <c r="S1389" t="s">
        <v>2752</v>
      </c>
      <c r="T1389" t="s">
        <v>1231</v>
      </c>
      <c r="U1389" t="s">
        <v>1232</v>
      </c>
      <c r="V1389" t="s">
        <v>965</v>
      </c>
      <c r="W1389" t="s">
        <v>2754</v>
      </c>
    </row>
    <row r="1390" spans="1:23" ht="15" customHeight="1" x14ac:dyDescent="0.3">
      <c r="A1390" t="s">
        <v>8</v>
      </c>
      <c r="B1390">
        <v>186</v>
      </c>
      <c r="C1390" t="s">
        <v>954</v>
      </c>
      <c r="D1390" t="s">
        <v>955</v>
      </c>
      <c r="E1390" t="s">
        <v>34</v>
      </c>
      <c r="F1390" t="s">
        <v>956</v>
      </c>
      <c r="G1390" t="s">
        <v>36</v>
      </c>
      <c r="H1390" t="s">
        <v>1279</v>
      </c>
      <c r="I1390" t="s">
        <v>955</v>
      </c>
      <c r="J1390" t="s">
        <v>2752</v>
      </c>
      <c r="K1390" s="21" t="s">
        <v>2753</v>
      </c>
      <c r="L1390" s="21" t="s">
        <v>959</v>
      </c>
      <c r="M1390" t="s">
        <v>960</v>
      </c>
      <c r="N1390" t="s">
        <v>961</v>
      </c>
      <c r="O1390" t="s">
        <v>962</v>
      </c>
      <c r="R1390" t="s">
        <v>967</v>
      </c>
      <c r="S1390" t="s">
        <v>2752</v>
      </c>
      <c r="T1390" t="s">
        <v>1231</v>
      </c>
      <c r="U1390" t="s">
        <v>1232</v>
      </c>
      <c r="V1390" t="s">
        <v>965</v>
      </c>
      <c r="W1390" t="s">
        <v>2754</v>
      </c>
    </row>
    <row r="1391" spans="1:23" ht="15" customHeight="1" x14ac:dyDescent="0.3">
      <c r="A1391" t="s">
        <v>8</v>
      </c>
      <c r="B1391">
        <v>186</v>
      </c>
      <c r="C1391" t="s">
        <v>954</v>
      </c>
      <c r="D1391" t="s">
        <v>955</v>
      </c>
      <c r="E1391" t="s">
        <v>34</v>
      </c>
      <c r="F1391" t="s">
        <v>956</v>
      </c>
      <c r="G1391" t="s">
        <v>36</v>
      </c>
      <c r="H1391" t="s">
        <v>1279</v>
      </c>
      <c r="I1391" t="s">
        <v>955</v>
      </c>
      <c r="J1391" t="s">
        <v>2752</v>
      </c>
      <c r="K1391" s="21" t="s">
        <v>2753</v>
      </c>
      <c r="L1391" s="21" t="s">
        <v>959</v>
      </c>
      <c r="M1391" t="s">
        <v>960</v>
      </c>
      <c r="N1391" t="s">
        <v>961</v>
      </c>
      <c r="O1391" t="s">
        <v>962</v>
      </c>
      <c r="R1391" t="s">
        <v>971</v>
      </c>
      <c r="S1391" t="s">
        <v>2752</v>
      </c>
      <c r="T1391" t="s">
        <v>1231</v>
      </c>
      <c r="U1391" t="s">
        <v>1232</v>
      </c>
      <c r="V1391" t="s">
        <v>965</v>
      </c>
      <c r="W1391" t="s">
        <v>2754</v>
      </c>
    </row>
    <row r="1392" spans="1:23" ht="15" customHeight="1" x14ac:dyDescent="0.3">
      <c r="A1392" t="s">
        <v>8</v>
      </c>
      <c r="B1392">
        <v>186</v>
      </c>
      <c r="C1392" t="s">
        <v>954</v>
      </c>
      <c r="D1392" t="s">
        <v>955</v>
      </c>
      <c r="E1392" t="s">
        <v>34</v>
      </c>
      <c r="F1392" t="s">
        <v>956</v>
      </c>
      <c r="G1392" t="s">
        <v>36</v>
      </c>
      <c r="H1392" t="s">
        <v>1279</v>
      </c>
      <c r="I1392" t="s">
        <v>955</v>
      </c>
      <c r="J1392" t="s">
        <v>2752</v>
      </c>
      <c r="K1392" s="21" t="s">
        <v>2753</v>
      </c>
      <c r="L1392" s="21" t="s">
        <v>959</v>
      </c>
      <c r="M1392" t="s">
        <v>960</v>
      </c>
      <c r="N1392" t="s">
        <v>961</v>
      </c>
      <c r="O1392" t="s">
        <v>962</v>
      </c>
      <c r="R1392" t="s">
        <v>976</v>
      </c>
      <c r="S1392" t="s">
        <v>2752</v>
      </c>
      <c r="T1392" t="s">
        <v>1231</v>
      </c>
      <c r="U1392" t="s">
        <v>1232</v>
      </c>
      <c r="V1392" t="s">
        <v>965</v>
      </c>
      <c r="W1392" t="s">
        <v>2754</v>
      </c>
    </row>
    <row r="1393" spans="1:23" ht="15" customHeight="1" x14ac:dyDescent="0.3">
      <c r="A1393" t="s">
        <v>8</v>
      </c>
      <c r="B1393">
        <v>186</v>
      </c>
      <c r="C1393" t="s">
        <v>954</v>
      </c>
      <c r="D1393" t="s">
        <v>955</v>
      </c>
      <c r="E1393" t="s">
        <v>34</v>
      </c>
      <c r="F1393" t="s">
        <v>956</v>
      </c>
      <c r="G1393" t="s">
        <v>36</v>
      </c>
      <c r="H1393" t="s">
        <v>1283</v>
      </c>
      <c r="I1393" t="s">
        <v>955</v>
      </c>
      <c r="J1393" t="s">
        <v>2755</v>
      </c>
      <c r="K1393" s="21" t="s">
        <v>2756</v>
      </c>
      <c r="L1393" s="21" t="s">
        <v>959</v>
      </c>
      <c r="M1393" t="s">
        <v>960</v>
      </c>
      <c r="N1393" t="s">
        <v>961</v>
      </c>
      <c r="O1393" t="s">
        <v>962</v>
      </c>
      <c r="R1393" t="s">
        <v>964</v>
      </c>
      <c r="S1393" t="s">
        <v>2755</v>
      </c>
      <c r="T1393" t="s">
        <v>1231</v>
      </c>
      <c r="U1393" t="s">
        <v>1241</v>
      </c>
      <c r="V1393" t="s">
        <v>965</v>
      </c>
      <c r="W1393" t="s">
        <v>2754</v>
      </c>
    </row>
    <row r="1394" spans="1:23" ht="15" customHeight="1" x14ac:dyDescent="0.3">
      <c r="A1394" t="s">
        <v>8</v>
      </c>
      <c r="B1394">
        <v>186</v>
      </c>
      <c r="C1394" t="s">
        <v>954</v>
      </c>
      <c r="D1394" t="s">
        <v>955</v>
      </c>
      <c r="E1394" t="s">
        <v>34</v>
      </c>
      <c r="F1394" t="s">
        <v>956</v>
      </c>
      <c r="G1394" t="s">
        <v>36</v>
      </c>
      <c r="H1394" t="s">
        <v>1283</v>
      </c>
      <c r="I1394" t="s">
        <v>955</v>
      </c>
      <c r="J1394" t="s">
        <v>2755</v>
      </c>
      <c r="K1394" s="21" t="s">
        <v>2756</v>
      </c>
      <c r="L1394" s="21" t="s">
        <v>959</v>
      </c>
      <c r="M1394" t="s">
        <v>960</v>
      </c>
      <c r="N1394" t="s">
        <v>961</v>
      </c>
      <c r="O1394" t="s">
        <v>962</v>
      </c>
      <c r="R1394" t="s">
        <v>967</v>
      </c>
      <c r="S1394" t="s">
        <v>2755</v>
      </c>
      <c r="T1394" t="s">
        <v>1231</v>
      </c>
      <c r="U1394" t="s">
        <v>1241</v>
      </c>
      <c r="V1394" t="s">
        <v>965</v>
      </c>
      <c r="W1394" t="s">
        <v>2754</v>
      </c>
    </row>
    <row r="1395" spans="1:23" ht="15" customHeight="1" x14ac:dyDescent="0.3">
      <c r="A1395" t="s">
        <v>8</v>
      </c>
      <c r="B1395">
        <v>186</v>
      </c>
      <c r="C1395" t="s">
        <v>954</v>
      </c>
      <c r="D1395" t="s">
        <v>955</v>
      </c>
      <c r="E1395" t="s">
        <v>34</v>
      </c>
      <c r="F1395" t="s">
        <v>956</v>
      </c>
      <c r="G1395" t="s">
        <v>36</v>
      </c>
      <c r="H1395" t="s">
        <v>1283</v>
      </c>
      <c r="I1395" t="s">
        <v>955</v>
      </c>
      <c r="J1395" t="s">
        <v>2755</v>
      </c>
      <c r="K1395" s="21" t="s">
        <v>2756</v>
      </c>
      <c r="L1395" s="21" t="s">
        <v>959</v>
      </c>
      <c r="M1395" t="s">
        <v>960</v>
      </c>
      <c r="N1395" t="s">
        <v>961</v>
      </c>
      <c r="O1395" t="s">
        <v>962</v>
      </c>
      <c r="R1395" t="s">
        <v>971</v>
      </c>
      <c r="S1395" t="s">
        <v>2755</v>
      </c>
      <c r="T1395" t="s">
        <v>1231</v>
      </c>
      <c r="U1395" t="s">
        <v>1241</v>
      </c>
      <c r="V1395" t="s">
        <v>965</v>
      </c>
      <c r="W1395" t="s">
        <v>2754</v>
      </c>
    </row>
    <row r="1396" spans="1:23" ht="15" customHeight="1" x14ac:dyDescent="0.3">
      <c r="A1396" t="s">
        <v>8</v>
      </c>
      <c r="B1396">
        <v>186</v>
      </c>
      <c r="C1396" t="s">
        <v>954</v>
      </c>
      <c r="D1396" t="s">
        <v>955</v>
      </c>
      <c r="E1396" t="s">
        <v>34</v>
      </c>
      <c r="F1396" t="s">
        <v>956</v>
      </c>
      <c r="G1396" t="s">
        <v>36</v>
      </c>
      <c r="H1396" t="s">
        <v>1283</v>
      </c>
      <c r="I1396" t="s">
        <v>955</v>
      </c>
      <c r="J1396" t="s">
        <v>2755</v>
      </c>
      <c r="K1396" s="21" t="s">
        <v>2756</v>
      </c>
      <c r="L1396" s="21" t="s">
        <v>959</v>
      </c>
      <c r="M1396" t="s">
        <v>960</v>
      </c>
      <c r="N1396" t="s">
        <v>961</v>
      </c>
      <c r="O1396" t="s">
        <v>962</v>
      </c>
      <c r="R1396" t="s">
        <v>976</v>
      </c>
      <c r="S1396" t="s">
        <v>2755</v>
      </c>
      <c r="T1396" t="s">
        <v>1231</v>
      </c>
      <c r="U1396" t="s">
        <v>1241</v>
      </c>
      <c r="V1396" t="s">
        <v>965</v>
      </c>
      <c r="W1396" t="s">
        <v>2754</v>
      </c>
    </row>
    <row r="1397" spans="1:23" ht="15" customHeight="1" x14ac:dyDescent="0.3">
      <c r="A1397" t="s">
        <v>8</v>
      </c>
      <c r="B1397">
        <v>186</v>
      </c>
      <c r="C1397" t="s">
        <v>954</v>
      </c>
      <c r="D1397" t="s">
        <v>955</v>
      </c>
      <c r="E1397" t="s">
        <v>34</v>
      </c>
      <c r="F1397" t="s">
        <v>956</v>
      </c>
      <c r="G1397" t="s">
        <v>36</v>
      </c>
      <c r="H1397" t="s">
        <v>1287</v>
      </c>
      <c r="I1397" t="s">
        <v>955</v>
      </c>
      <c r="J1397" t="s">
        <v>2757</v>
      </c>
      <c r="K1397" s="21" t="s">
        <v>2758</v>
      </c>
      <c r="L1397" s="21" t="s">
        <v>959</v>
      </c>
      <c r="M1397" t="s">
        <v>960</v>
      </c>
      <c r="N1397" t="s">
        <v>961</v>
      </c>
      <c r="O1397" t="s">
        <v>962</v>
      </c>
      <c r="R1397" t="s">
        <v>964</v>
      </c>
      <c r="S1397" t="s">
        <v>2757</v>
      </c>
      <c r="T1397" t="s">
        <v>1249</v>
      </c>
      <c r="U1397" t="s">
        <v>1461</v>
      </c>
      <c r="V1397" t="s">
        <v>965</v>
      </c>
      <c r="W1397" t="s">
        <v>2754</v>
      </c>
    </row>
    <row r="1398" spans="1:23" ht="15" customHeight="1" x14ac:dyDescent="0.3">
      <c r="A1398" t="s">
        <v>8</v>
      </c>
      <c r="B1398">
        <v>186</v>
      </c>
      <c r="C1398" t="s">
        <v>954</v>
      </c>
      <c r="D1398" t="s">
        <v>955</v>
      </c>
      <c r="E1398" t="s">
        <v>34</v>
      </c>
      <c r="F1398" t="s">
        <v>956</v>
      </c>
      <c r="G1398" t="s">
        <v>36</v>
      </c>
      <c r="H1398" t="s">
        <v>1287</v>
      </c>
      <c r="I1398" t="s">
        <v>955</v>
      </c>
      <c r="J1398" t="s">
        <v>2757</v>
      </c>
      <c r="K1398" s="21" t="s">
        <v>2758</v>
      </c>
      <c r="L1398" s="21" t="s">
        <v>959</v>
      </c>
      <c r="M1398" t="s">
        <v>960</v>
      </c>
      <c r="N1398" t="s">
        <v>961</v>
      </c>
      <c r="O1398" t="s">
        <v>962</v>
      </c>
      <c r="R1398" t="s">
        <v>967</v>
      </c>
      <c r="S1398" t="s">
        <v>2757</v>
      </c>
      <c r="T1398" t="s">
        <v>1249</v>
      </c>
      <c r="U1398" t="s">
        <v>1461</v>
      </c>
      <c r="V1398" t="s">
        <v>965</v>
      </c>
      <c r="W1398" t="s">
        <v>2754</v>
      </c>
    </row>
    <row r="1399" spans="1:23" ht="15" customHeight="1" x14ac:dyDescent="0.3">
      <c r="A1399" t="s">
        <v>8</v>
      </c>
      <c r="B1399">
        <v>186</v>
      </c>
      <c r="C1399" t="s">
        <v>954</v>
      </c>
      <c r="D1399" t="s">
        <v>955</v>
      </c>
      <c r="E1399" t="s">
        <v>34</v>
      </c>
      <c r="F1399" t="s">
        <v>956</v>
      </c>
      <c r="G1399" t="s">
        <v>36</v>
      </c>
      <c r="H1399" t="s">
        <v>1287</v>
      </c>
      <c r="I1399" t="s">
        <v>955</v>
      </c>
      <c r="J1399" t="s">
        <v>2757</v>
      </c>
      <c r="K1399" s="21" t="s">
        <v>2758</v>
      </c>
      <c r="L1399" s="21" t="s">
        <v>959</v>
      </c>
      <c r="M1399" t="s">
        <v>960</v>
      </c>
      <c r="N1399" t="s">
        <v>961</v>
      </c>
      <c r="O1399" t="s">
        <v>962</v>
      </c>
      <c r="R1399" t="s">
        <v>971</v>
      </c>
      <c r="S1399" t="s">
        <v>2757</v>
      </c>
      <c r="T1399" t="s">
        <v>1249</v>
      </c>
      <c r="U1399" t="s">
        <v>1461</v>
      </c>
      <c r="V1399" t="s">
        <v>965</v>
      </c>
      <c r="W1399" t="s">
        <v>2754</v>
      </c>
    </row>
    <row r="1400" spans="1:23" ht="15" customHeight="1" x14ac:dyDescent="0.3">
      <c r="A1400" t="s">
        <v>8</v>
      </c>
      <c r="B1400">
        <v>186</v>
      </c>
      <c r="C1400" t="s">
        <v>954</v>
      </c>
      <c r="D1400" t="s">
        <v>955</v>
      </c>
      <c r="E1400" t="s">
        <v>34</v>
      </c>
      <c r="F1400" t="s">
        <v>956</v>
      </c>
      <c r="G1400" t="s">
        <v>36</v>
      </c>
      <c r="H1400" t="s">
        <v>1287</v>
      </c>
      <c r="I1400" t="s">
        <v>955</v>
      </c>
      <c r="J1400" t="s">
        <v>2757</v>
      </c>
      <c r="K1400" s="21" t="s">
        <v>2758</v>
      </c>
      <c r="L1400" s="21" t="s">
        <v>959</v>
      </c>
      <c r="M1400" t="s">
        <v>960</v>
      </c>
      <c r="N1400" t="s">
        <v>961</v>
      </c>
      <c r="O1400" t="s">
        <v>962</v>
      </c>
      <c r="R1400" t="s">
        <v>976</v>
      </c>
      <c r="S1400" t="s">
        <v>2757</v>
      </c>
      <c r="T1400" t="s">
        <v>1249</v>
      </c>
      <c r="U1400" t="s">
        <v>1461</v>
      </c>
      <c r="V1400" t="s">
        <v>965</v>
      </c>
      <c r="W1400" t="s">
        <v>2754</v>
      </c>
    </row>
    <row r="1401" spans="1:23" ht="15" customHeight="1" x14ac:dyDescent="0.3">
      <c r="A1401" t="s">
        <v>8</v>
      </c>
      <c r="B1401">
        <v>186</v>
      </c>
      <c r="C1401" t="s">
        <v>954</v>
      </c>
      <c r="D1401" t="s">
        <v>955</v>
      </c>
      <c r="E1401" t="s">
        <v>34</v>
      </c>
      <c r="F1401" t="s">
        <v>956</v>
      </c>
      <c r="G1401" t="s">
        <v>36</v>
      </c>
      <c r="H1401" t="s">
        <v>1293</v>
      </c>
      <c r="I1401" t="s">
        <v>955</v>
      </c>
      <c r="J1401" t="s">
        <v>2759</v>
      </c>
      <c r="K1401" s="21" t="s">
        <v>2760</v>
      </c>
      <c r="L1401" s="21" t="s">
        <v>959</v>
      </c>
      <c r="M1401" t="s">
        <v>960</v>
      </c>
      <c r="N1401" t="s">
        <v>961</v>
      </c>
      <c r="O1401" t="s">
        <v>962</v>
      </c>
      <c r="R1401" t="s">
        <v>964</v>
      </c>
      <c r="S1401" t="s">
        <v>2759</v>
      </c>
      <c r="T1401" t="s">
        <v>1249</v>
      </c>
      <c r="U1401" t="s">
        <v>2456</v>
      </c>
      <c r="V1401" t="s">
        <v>965</v>
      </c>
      <c r="W1401" t="s">
        <v>2754</v>
      </c>
    </row>
    <row r="1402" spans="1:23" ht="15" customHeight="1" x14ac:dyDescent="0.3">
      <c r="A1402" t="s">
        <v>8</v>
      </c>
      <c r="B1402">
        <v>186</v>
      </c>
      <c r="C1402" t="s">
        <v>954</v>
      </c>
      <c r="D1402" t="s">
        <v>955</v>
      </c>
      <c r="E1402" t="s">
        <v>34</v>
      </c>
      <c r="F1402" t="s">
        <v>956</v>
      </c>
      <c r="G1402" t="s">
        <v>36</v>
      </c>
      <c r="H1402" t="s">
        <v>1293</v>
      </c>
      <c r="I1402" t="s">
        <v>955</v>
      </c>
      <c r="J1402" t="s">
        <v>2759</v>
      </c>
      <c r="K1402" s="21" t="s">
        <v>2760</v>
      </c>
      <c r="L1402" s="21" t="s">
        <v>959</v>
      </c>
      <c r="M1402" t="s">
        <v>960</v>
      </c>
      <c r="N1402" t="s">
        <v>961</v>
      </c>
      <c r="O1402" t="s">
        <v>962</v>
      </c>
      <c r="R1402" t="s">
        <v>967</v>
      </c>
      <c r="S1402" t="s">
        <v>2759</v>
      </c>
      <c r="T1402" t="s">
        <v>1249</v>
      </c>
      <c r="U1402" t="s">
        <v>2456</v>
      </c>
      <c r="V1402" t="s">
        <v>965</v>
      </c>
      <c r="W1402" t="s">
        <v>2754</v>
      </c>
    </row>
    <row r="1403" spans="1:23" ht="15" customHeight="1" x14ac:dyDescent="0.3">
      <c r="A1403" t="s">
        <v>8</v>
      </c>
      <c r="B1403">
        <v>186</v>
      </c>
      <c r="C1403" t="s">
        <v>954</v>
      </c>
      <c r="D1403" t="s">
        <v>955</v>
      </c>
      <c r="E1403" t="s">
        <v>34</v>
      </c>
      <c r="F1403" t="s">
        <v>956</v>
      </c>
      <c r="G1403" t="s">
        <v>36</v>
      </c>
      <c r="H1403" t="s">
        <v>1293</v>
      </c>
      <c r="I1403" t="s">
        <v>955</v>
      </c>
      <c r="J1403" t="s">
        <v>2759</v>
      </c>
      <c r="K1403" s="21" t="s">
        <v>2760</v>
      </c>
      <c r="L1403" s="21" t="s">
        <v>959</v>
      </c>
      <c r="M1403" t="s">
        <v>960</v>
      </c>
      <c r="N1403" t="s">
        <v>961</v>
      </c>
      <c r="O1403" t="s">
        <v>962</v>
      </c>
      <c r="R1403" t="s">
        <v>971</v>
      </c>
      <c r="S1403" t="s">
        <v>2759</v>
      </c>
      <c r="T1403" t="s">
        <v>1249</v>
      </c>
      <c r="U1403" t="s">
        <v>2456</v>
      </c>
      <c r="V1403" t="s">
        <v>965</v>
      </c>
      <c r="W1403" t="s">
        <v>2754</v>
      </c>
    </row>
    <row r="1404" spans="1:23" ht="15" customHeight="1" x14ac:dyDescent="0.3">
      <c r="A1404" t="s">
        <v>8</v>
      </c>
      <c r="B1404">
        <v>186</v>
      </c>
      <c r="C1404" t="s">
        <v>954</v>
      </c>
      <c r="D1404" t="s">
        <v>955</v>
      </c>
      <c r="E1404" t="s">
        <v>34</v>
      </c>
      <c r="F1404" t="s">
        <v>956</v>
      </c>
      <c r="G1404" t="s">
        <v>36</v>
      </c>
      <c r="H1404" t="s">
        <v>1293</v>
      </c>
      <c r="I1404" t="s">
        <v>955</v>
      </c>
      <c r="J1404" t="s">
        <v>2759</v>
      </c>
      <c r="K1404" s="21" t="s">
        <v>2760</v>
      </c>
      <c r="L1404" s="21" t="s">
        <v>959</v>
      </c>
      <c r="M1404" t="s">
        <v>960</v>
      </c>
      <c r="N1404" t="s">
        <v>961</v>
      </c>
      <c r="O1404" t="s">
        <v>962</v>
      </c>
      <c r="R1404" t="s">
        <v>976</v>
      </c>
      <c r="S1404" t="s">
        <v>2759</v>
      </c>
      <c r="T1404" t="s">
        <v>1249</v>
      </c>
      <c r="U1404" t="s">
        <v>2456</v>
      </c>
      <c r="V1404" t="s">
        <v>965</v>
      </c>
      <c r="W1404" t="s">
        <v>2754</v>
      </c>
    </row>
    <row r="1405" spans="1:23" ht="15" customHeight="1" x14ac:dyDescent="0.3">
      <c r="A1405" t="s">
        <v>8</v>
      </c>
      <c r="B1405">
        <v>186</v>
      </c>
      <c r="C1405" t="s">
        <v>954</v>
      </c>
      <c r="D1405" t="s">
        <v>955</v>
      </c>
      <c r="E1405" t="s">
        <v>34</v>
      </c>
      <c r="F1405" t="s">
        <v>956</v>
      </c>
      <c r="G1405" t="s">
        <v>36</v>
      </c>
      <c r="H1405" t="s">
        <v>1592</v>
      </c>
      <c r="I1405" t="s">
        <v>955</v>
      </c>
      <c r="J1405" t="s">
        <v>2761</v>
      </c>
      <c r="K1405" s="21" t="s">
        <v>2762</v>
      </c>
      <c r="L1405" s="21" t="s">
        <v>959</v>
      </c>
      <c r="M1405" t="s">
        <v>960</v>
      </c>
      <c r="N1405" t="s">
        <v>961</v>
      </c>
      <c r="O1405" t="s">
        <v>962</v>
      </c>
      <c r="R1405" t="s">
        <v>964</v>
      </c>
      <c r="S1405" t="s">
        <v>2761</v>
      </c>
      <c r="T1405" t="s">
        <v>1249</v>
      </c>
      <c r="U1405" t="s">
        <v>1444</v>
      </c>
      <c r="V1405" t="s">
        <v>965</v>
      </c>
      <c r="W1405" t="s">
        <v>2754</v>
      </c>
    </row>
    <row r="1406" spans="1:23" ht="15" customHeight="1" x14ac:dyDescent="0.3">
      <c r="A1406" t="s">
        <v>8</v>
      </c>
      <c r="B1406">
        <v>186</v>
      </c>
      <c r="C1406" t="s">
        <v>954</v>
      </c>
      <c r="D1406" t="s">
        <v>955</v>
      </c>
      <c r="E1406" t="s">
        <v>34</v>
      </c>
      <c r="F1406" t="s">
        <v>956</v>
      </c>
      <c r="G1406" t="s">
        <v>36</v>
      </c>
      <c r="H1406" t="s">
        <v>1592</v>
      </c>
      <c r="I1406" t="s">
        <v>955</v>
      </c>
      <c r="J1406" t="s">
        <v>2761</v>
      </c>
      <c r="K1406" s="21" t="s">
        <v>2762</v>
      </c>
      <c r="L1406" s="21" t="s">
        <v>959</v>
      </c>
      <c r="M1406" t="s">
        <v>960</v>
      </c>
      <c r="N1406" t="s">
        <v>961</v>
      </c>
      <c r="O1406" t="s">
        <v>962</v>
      </c>
      <c r="R1406" t="s">
        <v>967</v>
      </c>
      <c r="S1406" t="s">
        <v>2761</v>
      </c>
      <c r="T1406" t="s">
        <v>1249</v>
      </c>
      <c r="U1406" t="s">
        <v>1444</v>
      </c>
      <c r="V1406" t="s">
        <v>965</v>
      </c>
      <c r="W1406" t="s">
        <v>2754</v>
      </c>
    </row>
    <row r="1407" spans="1:23" ht="15" customHeight="1" x14ac:dyDescent="0.3">
      <c r="A1407" t="s">
        <v>8</v>
      </c>
      <c r="B1407">
        <v>186</v>
      </c>
      <c r="C1407" t="s">
        <v>954</v>
      </c>
      <c r="D1407" t="s">
        <v>955</v>
      </c>
      <c r="E1407" t="s">
        <v>34</v>
      </c>
      <c r="F1407" t="s">
        <v>956</v>
      </c>
      <c r="G1407" t="s">
        <v>36</v>
      </c>
      <c r="H1407" t="s">
        <v>1592</v>
      </c>
      <c r="I1407" t="s">
        <v>955</v>
      </c>
      <c r="J1407" t="s">
        <v>2761</v>
      </c>
      <c r="K1407" s="21" t="s">
        <v>2762</v>
      </c>
      <c r="L1407" s="21" t="s">
        <v>959</v>
      </c>
      <c r="M1407" t="s">
        <v>960</v>
      </c>
      <c r="N1407" t="s">
        <v>961</v>
      </c>
      <c r="O1407" t="s">
        <v>962</v>
      </c>
      <c r="R1407" t="s">
        <v>971</v>
      </c>
      <c r="S1407" t="s">
        <v>2761</v>
      </c>
      <c r="T1407" t="s">
        <v>1249</v>
      </c>
      <c r="U1407" t="s">
        <v>1444</v>
      </c>
      <c r="V1407" t="s">
        <v>965</v>
      </c>
      <c r="W1407" t="s">
        <v>2754</v>
      </c>
    </row>
    <row r="1408" spans="1:23" ht="15" customHeight="1" x14ac:dyDescent="0.3">
      <c r="A1408" t="s">
        <v>8</v>
      </c>
      <c r="B1408">
        <v>186</v>
      </c>
      <c r="C1408" t="s">
        <v>954</v>
      </c>
      <c r="D1408" t="s">
        <v>955</v>
      </c>
      <c r="E1408" t="s">
        <v>34</v>
      </c>
      <c r="F1408" t="s">
        <v>956</v>
      </c>
      <c r="G1408" t="s">
        <v>36</v>
      </c>
      <c r="H1408" t="s">
        <v>1592</v>
      </c>
      <c r="I1408" t="s">
        <v>955</v>
      </c>
      <c r="J1408" t="s">
        <v>2761</v>
      </c>
      <c r="K1408" s="21" t="s">
        <v>2762</v>
      </c>
      <c r="L1408" s="21" t="s">
        <v>959</v>
      </c>
      <c r="M1408" t="s">
        <v>960</v>
      </c>
      <c r="N1408" t="s">
        <v>961</v>
      </c>
      <c r="O1408" t="s">
        <v>962</v>
      </c>
      <c r="R1408" t="s">
        <v>976</v>
      </c>
      <c r="S1408" t="s">
        <v>2761</v>
      </c>
      <c r="T1408" t="s">
        <v>1249</v>
      </c>
      <c r="U1408" t="s">
        <v>1444</v>
      </c>
      <c r="V1408" t="s">
        <v>965</v>
      </c>
      <c r="W1408" t="s">
        <v>2754</v>
      </c>
    </row>
    <row r="1409" spans="1:23" ht="15" customHeight="1" x14ac:dyDescent="0.3">
      <c r="A1409" t="s">
        <v>8</v>
      </c>
      <c r="B1409">
        <v>186</v>
      </c>
      <c r="C1409" t="s">
        <v>954</v>
      </c>
      <c r="D1409" t="s">
        <v>955</v>
      </c>
      <c r="E1409" t="s">
        <v>34</v>
      </c>
      <c r="F1409" t="s">
        <v>956</v>
      </c>
      <c r="G1409" t="s">
        <v>36</v>
      </c>
      <c r="H1409" t="s">
        <v>1798</v>
      </c>
      <c r="I1409" t="s">
        <v>955</v>
      </c>
      <c r="J1409" t="s">
        <v>2763</v>
      </c>
      <c r="K1409" s="21" t="s">
        <v>2764</v>
      </c>
      <c r="L1409" s="21" t="s">
        <v>959</v>
      </c>
      <c r="M1409" t="s">
        <v>960</v>
      </c>
      <c r="N1409" t="s">
        <v>961</v>
      </c>
      <c r="O1409" t="s">
        <v>962</v>
      </c>
      <c r="R1409" t="s">
        <v>964</v>
      </c>
      <c r="S1409" t="s">
        <v>2763</v>
      </c>
      <c r="T1409" t="s">
        <v>1249</v>
      </c>
      <c r="U1409" t="s">
        <v>2765</v>
      </c>
      <c r="V1409" t="s">
        <v>965</v>
      </c>
      <c r="W1409" t="s">
        <v>2754</v>
      </c>
    </row>
    <row r="1410" spans="1:23" ht="15" customHeight="1" x14ac:dyDescent="0.3">
      <c r="A1410" t="s">
        <v>8</v>
      </c>
      <c r="B1410">
        <v>186</v>
      </c>
      <c r="C1410" t="s">
        <v>954</v>
      </c>
      <c r="D1410" t="s">
        <v>955</v>
      </c>
      <c r="E1410" t="s">
        <v>34</v>
      </c>
      <c r="F1410" t="s">
        <v>956</v>
      </c>
      <c r="G1410" t="s">
        <v>36</v>
      </c>
      <c r="H1410" t="s">
        <v>1798</v>
      </c>
      <c r="I1410" t="s">
        <v>955</v>
      </c>
      <c r="J1410" t="s">
        <v>2763</v>
      </c>
      <c r="K1410" s="21" t="s">
        <v>2764</v>
      </c>
      <c r="L1410" s="21" t="s">
        <v>959</v>
      </c>
      <c r="M1410" t="s">
        <v>960</v>
      </c>
      <c r="N1410" t="s">
        <v>961</v>
      </c>
      <c r="O1410" t="s">
        <v>962</v>
      </c>
      <c r="R1410" t="s">
        <v>967</v>
      </c>
      <c r="S1410" t="s">
        <v>2763</v>
      </c>
      <c r="T1410" t="s">
        <v>1249</v>
      </c>
      <c r="U1410" t="s">
        <v>2765</v>
      </c>
      <c r="V1410" t="s">
        <v>965</v>
      </c>
      <c r="W1410" t="s">
        <v>2754</v>
      </c>
    </row>
    <row r="1411" spans="1:23" ht="15" customHeight="1" x14ac:dyDescent="0.3">
      <c r="A1411" t="s">
        <v>8</v>
      </c>
      <c r="B1411">
        <v>186</v>
      </c>
      <c r="C1411" t="s">
        <v>954</v>
      </c>
      <c r="D1411" t="s">
        <v>955</v>
      </c>
      <c r="E1411" t="s">
        <v>34</v>
      </c>
      <c r="F1411" t="s">
        <v>956</v>
      </c>
      <c r="G1411" t="s">
        <v>36</v>
      </c>
      <c r="H1411" t="s">
        <v>1798</v>
      </c>
      <c r="I1411" t="s">
        <v>955</v>
      </c>
      <c r="J1411" t="s">
        <v>2763</v>
      </c>
      <c r="K1411" s="21" t="s">
        <v>2764</v>
      </c>
      <c r="L1411" s="21" t="s">
        <v>959</v>
      </c>
      <c r="M1411" t="s">
        <v>960</v>
      </c>
      <c r="N1411" t="s">
        <v>961</v>
      </c>
      <c r="O1411" t="s">
        <v>962</v>
      </c>
      <c r="R1411" t="s">
        <v>971</v>
      </c>
      <c r="S1411" t="s">
        <v>2763</v>
      </c>
      <c r="T1411" t="s">
        <v>1249</v>
      </c>
      <c r="U1411" t="s">
        <v>2765</v>
      </c>
      <c r="V1411" t="s">
        <v>965</v>
      </c>
      <c r="W1411" t="s">
        <v>2754</v>
      </c>
    </row>
    <row r="1412" spans="1:23" ht="15" customHeight="1" x14ac:dyDescent="0.3">
      <c r="A1412" t="s">
        <v>8</v>
      </c>
      <c r="B1412">
        <v>186</v>
      </c>
      <c r="C1412" t="s">
        <v>954</v>
      </c>
      <c r="D1412" t="s">
        <v>955</v>
      </c>
      <c r="E1412" t="s">
        <v>34</v>
      </c>
      <c r="F1412" t="s">
        <v>956</v>
      </c>
      <c r="G1412" t="s">
        <v>36</v>
      </c>
      <c r="H1412" t="s">
        <v>1798</v>
      </c>
      <c r="I1412" t="s">
        <v>955</v>
      </c>
      <c r="J1412" t="s">
        <v>2763</v>
      </c>
      <c r="K1412" s="21" t="s">
        <v>2764</v>
      </c>
      <c r="L1412" s="21" t="s">
        <v>959</v>
      </c>
      <c r="M1412" t="s">
        <v>960</v>
      </c>
      <c r="N1412" t="s">
        <v>961</v>
      </c>
      <c r="O1412" t="s">
        <v>962</v>
      </c>
      <c r="R1412" t="s">
        <v>976</v>
      </c>
      <c r="S1412" t="s">
        <v>2763</v>
      </c>
      <c r="T1412" t="s">
        <v>1249</v>
      </c>
      <c r="U1412" t="s">
        <v>2765</v>
      </c>
      <c r="V1412" t="s">
        <v>965</v>
      </c>
      <c r="W1412" t="s">
        <v>2754</v>
      </c>
    </row>
    <row r="1413" spans="1:23" ht="15" customHeight="1" x14ac:dyDescent="0.3">
      <c r="A1413" t="s">
        <v>8</v>
      </c>
      <c r="B1413">
        <v>186</v>
      </c>
      <c r="C1413" t="s">
        <v>954</v>
      </c>
      <c r="D1413" t="s">
        <v>955</v>
      </c>
      <c r="E1413" t="s">
        <v>34</v>
      </c>
      <c r="F1413" t="s">
        <v>956</v>
      </c>
      <c r="G1413" t="s">
        <v>36</v>
      </c>
      <c r="H1413" t="s">
        <v>1803</v>
      </c>
      <c r="I1413" t="s">
        <v>955</v>
      </c>
      <c r="J1413" t="s">
        <v>2766</v>
      </c>
      <c r="K1413" s="21" t="s">
        <v>2767</v>
      </c>
      <c r="L1413" s="21" t="s">
        <v>959</v>
      </c>
      <c r="M1413" t="s">
        <v>960</v>
      </c>
      <c r="N1413" t="s">
        <v>961</v>
      </c>
      <c r="O1413" t="s">
        <v>962</v>
      </c>
      <c r="R1413" t="s">
        <v>964</v>
      </c>
      <c r="S1413" t="s">
        <v>2766</v>
      </c>
      <c r="T1413" t="s">
        <v>1249</v>
      </c>
      <c r="U1413" t="s">
        <v>1286</v>
      </c>
      <c r="V1413" t="s">
        <v>965</v>
      </c>
      <c r="W1413" t="s">
        <v>2754</v>
      </c>
    </row>
    <row r="1414" spans="1:23" ht="15" customHeight="1" x14ac:dyDescent="0.3">
      <c r="A1414" t="s">
        <v>8</v>
      </c>
      <c r="B1414">
        <v>186</v>
      </c>
      <c r="C1414" t="s">
        <v>954</v>
      </c>
      <c r="D1414" t="s">
        <v>955</v>
      </c>
      <c r="E1414" t="s">
        <v>34</v>
      </c>
      <c r="F1414" t="s">
        <v>956</v>
      </c>
      <c r="G1414" t="s">
        <v>36</v>
      </c>
      <c r="H1414" t="s">
        <v>1803</v>
      </c>
      <c r="I1414" t="s">
        <v>955</v>
      </c>
      <c r="J1414" t="s">
        <v>2766</v>
      </c>
      <c r="K1414" s="21" t="s">
        <v>2767</v>
      </c>
      <c r="L1414" s="21" t="s">
        <v>959</v>
      </c>
      <c r="M1414" t="s">
        <v>960</v>
      </c>
      <c r="N1414" t="s">
        <v>961</v>
      </c>
      <c r="O1414" t="s">
        <v>962</v>
      </c>
      <c r="R1414" t="s">
        <v>967</v>
      </c>
      <c r="S1414" t="s">
        <v>2766</v>
      </c>
      <c r="T1414" t="s">
        <v>1249</v>
      </c>
      <c r="U1414" t="s">
        <v>1286</v>
      </c>
      <c r="V1414" t="s">
        <v>965</v>
      </c>
      <c r="W1414" t="s">
        <v>2754</v>
      </c>
    </row>
    <row r="1415" spans="1:23" ht="15" customHeight="1" x14ac:dyDescent="0.3">
      <c r="A1415" t="s">
        <v>8</v>
      </c>
      <c r="B1415">
        <v>186</v>
      </c>
      <c r="C1415" t="s">
        <v>954</v>
      </c>
      <c r="D1415" t="s">
        <v>955</v>
      </c>
      <c r="E1415" t="s">
        <v>34</v>
      </c>
      <c r="F1415" t="s">
        <v>956</v>
      </c>
      <c r="G1415" t="s">
        <v>36</v>
      </c>
      <c r="H1415" t="s">
        <v>1803</v>
      </c>
      <c r="I1415" t="s">
        <v>955</v>
      </c>
      <c r="J1415" t="s">
        <v>2766</v>
      </c>
      <c r="K1415" s="21" t="s">
        <v>2767</v>
      </c>
      <c r="L1415" s="21" t="s">
        <v>959</v>
      </c>
      <c r="M1415" t="s">
        <v>960</v>
      </c>
      <c r="N1415" t="s">
        <v>961</v>
      </c>
      <c r="O1415" t="s">
        <v>962</v>
      </c>
      <c r="R1415" t="s">
        <v>971</v>
      </c>
      <c r="S1415" t="s">
        <v>2766</v>
      </c>
      <c r="T1415" t="s">
        <v>1249</v>
      </c>
      <c r="U1415" t="s">
        <v>1286</v>
      </c>
      <c r="V1415" t="s">
        <v>965</v>
      </c>
      <c r="W1415" t="s">
        <v>2754</v>
      </c>
    </row>
    <row r="1416" spans="1:23" ht="15" customHeight="1" x14ac:dyDescent="0.3">
      <c r="A1416" t="s">
        <v>8</v>
      </c>
      <c r="B1416">
        <v>186</v>
      </c>
      <c r="C1416" t="s">
        <v>954</v>
      </c>
      <c r="D1416" t="s">
        <v>955</v>
      </c>
      <c r="E1416" t="s">
        <v>34</v>
      </c>
      <c r="F1416" t="s">
        <v>956</v>
      </c>
      <c r="G1416" t="s">
        <v>36</v>
      </c>
      <c r="H1416" t="s">
        <v>1803</v>
      </c>
      <c r="I1416" t="s">
        <v>955</v>
      </c>
      <c r="J1416" t="s">
        <v>2766</v>
      </c>
      <c r="K1416" s="21" t="s">
        <v>2767</v>
      </c>
      <c r="L1416" s="21" t="s">
        <v>959</v>
      </c>
      <c r="M1416" t="s">
        <v>960</v>
      </c>
      <c r="N1416" t="s">
        <v>961</v>
      </c>
      <c r="O1416" t="s">
        <v>962</v>
      </c>
      <c r="R1416" t="s">
        <v>976</v>
      </c>
      <c r="S1416" t="s">
        <v>2766</v>
      </c>
      <c r="T1416" t="s">
        <v>1249</v>
      </c>
      <c r="U1416" t="s">
        <v>1286</v>
      </c>
      <c r="V1416" t="s">
        <v>965</v>
      </c>
      <c r="W1416" t="s">
        <v>2754</v>
      </c>
    </row>
    <row r="1417" spans="1:23" ht="15" customHeight="1" x14ac:dyDescent="0.3">
      <c r="A1417" t="s">
        <v>8</v>
      </c>
      <c r="B1417">
        <v>186</v>
      </c>
      <c r="C1417" t="s">
        <v>954</v>
      </c>
      <c r="D1417" t="s">
        <v>955</v>
      </c>
      <c r="E1417" t="s">
        <v>34</v>
      </c>
      <c r="F1417" t="s">
        <v>956</v>
      </c>
      <c r="G1417" t="s">
        <v>36</v>
      </c>
      <c r="H1417" t="s">
        <v>2526</v>
      </c>
      <c r="I1417" t="s">
        <v>955</v>
      </c>
      <c r="J1417" t="s">
        <v>2768</v>
      </c>
      <c r="K1417" s="21" t="s">
        <v>2769</v>
      </c>
      <c r="L1417" s="21" t="s">
        <v>959</v>
      </c>
      <c r="M1417" t="s">
        <v>960</v>
      </c>
      <c r="N1417" t="s">
        <v>961</v>
      </c>
      <c r="O1417" t="s">
        <v>962</v>
      </c>
      <c r="R1417" t="s">
        <v>964</v>
      </c>
      <c r="S1417" t="s">
        <v>2768</v>
      </c>
      <c r="T1417" t="s">
        <v>1249</v>
      </c>
      <c r="U1417" t="s">
        <v>2456</v>
      </c>
      <c r="V1417" t="s">
        <v>2770</v>
      </c>
      <c r="W1417" t="s">
        <v>2771</v>
      </c>
    </row>
    <row r="1418" spans="1:23" ht="15" customHeight="1" x14ac:dyDescent="0.3">
      <c r="A1418" t="s">
        <v>8</v>
      </c>
      <c r="B1418">
        <v>186</v>
      </c>
      <c r="C1418" t="s">
        <v>954</v>
      </c>
      <c r="D1418" t="s">
        <v>955</v>
      </c>
      <c r="E1418" t="s">
        <v>34</v>
      </c>
      <c r="F1418" t="s">
        <v>956</v>
      </c>
      <c r="G1418" t="s">
        <v>36</v>
      </c>
      <c r="H1418" t="s">
        <v>2526</v>
      </c>
      <c r="I1418" t="s">
        <v>955</v>
      </c>
      <c r="J1418" t="s">
        <v>2768</v>
      </c>
      <c r="K1418" s="21" t="s">
        <v>2769</v>
      </c>
      <c r="L1418" s="21" t="s">
        <v>959</v>
      </c>
      <c r="M1418" t="s">
        <v>960</v>
      </c>
      <c r="N1418" t="s">
        <v>961</v>
      </c>
      <c r="O1418" t="s">
        <v>962</v>
      </c>
      <c r="R1418" t="s">
        <v>967</v>
      </c>
      <c r="S1418" t="s">
        <v>2768</v>
      </c>
      <c r="T1418" t="s">
        <v>1249</v>
      </c>
      <c r="U1418" t="s">
        <v>2456</v>
      </c>
      <c r="V1418" t="s">
        <v>2770</v>
      </c>
      <c r="W1418" t="s">
        <v>2771</v>
      </c>
    </row>
    <row r="1419" spans="1:23" ht="15" customHeight="1" x14ac:dyDescent="0.3">
      <c r="A1419" t="s">
        <v>8</v>
      </c>
      <c r="B1419">
        <v>186</v>
      </c>
      <c r="C1419" t="s">
        <v>954</v>
      </c>
      <c r="D1419" t="s">
        <v>955</v>
      </c>
      <c r="E1419" t="s">
        <v>34</v>
      </c>
      <c r="F1419" t="s">
        <v>956</v>
      </c>
      <c r="G1419" t="s">
        <v>36</v>
      </c>
      <c r="H1419" t="s">
        <v>2526</v>
      </c>
      <c r="I1419" t="s">
        <v>955</v>
      </c>
      <c r="J1419" t="s">
        <v>2768</v>
      </c>
      <c r="K1419" s="21" t="s">
        <v>2769</v>
      </c>
      <c r="L1419" s="21" t="s">
        <v>959</v>
      </c>
      <c r="M1419" t="s">
        <v>960</v>
      </c>
      <c r="N1419" t="s">
        <v>961</v>
      </c>
      <c r="O1419" t="s">
        <v>962</v>
      </c>
      <c r="R1419" t="s">
        <v>971</v>
      </c>
      <c r="S1419" t="s">
        <v>2768</v>
      </c>
      <c r="T1419" t="s">
        <v>1249</v>
      </c>
      <c r="U1419" t="s">
        <v>2456</v>
      </c>
      <c r="V1419" t="s">
        <v>2770</v>
      </c>
      <c r="W1419" t="s">
        <v>2771</v>
      </c>
    </row>
    <row r="1420" spans="1:23" ht="15" customHeight="1" x14ac:dyDescent="0.3">
      <c r="A1420" t="s">
        <v>8</v>
      </c>
      <c r="B1420">
        <v>186</v>
      </c>
      <c r="C1420" t="s">
        <v>954</v>
      </c>
      <c r="D1420" t="s">
        <v>955</v>
      </c>
      <c r="E1420" t="s">
        <v>34</v>
      </c>
      <c r="F1420" t="s">
        <v>956</v>
      </c>
      <c r="G1420" t="s">
        <v>36</v>
      </c>
      <c r="H1420" t="s">
        <v>2526</v>
      </c>
      <c r="I1420" t="s">
        <v>955</v>
      </c>
      <c r="J1420" t="s">
        <v>2768</v>
      </c>
      <c r="K1420" s="21" t="s">
        <v>2769</v>
      </c>
      <c r="L1420" s="21" t="s">
        <v>959</v>
      </c>
      <c r="M1420" t="s">
        <v>960</v>
      </c>
      <c r="N1420" t="s">
        <v>961</v>
      </c>
      <c r="O1420" t="s">
        <v>962</v>
      </c>
      <c r="R1420" t="s">
        <v>976</v>
      </c>
      <c r="S1420" t="s">
        <v>2768</v>
      </c>
      <c r="T1420" t="s">
        <v>1249</v>
      </c>
      <c r="U1420" t="s">
        <v>2456</v>
      </c>
      <c r="V1420" t="s">
        <v>2770</v>
      </c>
      <c r="W1420" t="s">
        <v>2771</v>
      </c>
    </row>
    <row r="1421" spans="1:23" ht="15" customHeight="1" x14ac:dyDescent="0.3">
      <c r="A1421" t="s">
        <v>8</v>
      </c>
      <c r="B1421">
        <v>186</v>
      </c>
      <c r="C1421" t="s">
        <v>954</v>
      </c>
      <c r="D1421" t="s">
        <v>955</v>
      </c>
      <c r="E1421" t="s">
        <v>34</v>
      </c>
      <c r="F1421" t="s">
        <v>956</v>
      </c>
      <c r="G1421" t="s">
        <v>36</v>
      </c>
      <c r="H1421" t="s">
        <v>2772</v>
      </c>
      <c r="I1421" t="s">
        <v>955</v>
      </c>
      <c r="J1421" t="s">
        <v>2773</v>
      </c>
      <c r="K1421" s="21" t="s">
        <v>2774</v>
      </c>
      <c r="L1421" s="21" t="s">
        <v>959</v>
      </c>
      <c r="M1421" t="s">
        <v>960</v>
      </c>
      <c r="N1421" t="s">
        <v>961</v>
      </c>
      <c r="O1421" t="s">
        <v>962</v>
      </c>
      <c r="R1421" t="s">
        <v>964</v>
      </c>
      <c r="S1421" t="s">
        <v>2773</v>
      </c>
      <c r="T1421" t="s">
        <v>1249</v>
      </c>
      <c r="U1421" t="s">
        <v>1444</v>
      </c>
      <c r="V1421" t="s">
        <v>2770</v>
      </c>
      <c r="W1421" t="s">
        <v>2771</v>
      </c>
    </row>
    <row r="1422" spans="1:23" ht="15" customHeight="1" x14ac:dyDescent="0.3">
      <c r="A1422" t="s">
        <v>8</v>
      </c>
      <c r="B1422">
        <v>186</v>
      </c>
      <c r="C1422" t="s">
        <v>954</v>
      </c>
      <c r="D1422" t="s">
        <v>955</v>
      </c>
      <c r="E1422" t="s">
        <v>34</v>
      </c>
      <c r="F1422" t="s">
        <v>956</v>
      </c>
      <c r="G1422" t="s">
        <v>36</v>
      </c>
      <c r="H1422" t="s">
        <v>2772</v>
      </c>
      <c r="I1422" t="s">
        <v>955</v>
      </c>
      <c r="J1422" t="s">
        <v>2773</v>
      </c>
      <c r="K1422" s="21" t="s">
        <v>2774</v>
      </c>
      <c r="L1422" s="21" t="s">
        <v>959</v>
      </c>
      <c r="M1422" t="s">
        <v>960</v>
      </c>
      <c r="N1422" t="s">
        <v>961</v>
      </c>
      <c r="O1422" t="s">
        <v>962</v>
      </c>
      <c r="R1422" t="s">
        <v>967</v>
      </c>
      <c r="S1422" t="s">
        <v>2773</v>
      </c>
      <c r="T1422" t="s">
        <v>1249</v>
      </c>
      <c r="U1422" t="s">
        <v>1444</v>
      </c>
      <c r="V1422" t="s">
        <v>2770</v>
      </c>
      <c r="W1422" t="s">
        <v>2771</v>
      </c>
    </row>
    <row r="1423" spans="1:23" ht="15" customHeight="1" x14ac:dyDescent="0.3">
      <c r="A1423" t="s">
        <v>8</v>
      </c>
      <c r="B1423">
        <v>186</v>
      </c>
      <c r="C1423" t="s">
        <v>954</v>
      </c>
      <c r="D1423" t="s">
        <v>955</v>
      </c>
      <c r="E1423" t="s">
        <v>34</v>
      </c>
      <c r="F1423" t="s">
        <v>956</v>
      </c>
      <c r="G1423" t="s">
        <v>36</v>
      </c>
      <c r="H1423" t="s">
        <v>2772</v>
      </c>
      <c r="I1423" t="s">
        <v>955</v>
      </c>
      <c r="J1423" t="s">
        <v>2773</v>
      </c>
      <c r="K1423" s="21" t="s">
        <v>2774</v>
      </c>
      <c r="L1423" s="21" t="s">
        <v>959</v>
      </c>
      <c r="M1423" t="s">
        <v>960</v>
      </c>
      <c r="N1423" t="s">
        <v>961</v>
      </c>
      <c r="O1423" t="s">
        <v>962</v>
      </c>
      <c r="R1423" t="s">
        <v>971</v>
      </c>
      <c r="S1423" t="s">
        <v>2773</v>
      </c>
      <c r="T1423" t="s">
        <v>1249</v>
      </c>
      <c r="U1423" t="s">
        <v>1444</v>
      </c>
      <c r="V1423" t="s">
        <v>2770</v>
      </c>
      <c r="W1423" t="s">
        <v>2771</v>
      </c>
    </row>
    <row r="1424" spans="1:23" ht="15" customHeight="1" x14ac:dyDescent="0.3">
      <c r="A1424" t="s">
        <v>8</v>
      </c>
      <c r="B1424">
        <v>186</v>
      </c>
      <c r="C1424" t="s">
        <v>954</v>
      </c>
      <c r="D1424" t="s">
        <v>955</v>
      </c>
      <c r="E1424" t="s">
        <v>34</v>
      </c>
      <c r="F1424" t="s">
        <v>956</v>
      </c>
      <c r="G1424" t="s">
        <v>36</v>
      </c>
      <c r="H1424" t="s">
        <v>2772</v>
      </c>
      <c r="I1424" t="s">
        <v>955</v>
      </c>
      <c r="J1424" t="s">
        <v>2773</v>
      </c>
      <c r="K1424" s="21" t="s">
        <v>2774</v>
      </c>
      <c r="L1424" s="21" t="s">
        <v>959</v>
      </c>
      <c r="M1424" t="s">
        <v>960</v>
      </c>
      <c r="N1424" t="s">
        <v>961</v>
      </c>
      <c r="O1424" t="s">
        <v>962</v>
      </c>
      <c r="R1424" t="s">
        <v>976</v>
      </c>
      <c r="S1424" t="s">
        <v>2773</v>
      </c>
      <c r="T1424" t="s">
        <v>1249</v>
      </c>
      <c r="U1424" t="s">
        <v>1444</v>
      </c>
      <c r="V1424" t="s">
        <v>2770</v>
      </c>
      <c r="W1424" t="s">
        <v>2771</v>
      </c>
    </row>
    <row r="1425" spans="1:23" ht="15" customHeight="1" x14ac:dyDescent="0.3">
      <c r="A1425" t="s">
        <v>8</v>
      </c>
      <c r="B1425">
        <v>185</v>
      </c>
      <c r="C1425" t="s">
        <v>954</v>
      </c>
      <c r="D1425" t="s">
        <v>1005</v>
      </c>
      <c r="E1425" t="s">
        <v>34</v>
      </c>
      <c r="F1425" t="s">
        <v>1006</v>
      </c>
      <c r="G1425" t="s">
        <v>36</v>
      </c>
      <c r="H1425" t="s">
        <v>37</v>
      </c>
      <c r="I1425" t="s">
        <v>1005</v>
      </c>
      <c r="J1425" t="s">
        <v>1007</v>
      </c>
      <c r="K1425" t="s">
        <v>1008</v>
      </c>
      <c r="L1425" s="21" t="s">
        <v>1009</v>
      </c>
      <c r="M1425" t="s">
        <v>1010</v>
      </c>
      <c r="N1425" t="s">
        <v>961</v>
      </c>
      <c r="R1425" t="s">
        <v>1024</v>
      </c>
      <c r="S1425" t="s">
        <v>1007</v>
      </c>
      <c r="T1425" t="s">
        <v>45</v>
      </c>
      <c r="U1425" t="s">
        <v>46</v>
      </c>
      <c r="V1425" t="s">
        <v>1013</v>
      </c>
      <c r="W1425" t="s">
        <v>1014</v>
      </c>
    </row>
    <row r="1426" spans="1:23" ht="15" customHeight="1" x14ac:dyDescent="0.3">
      <c r="A1426" t="s">
        <v>8</v>
      </c>
      <c r="B1426">
        <v>185</v>
      </c>
      <c r="C1426" t="s">
        <v>954</v>
      </c>
      <c r="D1426" t="s">
        <v>1005</v>
      </c>
      <c r="E1426" t="s">
        <v>34</v>
      </c>
      <c r="F1426" t="s">
        <v>1006</v>
      </c>
      <c r="G1426" t="s">
        <v>36</v>
      </c>
      <c r="H1426" t="s">
        <v>37</v>
      </c>
      <c r="I1426" t="s">
        <v>1005</v>
      </c>
      <c r="J1426" t="s">
        <v>1007</v>
      </c>
      <c r="K1426" t="s">
        <v>1008</v>
      </c>
      <c r="L1426" s="21" t="s">
        <v>1009</v>
      </c>
      <c r="M1426" t="s">
        <v>1010</v>
      </c>
      <c r="N1426" t="s">
        <v>961</v>
      </c>
      <c r="R1426" t="s">
        <v>1015</v>
      </c>
      <c r="S1426" t="s">
        <v>1007</v>
      </c>
      <c r="T1426" t="s">
        <v>45</v>
      </c>
      <c r="U1426" t="s">
        <v>46</v>
      </c>
      <c r="V1426" t="s">
        <v>1013</v>
      </c>
      <c r="W1426" t="s">
        <v>1014</v>
      </c>
    </row>
    <row r="1427" spans="1:23" ht="15" customHeight="1" x14ac:dyDescent="0.3">
      <c r="A1427" t="s">
        <v>8</v>
      </c>
      <c r="B1427">
        <v>185</v>
      </c>
      <c r="C1427" t="s">
        <v>954</v>
      </c>
      <c r="D1427" t="s">
        <v>1005</v>
      </c>
      <c r="E1427" t="s">
        <v>34</v>
      </c>
      <c r="F1427" t="s">
        <v>1006</v>
      </c>
      <c r="G1427" t="s">
        <v>36</v>
      </c>
      <c r="H1427" t="s">
        <v>37</v>
      </c>
      <c r="I1427" t="s">
        <v>1005</v>
      </c>
      <c r="J1427" t="s">
        <v>1007</v>
      </c>
      <c r="K1427" t="s">
        <v>1008</v>
      </c>
      <c r="L1427" s="21" t="s">
        <v>1009</v>
      </c>
      <c r="M1427" t="s">
        <v>1010</v>
      </c>
      <c r="N1427" t="s">
        <v>961</v>
      </c>
      <c r="R1427" t="s">
        <v>1012</v>
      </c>
      <c r="S1427" t="s">
        <v>1007</v>
      </c>
      <c r="T1427" t="s">
        <v>45</v>
      </c>
      <c r="U1427" t="s">
        <v>46</v>
      </c>
      <c r="V1427" t="s">
        <v>1013</v>
      </c>
      <c r="W1427" t="s">
        <v>1014</v>
      </c>
    </row>
    <row r="1428" spans="1:23" ht="15" customHeight="1" x14ac:dyDescent="0.3">
      <c r="A1428" t="s">
        <v>8</v>
      </c>
      <c r="B1428">
        <v>185</v>
      </c>
      <c r="C1428" t="s">
        <v>954</v>
      </c>
      <c r="D1428" t="s">
        <v>1005</v>
      </c>
      <c r="E1428" t="s">
        <v>34</v>
      </c>
      <c r="F1428" t="s">
        <v>1006</v>
      </c>
      <c r="G1428" t="s">
        <v>36</v>
      </c>
      <c r="H1428" t="s">
        <v>37</v>
      </c>
      <c r="I1428" t="s">
        <v>1005</v>
      </c>
      <c r="J1428" t="s">
        <v>1007</v>
      </c>
      <c r="K1428" t="s">
        <v>1008</v>
      </c>
      <c r="L1428" s="21" t="s">
        <v>1009</v>
      </c>
      <c r="M1428" t="s">
        <v>1010</v>
      </c>
      <c r="N1428" t="s">
        <v>961</v>
      </c>
      <c r="R1428" t="s">
        <v>1019</v>
      </c>
      <c r="S1428" t="s">
        <v>1007</v>
      </c>
      <c r="T1428" t="s">
        <v>45</v>
      </c>
      <c r="U1428" t="s">
        <v>46</v>
      </c>
      <c r="V1428" t="s">
        <v>1013</v>
      </c>
      <c r="W1428" t="s">
        <v>1014</v>
      </c>
    </row>
    <row r="1429" spans="1:23" ht="15" customHeight="1" x14ac:dyDescent="0.3">
      <c r="A1429" t="s">
        <v>8</v>
      </c>
      <c r="B1429">
        <v>185</v>
      </c>
      <c r="C1429" t="s">
        <v>954</v>
      </c>
      <c r="D1429" t="s">
        <v>1005</v>
      </c>
      <c r="E1429" t="s">
        <v>34</v>
      </c>
      <c r="F1429" t="s">
        <v>1006</v>
      </c>
      <c r="G1429" t="s">
        <v>36</v>
      </c>
      <c r="H1429" t="s">
        <v>52</v>
      </c>
      <c r="I1429" t="s">
        <v>1005</v>
      </c>
      <c r="J1429" t="s">
        <v>1017</v>
      </c>
      <c r="K1429" s="21" t="s">
        <v>1018</v>
      </c>
      <c r="L1429" s="21" t="s">
        <v>1009</v>
      </c>
      <c r="M1429" t="s">
        <v>1010</v>
      </c>
      <c r="N1429" t="s">
        <v>961</v>
      </c>
      <c r="R1429" t="s">
        <v>1024</v>
      </c>
      <c r="S1429" t="s">
        <v>1017</v>
      </c>
      <c r="T1429" t="s">
        <v>45</v>
      </c>
      <c r="U1429" t="s">
        <v>46</v>
      </c>
      <c r="V1429" t="s">
        <v>1020</v>
      </c>
      <c r="W1429" t="s">
        <v>1021</v>
      </c>
    </row>
    <row r="1430" spans="1:23" ht="15" customHeight="1" x14ac:dyDescent="0.3">
      <c r="A1430" t="s">
        <v>8</v>
      </c>
      <c r="B1430">
        <v>185</v>
      </c>
      <c r="C1430" t="s">
        <v>954</v>
      </c>
      <c r="D1430" t="s">
        <v>1005</v>
      </c>
      <c r="E1430" t="s">
        <v>34</v>
      </c>
      <c r="F1430" t="s">
        <v>1006</v>
      </c>
      <c r="G1430" t="s">
        <v>36</v>
      </c>
      <c r="H1430" t="s">
        <v>52</v>
      </c>
      <c r="I1430" t="s">
        <v>1005</v>
      </c>
      <c r="J1430" t="s">
        <v>1017</v>
      </c>
      <c r="K1430" s="21" t="s">
        <v>1018</v>
      </c>
      <c r="L1430" s="21" t="s">
        <v>1009</v>
      </c>
      <c r="M1430" t="s">
        <v>1010</v>
      </c>
      <c r="N1430" t="s">
        <v>961</v>
      </c>
      <c r="R1430" t="s">
        <v>1015</v>
      </c>
      <c r="S1430" t="s">
        <v>1017</v>
      </c>
      <c r="T1430" t="s">
        <v>45</v>
      </c>
      <c r="U1430" t="s">
        <v>46</v>
      </c>
      <c r="V1430" t="s">
        <v>1020</v>
      </c>
      <c r="W1430" t="s">
        <v>1021</v>
      </c>
    </row>
    <row r="1431" spans="1:23" ht="15" customHeight="1" x14ac:dyDescent="0.3">
      <c r="A1431" t="s">
        <v>8</v>
      </c>
      <c r="B1431">
        <v>185</v>
      </c>
      <c r="C1431" t="s">
        <v>954</v>
      </c>
      <c r="D1431" t="s">
        <v>1005</v>
      </c>
      <c r="E1431" t="s">
        <v>34</v>
      </c>
      <c r="F1431" t="s">
        <v>1006</v>
      </c>
      <c r="G1431" t="s">
        <v>36</v>
      </c>
      <c r="H1431" t="s">
        <v>52</v>
      </c>
      <c r="I1431" t="s">
        <v>1005</v>
      </c>
      <c r="J1431" t="s">
        <v>1017</v>
      </c>
      <c r="K1431" s="21" t="s">
        <v>1018</v>
      </c>
      <c r="L1431" s="21" t="s">
        <v>1009</v>
      </c>
      <c r="M1431" t="s">
        <v>1010</v>
      </c>
      <c r="N1431" t="s">
        <v>961</v>
      </c>
      <c r="R1431" t="s">
        <v>1012</v>
      </c>
      <c r="S1431" t="s">
        <v>1017</v>
      </c>
      <c r="T1431" t="s">
        <v>45</v>
      </c>
      <c r="U1431" t="s">
        <v>46</v>
      </c>
      <c r="V1431" t="s">
        <v>1020</v>
      </c>
      <c r="W1431" t="s">
        <v>1021</v>
      </c>
    </row>
    <row r="1432" spans="1:23" ht="15" customHeight="1" x14ac:dyDescent="0.3">
      <c r="A1432" t="s">
        <v>8</v>
      </c>
      <c r="B1432">
        <v>185</v>
      </c>
      <c r="C1432" t="s">
        <v>954</v>
      </c>
      <c r="D1432" t="s">
        <v>1005</v>
      </c>
      <c r="E1432" t="s">
        <v>34</v>
      </c>
      <c r="F1432" t="s">
        <v>1006</v>
      </c>
      <c r="G1432" t="s">
        <v>36</v>
      </c>
      <c r="H1432" t="s">
        <v>52</v>
      </c>
      <c r="I1432" t="s">
        <v>1005</v>
      </c>
      <c r="J1432" t="s">
        <v>1017</v>
      </c>
      <c r="K1432" s="21" t="s">
        <v>1018</v>
      </c>
      <c r="L1432" s="21" t="s">
        <v>1009</v>
      </c>
      <c r="M1432" t="s">
        <v>1010</v>
      </c>
      <c r="N1432" t="s">
        <v>961</v>
      </c>
      <c r="R1432" t="s">
        <v>1019</v>
      </c>
      <c r="S1432" t="s">
        <v>1017</v>
      </c>
      <c r="T1432" t="s">
        <v>45</v>
      </c>
      <c r="U1432" t="s">
        <v>46</v>
      </c>
      <c r="V1432" t="s">
        <v>1020</v>
      </c>
      <c r="W1432" t="s">
        <v>1021</v>
      </c>
    </row>
    <row r="1433" spans="1:23" ht="15" customHeight="1" x14ac:dyDescent="0.3">
      <c r="A1433" t="s">
        <v>8</v>
      </c>
      <c r="B1433">
        <v>185</v>
      </c>
      <c r="C1433" t="s">
        <v>954</v>
      </c>
      <c r="D1433" t="s">
        <v>1005</v>
      </c>
      <c r="E1433" t="s">
        <v>34</v>
      </c>
      <c r="F1433" t="s">
        <v>1006</v>
      </c>
      <c r="G1433" t="s">
        <v>36</v>
      </c>
      <c r="H1433" t="s">
        <v>57</v>
      </c>
      <c r="I1433" t="s">
        <v>1005</v>
      </c>
      <c r="J1433" t="s">
        <v>1022</v>
      </c>
      <c r="K1433" s="21" t="s">
        <v>1023</v>
      </c>
      <c r="L1433" s="21" t="s">
        <v>1009</v>
      </c>
      <c r="M1433" t="s">
        <v>1010</v>
      </c>
      <c r="N1433" t="s">
        <v>961</v>
      </c>
      <c r="R1433" t="s">
        <v>1024</v>
      </c>
      <c r="S1433" t="s">
        <v>1022</v>
      </c>
      <c r="T1433" t="s">
        <v>45</v>
      </c>
      <c r="U1433" t="s">
        <v>46</v>
      </c>
      <c r="V1433" t="s">
        <v>1025</v>
      </c>
      <c r="W1433" t="s">
        <v>1026</v>
      </c>
    </row>
    <row r="1434" spans="1:23" ht="15" customHeight="1" x14ac:dyDescent="0.3">
      <c r="A1434" t="s">
        <v>8</v>
      </c>
      <c r="B1434">
        <v>185</v>
      </c>
      <c r="C1434" t="s">
        <v>954</v>
      </c>
      <c r="D1434" t="s">
        <v>1005</v>
      </c>
      <c r="E1434" t="s">
        <v>34</v>
      </c>
      <c r="F1434" t="s">
        <v>1006</v>
      </c>
      <c r="G1434" t="s">
        <v>36</v>
      </c>
      <c r="H1434" t="s">
        <v>57</v>
      </c>
      <c r="I1434" t="s">
        <v>1005</v>
      </c>
      <c r="J1434" t="s">
        <v>1022</v>
      </c>
      <c r="K1434" s="21" t="s">
        <v>1023</v>
      </c>
      <c r="L1434" s="21" t="s">
        <v>1009</v>
      </c>
      <c r="M1434" t="s">
        <v>1010</v>
      </c>
      <c r="N1434" t="s">
        <v>961</v>
      </c>
      <c r="R1434" t="s">
        <v>1015</v>
      </c>
      <c r="S1434" t="s">
        <v>1022</v>
      </c>
      <c r="T1434" t="s">
        <v>45</v>
      </c>
      <c r="U1434" t="s">
        <v>46</v>
      </c>
      <c r="V1434" t="s">
        <v>1025</v>
      </c>
      <c r="W1434" t="s">
        <v>1026</v>
      </c>
    </row>
    <row r="1435" spans="1:23" ht="15" customHeight="1" x14ac:dyDescent="0.3">
      <c r="A1435" t="s">
        <v>8</v>
      </c>
      <c r="B1435">
        <v>185</v>
      </c>
      <c r="C1435" t="s">
        <v>954</v>
      </c>
      <c r="D1435" t="s">
        <v>1005</v>
      </c>
      <c r="E1435" t="s">
        <v>34</v>
      </c>
      <c r="F1435" t="s">
        <v>1006</v>
      </c>
      <c r="G1435" t="s">
        <v>36</v>
      </c>
      <c r="H1435" t="s">
        <v>57</v>
      </c>
      <c r="I1435" t="s">
        <v>1005</v>
      </c>
      <c r="J1435" t="s">
        <v>1022</v>
      </c>
      <c r="K1435" s="21" t="s">
        <v>1023</v>
      </c>
      <c r="L1435" s="21" t="s">
        <v>1009</v>
      </c>
      <c r="M1435" t="s">
        <v>1010</v>
      </c>
      <c r="N1435" t="s">
        <v>961</v>
      </c>
      <c r="R1435" t="s">
        <v>1012</v>
      </c>
      <c r="S1435" t="s">
        <v>1022</v>
      </c>
      <c r="T1435" t="s">
        <v>45</v>
      </c>
      <c r="U1435" t="s">
        <v>46</v>
      </c>
      <c r="V1435" t="s">
        <v>1025</v>
      </c>
      <c r="W1435" t="s">
        <v>1026</v>
      </c>
    </row>
    <row r="1436" spans="1:23" ht="15" customHeight="1" x14ac:dyDescent="0.3">
      <c r="A1436" t="s">
        <v>8</v>
      </c>
      <c r="B1436">
        <v>185</v>
      </c>
      <c r="C1436" t="s">
        <v>954</v>
      </c>
      <c r="D1436" t="s">
        <v>1005</v>
      </c>
      <c r="E1436" t="s">
        <v>34</v>
      </c>
      <c r="F1436" t="s">
        <v>1006</v>
      </c>
      <c r="G1436" t="s">
        <v>36</v>
      </c>
      <c r="H1436" t="s">
        <v>57</v>
      </c>
      <c r="I1436" t="s">
        <v>1005</v>
      </c>
      <c r="J1436" t="s">
        <v>1022</v>
      </c>
      <c r="K1436" s="21" t="s">
        <v>1023</v>
      </c>
      <c r="L1436" s="21" t="s">
        <v>1009</v>
      </c>
      <c r="M1436" t="s">
        <v>1010</v>
      </c>
      <c r="N1436" t="s">
        <v>961</v>
      </c>
      <c r="R1436" t="s">
        <v>1019</v>
      </c>
      <c r="S1436" t="s">
        <v>1022</v>
      </c>
      <c r="T1436" t="s">
        <v>45</v>
      </c>
      <c r="U1436" t="s">
        <v>46</v>
      </c>
      <c r="V1436" t="s">
        <v>1025</v>
      </c>
      <c r="W1436" t="s">
        <v>1026</v>
      </c>
    </row>
    <row r="1437" spans="1:23" ht="15" customHeight="1" x14ac:dyDescent="0.3">
      <c r="A1437" t="s">
        <v>8</v>
      </c>
      <c r="B1437">
        <v>185</v>
      </c>
      <c r="C1437" t="s">
        <v>954</v>
      </c>
      <c r="D1437" t="s">
        <v>1005</v>
      </c>
      <c r="E1437" t="s">
        <v>34</v>
      </c>
      <c r="F1437" t="s">
        <v>1006</v>
      </c>
      <c r="G1437" t="s">
        <v>36</v>
      </c>
      <c r="H1437" t="s">
        <v>49</v>
      </c>
      <c r="I1437" t="s">
        <v>1005</v>
      </c>
      <c r="J1437" t="s">
        <v>1027</v>
      </c>
      <c r="K1437" s="21" t="s">
        <v>1028</v>
      </c>
      <c r="L1437" s="21" t="s">
        <v>1009</v>
      </c>
      <c r="M1437" t="s">
        <v>1010</v>
      </c>
      <c r="N1437" t="s">
        <v>961</v>
      </c>
      <c r="R1437" t="s">
        <v>1024</v>
      </c>
      <c r="S1437" t="s">
        <v>1027</v>
      </c>
      <c r="T1437" t="s">
        <v>45</v>
      </c>
      <c r="U1437" t="s">
        <v>46</v>
      </c>
      <c r="V1437" t="s">
        <v>1029</v>
      </c>
      <c r="W1437" t="s">
        <v>1030</v>
      </c>
    </row>
    <row r="1438" spans="1:23" ht="15" customHeight="1" x14ac:dyDescent="0.3">
      <c r="A1438" t="s">
        <v>8</v>
      </c>
      <c r="B1438">
        <v>185</v>
      </c>
      <c r="C1438" t="s">
        <v>954</v>
      </c>
      <c r="D1438" t="s">
        <v>1005</v>
      </c>
      <c r="E1438" t="s">
        <v>34</v>
      </c>
      <c r="F1438" t="s">
        <v>1006</v>
      </c>
      <c r="G1438" t="s">
        <v>36</v>
      </c>
      <c r="H1438" t="s">
        <v>49</v>
      </c>
      <c r="I1438" t="s">
        <v>1005</v>
      </c>
      <c r="J1438" t="s">
        <v>1027</v>
      </c>
      <c r="K1438" s="21" t="s">
        <v>1028</v>
      </c>
      <c r="L1438" s="21" t="s">
        <v>1009</v>
      </c>
      <c r="M1438" t="s">
        <v>1010</v>
      </c>
      <c r="N1438" t="s">
        <v>961</v>
      </c>
      <c r="R1438" t="s">
        <v>1015</v>
      </c>
      <c r="S1438" t="s">
        <v>1027</v>
      </c>
      <c r="T1438" t="s">
        <v>45</v>
      </c>
      <c r="U1438" t="s">
        <v>46</v>
      </c>
      <c r="V1438" t="s">
        <v>1029</v>
      </c>
      <c r="W1438" t="s">
        <v>1030</v>
      </c>
    </row>
    <row r="1439" spans="1:23" ht="15" customHeight="1" x14ac:dyDescent="0.3">
      <c r="A1439" t="s">
        <v>8</v>
      </c>
      <c r="B1439">
        <v>185</v>
      </c>
      <c r="C1439" t="s">
        <v>954</v>
      </c>
      <c r="D1439" t="s">
        <v>1005</v>
      </c>
      <c r="E1439" t="s">
        <v>34</v>
      </c>
      <c r="F1439" t="s">
        <v>1006</v>
      </c>
      <c r="G1439" t="s">
        <v>36</v>
      </c>
      <c r="H1439" t="s">
        <v>49</v>
      </c>
      <c r="I1439" t="s">
        <v>1005</v>
      </c>
      <c r="J1439" t="s">
        <v>1027</v>
      </c>
      <c r="K1439" s="21" t="s">
        <v>1028</v>
      </c>
      <c r="L1439" s="21" t="s">
        <v>1009</v>
      </c>
      <c r="M1439" t="s">
        <v>1010</v>
      </c>
      <c r="N1439" t="s">
        <v>961</v>
      </c>
      <c r="R1439" t="s">
        <v>1012</v>
      </c>
      <c r="S1439" t="s">
        <v>1027</v>
      </c>
      <c r="T1439" t="s">
        <v>45</v>
      </c>
      <c r="U1439" t="s">
        <v>46</v>
      </c>
      <c r="V1439" t="s">
        <v>1029</v>
      </c>
      <c r="W1439" t="s">
        <v>1030</v>
      </c>
    </row>
    <row r="1440" spans="1:23" ht="15" customHeight="1" x14ac:dyDescent="0.3">
      <c r="A1440" t="s">
        <v>8</v>
      </c>
      <c r="B1440">
        <v>185</v>
      </c>
      <c r="C1440" t="s">
        <v>954</v>
      </c>
      <c r="D1440" t="s">
        <v>1005</v>
      </c>
      <c r="E1440" t="s">
        <v>34</v>
      </c>
      <c r="F1440" t="s">
        <v>1006</v>
      </c>
      <c r="G1440" t="s">
        <v>36</v>
      </c>
      <c r="H1440" t="s">
        <v>49</v>
      </c>
      <c r="I1440" t="s">
        <v>1005</v>
      </c>
      <c r="J1440" t="s">
        <v>1027</v>
      </c>
      <c r="K1440" s="21" t="s">
        <v>1028</v>
      </c>
      <c r="L1440" s="21" t="s">
        <v>1009</v>
      </c>
      <c r="M1440" t="s">
        <v>1010</v>
      </c>
      <c r="N1440" t="s">
        <v>961</v>
      </c>
      <c r="R1440" t="s">
        <v>1019</v>
      </c>
      <c r="S1440" t="s">
        <v>1027</v>
      </c>
      <c r="T1440" t="s">
        <v>45</v>
      </c>
      <c r="U1440" t="s">
        <v>46</v>
      </c>
      <c r="V1440" t="s">
        <v>1029</v>
      </c>
      <c r="W1440" t="s">
        <v>1030</v>
      </c>
    </row>
    <row r="1441" spans="1:23" ht="15" customHeight="1" x14ac:dyDescent="0.3">
      <c r="A1441" t="s">
        <v>8</v>
      </c>
      <c r="B1441">
        <v>185</v>
      </c>
      <c r="C1441" t="s">
        <v>954</v>
      </c>
      <c r="D1441" t="s">
        <v>1005</v>
      </c>
      <c r="E1441" t="s">
        <v>34</v>
      </c>
      <c r="F1441" t="s">
        <v>1006</v>
      </c>
      <c r="G1441" t="s">
        <v>36</v>
      </c>
      <c r="H1441" t="s">
        <v>87</v>
      </c>
      <c r="I1441" t="s">
        <v>1005</v>
      </c>
      <c r="J1441" t="s">
        <v>2775</v>
      </c>
      <c r="K1441" s="21" t="s">
        <v>2776</v>
      </c>
      <c r="L1441" s="21" t="s">
        <v>1009</v>
      </c>
      <c r="M1441" t="s">
        <v>1010</v>
      </c>
      <c r="N1441" t="s">
        <v>961</v>
      </c>
      <c r="R1441" t="s">
        <v>1024</v>
      </c>
      <c r="S1441" t="s">
        <v>2775</v>
      </c>
      <c r="T1441" t="s">
        <v>1231</v>
      </c>
      <c r="U1441" t="s">
        <v>2167</v>
      </c>
      <c r="V1441" t="s">
        <v>1013</v>
      </c>
      <c r="W1441" t="s">
        <v>2777</v>
      </c>
    </row>
    <row r="1442" spans="1:23" ht="15" customHeight="1" x14ac:dyDescent="0.3">
      <c r="A1442" t="s">
        <v>8</v>
      </c>
      <c r="B1442">
        <v>185</v>
      </c>
      <c r="C1442" t="s">
        <v>954</v>
      </c>
      <c r="D1442" t="s">
        <v>1005</v>
      </c>
      <c r="E1442" t="s">
        <v>34</v>
      </c>
      <c r="F1442" t="s">
        <v>1006</v>
      </c>
      <c r="G1442" t="s">
        <v>36</v>
      </c>
      <c r="H1442" t="s">
        <v>87</v>
      </c>
      <c r="I1442" t="s">
        <v>1005</v>
      </c>
      <c r="J1442" t="s">
        <v>2775</v>
      </c>
      <c r="K1442" s="21" t="s">
        <v>2776</v>
      </c>
      <c r="L1442" s="21" t="s">
        <v>1009</v>
      </c>
      <c r="M1442" t="s">
        <v>1010</v>
      </c>
      <c r="N1442" t="s">
        <v>961</v>
      </c>
      <c r="R1442" t="s">
        <v>1015</v>
      </c>
      <c r="S1442" t="s">
        <v>2775</v>
      </c>
      <c r="T1442" t="s">
        <v>1231</v>
      </c>
      <c r="U1442" t="s">
        <v>2167</v>
      </c>
      <c r="V1442" t="s">
        <v>1013</v>
      </c>
      <c r="W1442" t="s">
        <v>2777</v>
      </c>
    </row>
    <row r="1443" spans="1:23" ht="15" customHeight="1" x14ac:dyDescent="0.3">
      <c r="A1443" t="s">
        <v>8</v>
      </c>
      <c r="B1443">
        <v>185</v>
      </c>
      <c r="C1443" t="s">
        <v>954</v>
      </c>
      <c r="D1443" t="s">
        <v>1005</v>
      </c>
      <c r="E1443" t="s">
        <v>34</v>
      </c>
      <c r="F1443" t="s">
        <v>1006</v>
      </c>
      <c r="G1443" t="s">
        <v>36</v>
      </c>
      <c r="H1443" t="s">
        <v>87</v>
      </c>
      <c r="I1443" t="s">
        <v>1005</v>
      </c>
      <c r="J1443" t="s">
        <v>2775</v>
      </c>
      <c r="K1443" s="21" t="s">
        <v>2776</v>
      </c>
      <c r="L1443" s="21" t="s">
        <v>1009</v>
      </c>
      <c r="M1443" t="s">
        <v>1010</v>
      </c>
      <c r="N1443" t="s">
        <v>961</v>
      </c>
      <c r="R1443" t="s">
        <v>1012</v>
      </c>
      <c r="S1443" t="s">
        <v>2775</v>
      </c>
      <c r="T1443" t="s">
        <v>1231</v>
      </c>
      <c r="U1443" t="s">
        <v>2167</v>
      </c>
      <c r="V1443" t="s">
        <v>1013</v>
      </c>
      <c r="W1443" t="s">
        <v>2777</v>
      </c>
    </row>
    <row r="1444" spans="1:23" ht="15" customHeight="1" x14ac:dyDescent="0.3">
      <c r="A1444" t="s">
        <v>8</v>
      </c>
      <c r="B1444">
        <v>185</v>
      </c>
      <c r="C1444" t="s">
        <v>954</v>
      </c>
      <c r="D1444" t="s">
        <v>1005</v>
      </c>
      <c r="E1444" t="s">
        <v>34</v>
      </c>
      <c r="F1444" t="s">
        <v>1006</v>
      </c>
      <c r="G1444" t="s">
        <v>36</v>
      </c>
      <c r="H1444" t="s">
        <v>87</v>
      </c>
      <c r="I1444" t="s">
        <v>1005</v>
      </c>
      <c r="J1444" t="s">
        <v>2775</v>
      </c>
      <c r="K1444" s="21" t="s">
        <v>2776</v>
      </c>
      <c r="L1444" s="21" t="s">
        <v>1009</v>
      </c>
      <c r="M1444" t="s">
        <v>1010</v>
      </c>
      <c r="N1444" t="s">
        <v>961</v>
      </c>
      <c r="R1444" t="s">
        <v>1019</v>
      </c>
      <c r="S1444" t="s">
        <v>2775</v>
      </c>
      <c r="T1444" t="s">
        <v>1231</v>
      </c>
      <c r="U1444" t="s">
        <v>2167</v>
      </c>
      <c r="V1444" t="s">
        <v>1013</v>
      </c>
      <c r="W1444" t="s">
        <v>2777</v>
      </c>
    </row>
    <row r="1445" spans="1:23" ht="15" customHeight="1" x14ac:dyDescent="0.3">
      <c r="A1445" t="s">
        <v>8</v>
      </c>
      <c r="B1445">
        <v>185</v>
      </c>
      <c r="C1445" t="s">
        <v>954</v>
      </c>
      <c r="D1445" t="s">
        <v>1005</v>
      </c>
      <c r="E1445" t="s">
        <v>34</v>
      </c>
      <c r="F1445" t="s">
        <v>1006</v>
      </c>
      <c r="G1445" t="s">
        <v>36</v>
      </c>
      <c r="H1445" t="s">
        <v>421</v>
      </c>
      <c r="I1445" t="s">
        <v>1005</v>
      </c>
      <c r="J1445" t="s">
        <v>2778</v>
      </c>
      <c r="K1445" s="21" t="s">
        <v>2779</v>
      </c>
      <c r="L1445" s="21" t="s">
        <v>1009</v>
      </c>
      <c r="M1445" t="s">
        <v>1010</v>
      </c>
      <c r="N1445" t="s">
        <v>961</v>
      </c>
      <c r="R1445" t="s">
        <v>1024</v>
      </c>
      <c r="S1445" t="s">
        <v>2778</v>
      </c>
      <c r="T1445" t="s">
        <v>1231</v>
      </c>
      <c r="U1445" t="s">
        <v>2292</v>
      </c>
      <c r="V1445" t="s">
        <v>2780</v>
      </c>
      <c r="W1445" t="s">
        <v>2781</v>
      </c>
    </row>
    <row r="1446" spans="1:23" ht="15" customHeight="1" x14ac:dyDescent="0.3">
      <c r="A1446" t="s">
        <v>8</v>
      </c>
      <c r="B1446">
        <v>185</v>
      </c>
      <c r="C1446" t="s">
        <v>954</v>
      </c>
      <c r="D1446" t="s">
        <v>1005</v>
      </c>
      <c r="E1446" t="s">
        <v>34</v>
      </c>
      <c r="F1446" t="s">
        <v>1006</v>
      </c>
      <c r="G1446" t="s">
        <v>36</v>
      </c>
      <c r="H1446" t="s">
        <v>421</v>
      </c>
      <c r="I1446" t="s">
        <v>1005</v>
      </c>
      <c r="J1446" t="s">
        <v>2778</v>
      </c>
      <c r="K1446" s="21" t="s">
        <v>2779</v>
      </c>
      <c r="L1446" s="21" t="s">
        <v>1009</v>
      </c>
      <c r="M1446" t="s">
        <v>1010</v>
      </c>
      <c r="N1446" t="s">
        <v>961</v>
      </c>
      <c r="R1446" t="s">
        <v>1015</v>
      </c>
      <c r="S1446" t="s">
        <v>2778</v>
      </c>
      <c r="T1446" t="s">
        <v>1231</v>
      </c>
      <c r="U1446" t="s">
        <v>2292</v>
      </c>
      <c r="V1446" t="s">
        <v>2780</v>
      </c>
      <c r="W1446" t="s">
        <v>2781</v>
      </c>
    </row>
    <row r="1447" spans="1:23" ht="15" customHeight="1" x14ac:dyDescent="0.3">
      <c r="A1447" t="s">
        <v>8</v>
      </c>
      <c r="B1447">
        <v>185</v>
      </c>
      <c r="C1447" t="s">
        <v>954</v>
      </c>
      <c r="D1447" t="s">
        <v>1005</v>
      </c>
      <c r="E1447" t="s">
        <v>34</v>
      </c>
      <c r="F1447" t="s">
        <v>1006</v>
      </c>
      <c r="G1447" t="s">
        <v>36</v>
      </c>
      <c r="H1447" t="s">
        <v>421</v>
      </c>
      <c r="I1447" t="s">
        <v>1005</v>
      </c>
      <c r="J1447" t="s">
        <v>2778</v>
      </c>
      <c r="K1447" s="21" t="s">
        <v>2779</v>
      </c>
      <c r="L1447" s="21" t="s">
        <v>1009</v>
      </c>
      <c r="M1447" t="s">
        <v>1010</v>
      </c>
      <c r="N1447" t="s">
        <v>961</v>
      </c>
      <c r="R1447" t="s">
        <v>1012</v>
      </c>
      <c r="S1447" t="s">
        <v>2778</v>
      </c>
      <c r="T1447" t="s">
        <v>1231</v>
      </c>
      <c r="U1447" t="s">
        <v>2292</v>
      </c>
      <c r="V1447" t="s">
        <v>2780</v>
      </c>
      <c r="W1447" t="s">
        <v>2781</v>
      </c>
    </row>
    <row r="1448" spans="1:23" ht="15" customHeight="1" x14ac:dyDescent="0.3">
      <c r="A1448" t="s">
        <v>8</v>
      </c>
      <c r="B1448">
        <v>185</v>
      </c>
      <c r="C1448" t="s">
        <v>954</v>
      </c>
      <c r="D1448" t="s">
        <v>1005</v>
      </c>
      <c r="E1448" t="s">
        <v>34</v>
      </c>
      <c r="F1448" t="s">
        <v>1006</v>
      </c>
      <c r="G1448" t="s">
        <v>36</v>
      </c>
      <c r="H1448" t="s">
        <v>421</v>
      </c>
      <c r="I1448" t="s">
        <v>1005</v>
      </c>
      <c r="J1448" t="s">
        <v>2778</v>
      </c>
      <c r="K1448" s="21" t="s">
        <v>2779</v>
      </c>
      <c r="L1448" s="21" t="s">
        <v>1009</v>
      </c>
      <c r="M1448" t="s">
        <v>1010</v>
      </c>
      <c r="N1448" t="s">
        <v>961</v>
      </c>
      <c r="R1448" t="s">
        <v>1019</v>
      </c>
      <c r="S1448" t="s">
        <v>2778</v>
      </c>
      <c r="T1448" t="s">
        <v>1231</v>
      </c>
      <c r="U1448" t="s">
        <v>2292</v>
      </c>
      <c r="V1448" t="s">
        <v>2780</v>
      </c>
      <c r="W1448" t="s">
        <v>2781</v>
      </c>
    </row>
    <row r="1449" spans="1:23" ht="15" customHeight="1" x14ac:dyDescent="0.3">
      <c r="A1449" t="s">
        <v>8</v>
      </c>
      <c r="B1449">
        <v>185</v>
      </c>
      <c r="C1449" t="s">
        <v>954</v>
      </c>
      <c r="D1449" t="s">
        <v>1005</v>
      </c>
      <c r="E1449" t="s">
        <v>34</v>
      </c>
      <c r="F1449" t="s">
        <v>1006</v>
      </c>
      <c r="G1449" t="s">
        <v>36</v>
      </c>
      <c r="H1449" t="s">
        <v>182</v>
      </c>
      <c r="I1449" t="s">
        <v>1005</v>
      </c>
      <c r="J1449" t="s">
        <v>2782</v>
      </c>
      <c r="K1449" s="21" t="s">
        <v>2783</v>
      </c>
      <c r="L1449" s="21" t="s">
        <v>1009</v>
      </c>
      <c r="M1449" t="s">
        <v>1010</v>
      </c>
      <c r="N1449" t="s">
        <v>961</v>
      </c>
      <c r="R1449" t="s">
        <v>1024</v>
      </c>
      <c r="S1449" t="s">
        <v>2782</v>
      </c>
      <c r="T1449" t="s">
        <v>1231</v>
      </c>
      <c r="U1449" t="s">
        <v>2784</v>
      </c>
      <c r="V1449" t="s">
        <v>2785</v>
      </c>
      <c r="W1449" t="s">
        <v>2786</v>
      </c>
    </row>
    <row r="1450" spans="1:23" ht="15" customHeight="1" x14ac:dyDescent="0.3">
      <c r="A1450" t="s">
        <v>8</v>
      </c>
      <c r="B1450">
        <v>185</v>
      </c>
      <c r="C1450" t="s">
        <v>954</v>
      </c>
      <c r="D1450" t="s">
        <v>1005</v>
      </c>
      <c r="E1450" t="s">
        <v>34</v>
      </c>
      <c r="F1450" t="s">
        <v>1006</v>
      </c>
      <c r="G1450" t="s">
        <v>36</v>
      </c>
      <c r="H1450" t="s">
        <v>182</v>
      </c>
      <c r="I1450" t="s">
        <v>1005</v>
      </c>
      <c r="J1450" t="s">
        <v>2782</v>
      </c>
      <c r="K1450" s="21" t="s">
        <v>2783</v>
      </c>
      <c r="L1450" s="21" t="s">
        <v>1009</v>
      </c>
      <c r="M1450" t="s">
        <v>1010</v>
      </c>
      <c r="N1450" t="s">
        <v>961</v>
      </c>
      <c r="R1450" t="s">
        <v>1015</v>
      </c>
      <c r="S1450" t="s">
        <v>2782</v>
      </c>
      <c r="T1450" t="s">
        <v>1231</v>
      </c>
      <c r="U1450" t="s">
        <v>2784</v>
      </c>
      <c r="V1450" t="s">
        <v>2785</v>
      </c>
      <c r="W1450" t="s">
        <v>2786</v>
      </c>
    </row>
    <row r="1451" spans="1:23" ht="15" customHeight="1" x14ac:dyDescent="0.3">
      <c r="A1451" t="s">
        <v>8</v>
      </c>
      <c r="B1451">
        <v>185</v>
      </c>
      <c r="C1451" t="s">
        <v>954</v>
      </c>
      <c r="D1451" t="s">
        <v>1005</v>
      </c>
      <c r="E1451" t="s">
        <v>34</v>
      </c>
      <c r="F1451" t="s">
        <v>1006</v>
      </c>
      <c r="G1451" t="s">
        <v>36</v>
      </c>
      <c r="H1451" t="s">
        <v>182</v>
      </c>
      <c r="I1451" t="s">
        <v>1005</v>
      </c>
      <c r="J1451" t="s">
        <v>2782</v>
      </c>
      <c r="K1451" s="21" t="s">
        <v>2783</v>
      </c>
      <c r="L1451" s="21" t="s">
        <v>1009</v>
      </c>
      <c r="M1451" t="s">
        <v>1010</v>
      </c>
      <c r="N1451" t="s">
        <v>961</v>
      </c>
      <c r="R1451" t="s">
        <v>1012</v>
      </c>
      <c r="S1451" t="s">
        <v>2782</v>
      </c>
      <c r="T1451" t="s">
        <v>1231</v>
      </c>
      <c r="U1451" t="s">
        <v>2784</v>
      </c>
      <c r="V1451" t="s">
        <v>2785</v>
      </c>
      <c r="W1451" t="s">
        <v>2786</v>
      </c>
    </row>
    <row r="1452" spans="1:23" ht="15" customHeight="1" x14ac:dyDescent="0.3">
      <c r="A1452" t="s">
        <v>8</v>
      </c>
      <c r="B1452">
        <v>185</v>
      </c>
      <c r="C1452" t="s">
        <v>954</v>
      </c>
      <c r="D1452" t="s">
        <v>1005</v>
      </c>
      <c r="E1452" t="s">
        <v>34</v>
      </c>
      <c r="F1452" t="s">
        <v>1006</v>
      </c>
      <c r="G1452" t="s">
        <v>36</v>
      </c>
      <c r="H1452" t="s">
        <v>182</v>
      </c>
      <c r="I1452" t="s">
        <v>1005</v>
      </c>
      <c r="J1452" t="s">
        <v>2782</v>
      </c>
      <c r="K1452" s="21" t="s">
        <v>2783</v>
      </c>
      <c r="L1452" s="21" t="s">
        <v>1009</v>
      </c>
      <c r="M1452" t="s">
        <v>1010</v>
      </c>
      <c r="N1452" t="s">
        <v>961</v>
      </c>
      <c r="R1452" t="s">
        <v>1019</v>
      </c>
      <c r="S1452" t="s">
        <v>2782</v>
      </c>
      <c r="T1452" t="s">
        <v>1231</v>
      </c>
      <c r="U1452" t="s">
        <v>2784</v>
      </c>
      <c r="V1452" t="s">
        <v>2785</v>
      </c>
      <c r="W1452" t="s">
        <v>2786</v>
      </c>
    </row>
    <row r="1453" spans="1:23" ht="15" customHeight="1" x14ac:dyDescent="0.3">
      <c r="A1453" t="s">
        <v>8</v>
      </c>
      <c r="B1453">
        <v>185</v>
      </c>
      <c r="C1453" t="s">
        <v>954</v>
      </c>
      <c r="D1453" t="s">
        <v>1005</v>
      </c>
      <c r="E1453" t="s">
        <v>34</v>
      </c>
      <c r="F1453" t="s">
        <v>1006</v>
      </c>
      <c r="G1453" t="s">
        <v>36</v>
      </c>
      <c r="H1453" t="s">
        <v>1242</v>
      </c>
      <c r="I1453" t="s">
        <v>1005</v>
      </c>
      <c r="J1453" t="s">
        <v>2787</v>
      </c>
      <c r="K1453" s="21" t="s">
        <v>2788</v>
      </c>
      <c r="L1453" s="21" t="s">
        <v>1009</v>
      </c>
      <c r="M1453" t="s">
        <v>1010</v>
      </c>
      <c r="N1453" t="s">
        <v>961</v>
      </c>
      <c r="R1453" t="s">
        <v>1024</v>
      </c>
      <c r="S1453" t="s">
        <v>2787</v>
      </c>
      <c r="T1453" t="s">
        <v>1231</v>
      </c>
      <c r="U1453" t="s">
        <v>2292</v>
      </c>
      <c r="V1453" t="s">
        <v>2789</v>
      </c>
      <c r="W1453" t="s">
        <v>2790</v>
      </c>
    </row>
    <row r="1454" spans="1:23" ht="15" customHeight="1" x14ac:dyDescent="0.3">
      <c r="A1454" t="s">
        <v>8</v>
      </c>
      <c r="B1454">
        <v>185</v>
      </c>
      <c r="C1454" t="s">
        <v>954</v>
      </c>
      <c r="D1454" t="s">
        <v>1005</v>
      </c>
      <c r="E1454" t="s">
        <v>34</v>
      </c>
      <c r="F1454" t="s">
        <v>1006</v>
      </c>
      <c r="G1454" t="s">
        <v>36</v>
      </c>
      <c r="H1454" t="s">
        <v>1242</v>
      </c>
      <c r="I1454" t="s">
        <v>1005</v>
      </c>
      <c r="J1454" t="s">
        <v>2787</v>
      </c>
      <c r="K1454" s="21" t="s">
        <v>2788</v>
      </c>
      <c r="L1454" s="21" t="s">
        <v>1009</v>
      </c>
      <c r="M1454" t="s">
        <v>1010</v>
      </c>
      <c r="N1454" t="s">
        <v>961</v>
      </c>
      <c r="R1454" t="s">
        <v>1015</v>
      </c>
      <c r="S1454" t="s">
        <v>2787</v>
      </c>
      <c r="T1454" t="s">
        <v>1231</v>
      </c>
      <c r="U1454" t="s">
        <v>2292</v>
      </c>
      <c r="V1454" t="s">
        <v>2789</v>
      </c>
      <c r="W1454" t="s">
        <v>2790</v>
      </c>
    </row>
    <row r="1455" spans="1:23" ht="15" customHeight="1" x14ac:dyDescent="0.3">
      <c r="A1455" t="s">
        <v>8</v>
      </c>
      <c r="B1455">
        <v>185</v>
      </c>
      <c r="C1455" t="s">
        <v>954</v>
      </c>
      <c r="D1455" t="s">
        <v>1005</v>
      </c>
      <c r="E1455" t="s">
        <v>34</v>
      </c>
      <c r="F1455" t="s">
        <v>1006</v>
      </c>
      <c r="G1455" t="s">
        <v>36</v>
      </c>
      <c r="H1455" t="s">
        <v>1242</v>
      </c>
      <c r="I1455" t="s">
        <v>1005</v>
      </c>
      <c r="J1455" t="s">
        <v>2787</v>
      </c>
      <c r="K1455" s="21" t="s">
        <v>2788</v>
      </c>
      <c r="L1455" s="21" t="s">
        <v>1009</v>
      </c>
      <c r="M1455" t="s">
        <v>1010</v>
      </c>
      <c r="N1455" t="s">
        <v>961</v>
      </c>
      <c r="R1455" t="s">
        <v>1012</v>
      </c>
      <c r="S1455" t="s">
        <v>2787</v>
      </c>
      <c r="T1455" t="s">
        <v>1231</v>
      </c>
      <c r="U1455" t="s">
        <v>2292</v>
      </c>
      <c r="V1455" t="s">
        <v>2789</v>
      </c>
      <c r="W1455" t="s">
        <v>2790</v>
      </c>
    </row>
    <row r="1456" spans="1:23" ht="15" customHeight="1" x14ac:dyDescent="0.3">
      <c r="A1456" t="s">
        <v>8</v>
      </c>
      <c r="B1456">
        <v>185</v>
      </c>
      <c r="C1456" t="s">
        <v>954</v>
      </c>
      <c r="D1456" t="s">
        <v>1005</v>
      </c>
      <c r="E1456" t="s">
        <v>34</v>
      </c>
      <c r="F1456" t="s">
        <v>1006</v>
      </c>
      <c r="G1456" t="s">
        <v>36</v>
      </c>
      <c r="H1456" t="s">
        <v>1242</v>
      </c>
      <c r="I1456" t="s">
        <v>1005</v>
      </c>
      <c r="J1456" t="s">
        <v>2787</v>
      </c>
      <c r="K1456" s="21" t="s">
        <v>2788</v>
      </c>
      <c r="L1456" s="21" t="s">
        <v>1009</v>
      </c>
      <c r="M1456" t="s">
        <v>1010</v>
      </c>
      <c r="N1456" t="s">
        <v>961</v>
      </c>
      <c r="R1456" t="s">
        <v>1019</v>
      </c>
      <c r="S1456" t="s">
        <v>2787</v>
      </c>
      <c r="T1456" t="s">
        <v>1231</v>
      </c>
      <c r="U1456" t="s">
        <v>2292</v>
      </c>
      <c r="V1456" t="s">
        <v>2789</v>
      </c>
      <c r="W1456" t="s">
        <v>2790</v>
      </c>
    </row>
    <row r="1457" spans="1:23" ht="15" customHeight="1" x14ac:dyDescent="0.3">
      <c r="A1457" t="s">
        <v>8</v>
      </c>
      <c r="B1457">
        <v>185</v>
      </c>
      <c r="C1457" t="s">
        <v>954</v>
      </c>
      <c r="D1457" t="s">
        <v>1005</v>
      </c>
      <c r="E1457" t="s">
        <v>34</v>
      </c>
      <c r="F1457" t="s">
        <v>1006</v>
      </c>
      <c r="G1457" t="s">
        <v>36</v>
      </c>
      <c r="H1457" t="s">
        <v>425</v>
      </c>
      <c r="I1457" t="s">
        <v>1005</v>
      </c>
      <c r="J1457" t="s">
        <v>2791</v>
      </c>
      <c r="K1457" s="21" t="s">
        <v>2792</v>
      </c>
      <c r="L1457" s="21" t="s">
        <v>1009</v>
      </c>
      <c r="M1457" t="s">
        <v>1010</v>
      </c>
      <c r="N1457" t="s">
        <v>961</v>
      </c>
      <c r="R1457" t="s">
        <v>1024</v>
      </c>
      <c r="S1457" t="s">
        <v>2791</v>
      </c>
      <c r="T1457" t="s">
        <v>1231</v>
      </c>
      <c r="U1457" t="s">
        <v>2292</v>
      </c>
      <c r="V1457" t="s">
        <v>2793</v>
      </c>
      <c r="W1457" t="s">
        <v>2794</v>
      </c>
    </row>
    <row r="1458" spans="1:23" ht="15" customHeight="1" x14ac:dyDescent="0.3">
      <c r="A1458" t="s">
        <v>8</v>
      </c>
      <c r="B1458">
        <v>185</v>
      </c>
      <c r="C1458" t="s">
        <v>954</v>
      </c>
      <c r="D1458" t="s">
        <v>1005</v>
      </c>
      <c r="E1458" t="s">
        <v>34</v>
      </c>
      <c r="F1458" t="s">
        <v>1006</v>
      </c>
      <c r="G1458" t="s">
        <v>36</v>
      </c>
      <c r="H1458" t="s">
        <v>425</v>
      </c>
      <c r="I1458" t="s">
        <v>1005</v>
      </c>
      <c r="J1458" t="s">
        <v>2791</v>
      </c>
      <c r="K1458" s="21" t="s">
        <v>2792</v>
      </c>
      <c r="L1458" s="21" t="s">
        <v>1009</v>
      </c>
      <c r="M1458" t="s">
        <v>1010</v>
      </c>
      <c r="N1458" t="s">
        <v>961</v>
      </c>
      <c r="R1458" t="s">
        <v>1015</v>
      </c>
      <c r="S1458" t="s">
        <v>2791</v>
      </c>
      <c r="T1458" t="s">
        <v>1231</v>
      </c>
      <c r="U1458" t="s">
        <v>2292</v>
      </c>
      <c r="V1458" t="s">
        <v>2793</v>
      </c>
      <c r="W1458" t="s">
        <v>2794</v>
      </c>
    </row>
    <row r="1459" spans="1:23" ht="15" customHeight="1" x14ac:dyDescent="0.3">
      <c r="A1459" t="s">
        <v>8</v>
      </c>
      <c r="B1459">
        <v>185</v>
      </c>
      <c r="C1459" t="s">
        <v>954</v>
      </c>
      <c r="D1459" t="s">
        <v>1005</v>
      </c>
      <c r="E1459" t="s">
        <v>34</v>
      </c>
      <c r="F1459" t="s">
        <v>1006</v>
      </c>
      <c r="G1459" t="s">
        <v>36</v>
      </c>
      <c r="H1459" t="s">
        <v>425</v>
      </c>
      <c r="I1459" t="s">
        <v>1005</v>
      </c>
      <c r="J1459" t="s">
        <v>2791</v>
      </c>
      <c r="K1459" s="21" t="s">
        <v>2792</v>
      </c>
      <c r="L1459" s="21" t="s">
        <v>1009</v>
      </c>
      <c r="M1459" t="s">
        <v>1010</v>
      </c>
      <c r="N1459" t="s">
        <v>961</v>
      </c>
      <c r="R1459" t="s">
        <v>1012</v>
      </c>
      <c r="S1459" t="s">
        <v>2791</v>
      </c>
      <c r="T1459" t="s">
        <v>1231</v>
      </c>
      <c r="U1459" t="s">
        <v>2292</v>
      </c>
      <c r="V1459" t="s">
        <v>2793</v>
      </c>
      <c r="W1459" t="s">
        <v>2794</v>
      </c>
    </row>
    <row r="1460" spans="1:23" ht="15" customHeight="1" x14ac:dyDescent="0.3">
      <c r="A1460" t="s">
        <v>8</v>
      </c>
      <c r="B1460">
        <v>185</v>
      </c>
      <c r="C1460" t="s">
        <v>954</v>
      </c>
      <c r="D1460" t="s">
        <v>1005</v>
      </c>
      <c r="E1460" t="s">
        <v>34</v>
      </c>
      <c r="F1460" t="s">
        <v>1006</v>
      </c>
      <c r="G1460" t="s">
        <v>36</v>
      </c>
      <c r="H1460" t="s">
        <v>425</v>
      </c>
      <c r="I1460" t="s">
        <v>1005</v>
      </c>
      <c r="J1460" t="s">
        <v>2791</v>
      </c>
      <c r="K1460" s="21" t="s">
        <v>2792</v>
      </c>
      <c r="L1460" s="21" t="s">
        <v>1009</v>
      </c>
      <c r="M1460" t="s">
        <v>1010</v>
      </c>
      <c r="N1460" t="s">
        <v>961</v>
      </c>
      <c r="R1460" t="s">
        <v>1019</v>
      </c>
      <c r="S1460" t="s">
        <v>2791</v>
      </c>
      <c r="T1460" t="s">
        <v>1231</v>
      </c>
      <c r="U1460" t="s">
        <v>2292</v>
      </c>
      <c r="V1460" t="s">
        <v>2793</v>
      </c>
      <c r="W1460" t="s">
        <v>2794</v>
      </c>
    </row>
    <row r="1461" spans="1:23" ht="15" customHeight="1" x14ac:dyDescent="0.3">
      <c r="A1461" t="s">
        <v>8</v>
      </c>
      <c r="B1461">
        <v>185</v>
      </c>
      <c r="C1461" t="s">
        <v>954</v>
      </c>
      <c r="D1461" t="s">
        <v>1005</v>
      </c>
      <c r="E1461" t="s">
        <v>34</v>
      </c>
      <c r="F1461" t="s">
        <v>1006</v>
      </c>
      <c r="G1461" t="s">
        <v>36</v>
      </c>
      <c r="H1461" t="s">
        <v>996</v>
      </c>
      <c r="I1461" t="s">
        <v>1005</v>
      </c>
      <c r="J1461" t="s">
        <v>2795</v>
      </c>
      <c r="K1461" s="21" t="s">
        <v>2796</v>
      </c>
      <c r="L1461" s="21" t="s">
        <v>1009</v>
      </c>
      <c r="M1461" t="s">
        <v>1010</v>
      </c>
      <c r="N1461" t="s">
        <v>961</v>
      </c>
      <c r="R1461" t="s">
        <v>1024</v>
      </c>
      <c r="S1461" t="s">
        <v>2795</v>
      </c>
      <c r="T1461" t="s">
        <v>1231</v>
      </c>
      <c r="U1461" t="s">
        <v>2292</v>
      </c>
      <c r="V1461" t="s">
        <v>2797</v>
      </c>
      <c r="W1461" t="s">
        <v>2798</v>
      </c>
    </row>
    <row r="1462" spans="1:23" ht="15" customHeight="1" x14ac:dyDescent="0.3">
      <c r="A1462" t="s">
        <v>8</v>
      </c>
      <c r="B1462">
        <v>185</v>
      </c>
      <c r="C1462" t="s">
        <v>954</v>
      </c>
      <c r="D1462" t="s">
        <v>1005</v>
      </c>
      <c r="E1462" t="s">
        <v>34</v>
      </c>
      <c r="F1462" t="s">
        <v>1006</v>
      </c>
      <c r="G1462" t="s">
        <v>36</v>
      </c>
      <c r="H1462" t="s">
        <v>996</v>
      </c>
      <c r="I1462" t="s">
        <v>1005</v>
      </c>
      <c r="J1462" t="s">
        <v>2795</v>
      </c>
      <c r="K1462" s="21" t="s">
        <v>2796</v>
      </c>
      <c r="L1462" s="21" t="s">
        <v>1009</v>
      </c>
      <c r="M1462" t="s">
        <v>1010</v>
      </c>
      <c r="N1462" t="s">
        <v>961</v>
      </c>
      <c r="R1462" t="s">
        <v>1015</v>
      </c>
      <c r="S1462" t="s">
        <v>2795</v>
      </c>
      <c r="T1462" t="s">
        <v>1231</v>
      </c>
      <c r="U1462" t="s">
        <v>2292</v>
      </c>
      <c r="V1462" t="s">
        <v>2797</v>
      </c>
      <c r="W1462" t="s">
        <v>2798</v>
      </c>
    </row>
    <row r="1463" spans="1:23" ht="15" customHeight="1" x14ac:dyDescent="0.3">
      <c r="A1463" t="s">
        <v>8</v>
      </c>
      <c r="B1463">
        <v>185</v>
      </c>
      <c r="C1463" t="s">
        <v>954</v>
      </c>
      <c r="D1463" t="s">
        <v>1005</v>
      </c>
      <c r="E1463" t="s">
        <v>34</v>
      </c>
      <c r="F1463" t="s">
        <v>1006</v>
      </c>
      <c r="G1463" t="s">
        <v>36</v>
      </c>
      <c r="H1463" t="s">
        <v>996</v>
      </c>
      <c r="I1463" t="s">
        <v>1005</v>
      </c>
      <c r="J1463" t="s">
        <v>2795</v>
      </c>
      <c r="K1463" s="21" t="s">
        <v>2796</v>
      </c>
      <c r="L1463" s="21" t="s">
        <v>1009</v>
      </c>
      <c r="M1463" t="s">
        <v>1010</v>
      </c>
      <c r="N1463" t="s">
        <v>961</v>
      </c>
      <c r="R1463" t="s">
        <v>1012</v>
      </c>
      <c r="S1463" t="s">
        <v>2795</v>
      </c>
      <c r="T1463" t="s">
        <v>1231</v>
      </c>
      <c r="U1463" t="s">
        <v>2292</v>
      </c>
      <c r="V1463" t="s">
        <v>2797</v>
      </c>
      <c r="W1463" t="s">
        <v>2798</v>
      </c>
    </row>
    <row r="1464" spans="1:23" ht="15" customHeight="1" x14ac:dyDescent="0.3">
      <c r="A1464" t="s">
        <v>8</v>
      </c>
      <c r="B1464">
        <v>185</v>
      </c>
      <c r="C1464" t="s">
        <v>954</v>
      </c>
      <c r="D1464" t="s">
        <v>1005</v>
      </c>
      <c r="E1464" t="s">
        <v>34</v>
      </c>
      <c r="F1464" t="s">
        <v>1006</v>
      </c>
      <c r="G1464" t="s">
        <v>36</v>
      </c>
      <c r="H1464" t="s">
        <v>996</v>
      </c>
      <c r="I1464" t="s">
        <v>1005</v>
      </c>
      <c r="J1464" t="s">
        <v>2795</v>
      </c>
      <c r="K1464" s="21" t="s">
        <v>2796</v>
      </c>
      <c r="L1464" s="21" t="s">
        <v>1009</v>
      </c>
      <c r="M1464" t="s">
        <v>1010</v>
      </c>
      <c r="N1464" t="s">
        <v>961</v>
      </c>
      <c r="R1464" t="s">
        <v>1019</v>
      </c>
      <c r="S1464" t="s">
        <v>2795</v>
      </c>
      <c r="T1464" t="s">
        <v>1231</v>
      </c>
      <c r="U1464" t="s">
        <v>2292</v>
      </c>
      <c r="V1464" t="s">
        <v>2797</v>
      </c>
      <c r="W1464" t="s">
        <v>2798</v>
      </c>
    </row>
    <row r="1465" spans="1:23" ht="15" customHeight="1" x14ac:dyDescent="0.3">
      <c r="A1465" t="s">
        <v>8</v>
      </c>
      <c r="B1465">
        <v>185</v>
      </c>
      <c r="C1465" t="s">
        <v>954</v>
      </c>
      <c r="D1465" t="s">
        <v>1005</v>
      </c>
      <c r="E1465" t="s">
        <v>34</v>
      </c>
      <c r="F1465" t="s">
        <v>1006</v>
      </c>
      <c r="G1465" t="s">
        <v>36</v>
      </c>
      <c r="H1465" t="s">
        <v>1000</v>
      </c>
      <c r="I1465" t="s">
        <v>1005</v>
      </c>
      <c r="J1465" t="s">
        <v>2757</v>
      </c>
      <c r="K1465" s="21" t="s">
        <v>2758</v>
      </c>
      <c r="L1465" s="21" t="s">
        <v>1009</v>
      </c>
      <c r="M1465" t="s">
        <v>1010</v>
      </c>
      <c r="N1465" t="s">
        <v>961</v>
      </c>
      <c r="R1465" t="s">
        <v>1024</v>
      </c>
      <c r="S1465" t="s">
        <v>2757</v>
      </c>
      <c r="T1465" t="s">
        <v>1249</v>
      </c>
      <c r="U1465" t="s">
        <v>1461</v>
      </c>
      <c r="V1465" t="s">
        <v>965</v>
      </c>
      <c r="W1465" t="s">
        <v>2754</v>
      </c>
    </row>
    <row r="1466" spans="1:23" ht="15" customHeight="1" x14ac:dyDescent="0.3">
      <c r="A1466" t="s">
        <v>8</v>
      </c>
      <c r="B1466">
        <v>185</v>
      </c>
      <c r="C1466" t="s">
        <v>954</v>
      </c>
      <c r="D1466" t="s">
        <v>1005</v>
      </c>
      <c r="E1466" t="s">
        <v>34</v>
      </c>
      <c r="F1466" t="s">
        <v>1006</v>
      </c>
      <c r="G1466" t="s">
        <v>36</v>
      </c>
      <c r="H1466" t="s">
        <v>1000</v>
      </c>
      <c r="I1466" t="s">
        <v>1005</v>
      </c>
      <c r="J1466" t="s">
        <v>2757</v>
      </c>
      <c r="K1466" s="21" t="s">
        <v>2758</v>
      </c>
      <c r="L1466" s="21" t="s">
        <v>1009</v>
      </c>
      <c r="M1466" t="s">
        <v>1010</v>
      </c>
      <c r="N1466" t="s">
        <v>961</v>
      </c>
      <c r="R1466" t="s">
        <v>1015</v>
      </c>
      <c r="S1466" t="s">
        <v>2757</v>
      </c>
      <c r="T1466" t="s">
        <v>1249</v>
      </c>
      <c r="U1466" t="s">
        <v>1461</v>
      </c>
      <c r="V1466" t="s">
        <v>965</v>
      </c>
      <c r="W1466" t="s">
        <v>2754</v>
      </c>
    </row>
    <row r="1467" spans="1:23" ht="15" customHeight="1" x14ac:dyDescent="0.3">
      <c r="A1467" t="s">
        <v>8</v>
      </c>
      <c r="B1467">
        <v>185</v>
      </c>
      <c r="C1467" t="s">
        <v>954</v>
      </c>
      <c r="D1467" t="s">
        <v>1005</v>
      </c>
      <c r="E1467" t="s">
        <v>34</v>
      </c>
      <c r="F1467" t="s">
        <v>1006</v>
      </c>
      <c r="G1467" t="s">
        <v>36</v>
      </c>
      <c r="H1467" t="s">
        <v>1000</v>
      </c>
      <c r="I1467" t="s">
        <v>1005</v>
      </c>
      <c r="J1467" t="s">
        <v>2757</v>
      </c>
      <c r="K1467" s="21" t="s">
        <v>2758</v>
      </c>
      <c r="L1467" s="21" t="s">
        <v>1009</v>
      </c>
      <c r="M1467" t="s">
        <v>1010</v>
      </c>
      <c r="N1467" t="s">
        <v>961</v>
      </c>
      <c r="R1467" t="s">
        <v>1012</v>
      </c>
      <c r="S1467" t="s">
        <v>2757</v>
      </c>
      <c r="T1467" t="s">
        <v>1249</v>
      </c>
      <c r="U1467" t="s">
        <v>1461</v>
      </c>
      <c r="V1467" t="s">
        <v>965</v>
      </c>
      <c r="W1467" t="s">
        <v>2754</v>
      </c>
    </row>
    <row r="1468" spans="1:23" ht="15" customHeight="1" x14ac:dyDescent="0.3">
      <c r="A1468" t="s">
        <v>8</v>
      </c>
      <c r="B1468">
        <v>185</v>
      </c>
      <c r="C1468" t="s">
        <v>954</v>
      </c>
      <c r="D1468" t="s">
        <v>1005</v>
      </c>
      <c r="E1468" t="s">
        <v>34</v>
      </c>
      <c r="F1468" t="s">
        <v>1006</v>
      </c>
      <c r="G1468" t="s">
        <v>36</v>
      </c>
      <c r="H1468" t="s">
        <v>1000</v>
      </c>
      <c r="I1468" t="s">
        <v>1005</v>
      </c>
      <c r="J1468" t="s">
        <v>2757</v>
      </c>
      <c r="K1468" s="21" t="s">
        <v>2758</v>
      </c>
      <c r="L1468" s="21" t="s">
        <v>1009</v>
      </c>
      <c r="M1468" t="s">
        <v>1010</v>
      </c>
      <c r="N1468" t="s">
        <v>961</v>
      </c>
      <c r="R1468" t="s">
        <v>1019</v>
      </c>
      <c r="S1468" t="s">
        <v>2757</v>
      </c>
      <c r="T1468" t="s">
        <v>1249</v>
      </c>
      <c r="U1468" t="s">
        <v>1461</v>
      </c>
      <c r="V1468" t="s">
        <v>965</v>
      </c>
      <c r="W1468" t="s">
        <v>2754</v>
      </c>
    </row>
    <row r="1469" spans="1:23" ht="15" customHeight="1" x14ac:dyDescent="0.3">
      <c r="A1469" t="s">
        <v>8</v>
      </c>
      <c r="B1469">
        <v>185</v>
      </c>
      <c r="C1469" t="s">
        <v>954</v>
      </c>
      <c r="D1469" t="s">
        <v>1005</v>
      </c>
      <c r="E1469" t="s">
        <v>34</v>
      </c>
      <c r="F1469" t="s">
        <v>1006</v>
      </c>
      <c r="G1469" t="s">
        <v>36</v>
      </c>
      <c r="H1469" t="s">
        <v>1272</v>
      </c>
      <c r="I1469" t="s">
        <v>1005</v>
      </c>
      <c r="J1469" t="s">
        <v>2799</v>
      </c>
      <c r="K1469" s="21" t="s">
        <v>2800</v>
      </c>
      <c r="L1469" s="21" t="s">
        <v>1009</v>
      </c>
      <c r="M1469" t="s">
        <v>1010</v>
      </c>
      <c r="N1469" t="s">
        <v>961</v>
      </c>
      <c r="R1469" t="s">
        <v>1024</v>
      </c>
      <c r="S1469" t="s">
        <v>2799</v>
      </c>
      <c r="T1469" t="s">
        <v>1249</v>
      </c>
      <c r="U1469" t="s">
        <v>2372</v>
      </c>
      <c r="V1469" t="s">
        <v>2801</v>
      </c>
      <c r="W1469" t="s">
        <v>2802</v>
      </c>
    </row>
    <row r="1470" spans="1:23" ht="15" customHeight="1" x14ac:dyDescent="0.3">
      <c r="A1470" t="s">
        <v>8</v>
      </c>
      <c r="B1470">
        <v>185</v>
      </c>
      <c r="C1470" t="s">
        <v>954</v>
      </c>
      <c r="D1470" t="s">
        <v>1005</v>
      </c>
      <c r="E1470" t="s">
        <v>34</v>
      </c>
      <c r="F1470" t="s">
        <v>1006</v>
      </c>
      <c r="G1470" t="s">
        <v>36</v>
      </c>
      <c r="H1470" t="s">
        <v>1272</v>
      </c>
      <c r="I1470" t="s">
        <v>1005</v>
      </c>
      <c r="J1470" t="s">
        <v>2799</v>
      </c>
      <c r="K1470" s="21" t="s">
        <v>2800</v>
      </c>
      <c r="L1470" s="21" t="s">
        <v>1009</v>
      </c>
      <c r="M1470" t="s">
        <v>1010</v>
      </c>
      <c r="N1470" t="s">
        <v>961</v>
      </c>
      <c r="R1470" t="s">
        <v>1015</v>
      </c>
      <c r="S1470" t="s">
        <v>2799</v>
      </c>
      <c r="T1470" t="s">
        <v>1249</v>
      </c>
      <c r="U1470" t="s">
        <v>2372</v>
      </c>
      <c r="V1470" t="s">
        <v>2801</v>
      </c>
      <c r="W1470" t="s">
        <v>2802</v>
      </c>
    </row>
    <row r="1471" spans="1:23" ht="15" customHeight="1" x14ac:dyDescent="0.3">
      <c r="A1471" t="s">
        <v>8</v>
      </c>
      <c r="B1471">
        <v>185</v>
      </c>
      <c r="C1471" t="s">
        <v>954</v>
      </c>
      <c r="D1471" t="s">
        <v>1005</v>
      </c>
      <c r="E1471" t="s">
        <v>34</v>
      </c>
      <c r="F1471" t="s">
        <v>1006</v>
      </c>
      <c r="G1471" t="s">
        <v>36</v>
      </c>
      <c r="H1471" t="s">
        <v>1272</v>
      </c>
      <c r="I1471" t="s">
        <v>1005</v>
      </c>
      <c r="J1471" t="s">
        <v>2799</v>
      </c>
      <c r="K1471" s="21" t="s">
        <v>2800</v>
      </c>
      <c r="L1471" s="21" t="s">
        <v>1009</v>
      </c>
      <c r="M1471" t="s">
        <v>1010</v>
      </c>
      <c r="N1471" t="s">
        <v>961</v>
      </c>
      <c r="R1471" t="s">
        <v>1012</v>
      </c>
      <c r="S1471" t="s">
        <v>2799</v>
      </c>
      <c r="T1471" t="s">
        <v>1249</v>
      </c>
      <c r="U1471" t="s">
        <v>2372</v>
      </c>
      <c r="V1471" t="s">
        <v>2801</v>
      </c>
      <c r="W1471" t="s">
        <v>2802</v>
      </c>
    </row>
    <row r="1472" spans="1:23" ht="15" customHeight="1" x14ac:dyDescent="0.3">
      <c r="A1472" t="s">
        <v>8</v>
      </c>
      <c r="B1472">
        <v>185</v>
      </c>
      <c r="C1472" t="s">
        <v>954</v>
      </c>
      <c r="D1472" t="s">
        <v>1005</v>
      </c>
      <c r="E1472" t="s">
        <v>34</v>
      </c>
      <c r="F1472" t="s">
        <v>1006</v>
      </c>
      <c r="G1472" t="s">
        <v>36</v>
      </c>
      <c r="H1472" t="s">
        <v>1272</v>
      </c>
      <c r="I1472" t="s">
        <v>1005</v>
      </c>
      <c r="J1472" t="s">
        <v>2799</v>
      </c>
      <c r="K1472" s="21" t="s">
        <v>2800</v>
      </c>
      <c r="L1472" s="21" t="s">
        <v>1009</v>
      </c>
      <c r="M1472" t="s">
        <v>1010</v>
      </c>
      <c r="N1472" t="s">
        <v>961</v>
      </c>
      <c r="R1472" t="s">
        <v>1019</v>
      </c>
      <c r="S1472" t="s">
        <v>2799</v>
      </c>
      <c r="T1472" t="s">
        <v>1249</v>
      </c>
      <c r="U1472" t="s">
        <v>2372</v>
      </c>
      <c r="V1472" t="s">
        <v>2801</v>
      </c>
      <c r="W1472" t="s">
        <v>2802</v>
      </c>
    </row>
    <row r="1473" spans="1:23" ht="15" customHeight="1" x14ac:dyDescent="0.3">
      <c r="A1473" t="s">
        <v>8</v>
      </c>
      <c r="B1473">
        <v>185</v>
      </c>
      <c r="C1473" t="s">
        <v>954</v>
      </c>
      <c r="D1473" t="s">
        <v>1005</v>
      </c>
      <c r="E1473" t="s">
        <v>34</v>
      </c>
      <c r="F1473" t="s">
        <v>1006</v>
      </c>
      <c r="G1473" t="s">
        <v>36</v>
      </c>
      <c r="H1473" t="s">
        <v>1276</v>
      </c>
      <c r="I1473" t="s">
        <v>1005</v>
      </c>
      <c r="J1473" t="s">
        <v>2803</v>
      </c>
      <c r="K1473" s="21" t="s">
        <v>2804</v>
      </c>
      <c r="L1473" s="21" t="s">
        <v>1009</v>
      </c>
      <c r="M1473" t="s">
        <v>1010</v>
      </c>
      <c r="N1473" t="s">
        <v>961</v>
      </c>
      <c r="R1473" t="s">
        <v>1024</v>
      </c>
      <c r="S1473" t="s">
        <v>2803</v>
      </c>
      <c r="T1473" t="s">
        <v>1290</v>
      </c>
      <c r="U1473" t="s">
        <v>1296</v>
      </c>
      <c r="V1473" t="s">
        <v>2805</v>
      </c>
      <c r="W1473" t="s">
        <v>2806</v>
      </c>
    </row>
    <row r="1474" spans="1:23" ht="15" customHeight="1" x14ac:dyDescent="0.3">
      <c r="A1474" t="s">
        <v>8</v>
      </c>
      <c r="B1474">
        <v>185</v>
      </c>
      <c r="C1474" t="s">
        <v>954</v>
      </c>
      <c r="D1474" t="s">
        <v>1005</v>
      </c>
      <c r="E1474" t="s">
        <v>34</v>
      </c>
      <c r="F1474" t="s">
        <v>1006</v>
      </c>
      <c r="G1474" t="s">
        <v>36</v>
      </c>
      <c r="H1474" t="s">
        <v>1276</v>
      </c>
      <c r="I1474" t="s">
        <v>1005</v>
      </c>
      <c r="J1474" t="s">
        <v>2803</v>
      </c>
      <c r="K1474" s="21" t="s">
        <v>2804</v>
      </c>
      <c r="L1474" s="21" t="s">
        <v>1009</v>
      </c>
      <c r="M1474" t="s">
        <v>1010</v>
      </c>
      <c r="N1474" t="s">
        <v>961</v>
      </c>
      <c r="R1474" t="s">
        <v>1015</v>
      </c>
      <c r="S1474" t="s">
        <v>2803</v>
      </c>
      <c r="T1474" t="s">
        <v>1290</v>
      </c>
      <c r="U1474" t="s">
        <v>1296</v>
      </c>
      <c r="V1474" t="s">
        <v>2805</v>
      </c>
      <c r="W1474" t="s">
        <v>2806</v>
      </c>
    </row>
    <row r="1475" spans="1:23" ht="15" customHeight="1" x14ac:dyDescent="0.3">
      <c r="A1475" t="s">
        <v>8</v>
      </c>
      <c r="B1475">
        <v>185</v>
      </c>
      <c r="C1475" t="s">
        <v>954</v>
      </c>
      <c r="D1475" t="s">
        <v>1005</v>
      </c>
      <c r="E1475" t="s">
        <v>34</v>
      </c>
      <c r="F1475" t="s">
        <v>1006</v>
      </c>
      <c r="G1475" t="s">
        <v>36</v>
      </c>
      <c r="H1475" t="s">
        <v>1276</v>
      </c>
      <c r="I1475" t="s">
        <v>1005</v>
      </c>
      <c r="J1475" t="s">
        <v>2803</v>
      </c>
      <c r="K1475" s="21" t="s">
        <v>2804</v>
      </c>
      <c r="L1475" s="21" t="s">
        <v>1009</v>
      </c>
      <c r="M1475" t="s">
        <v>1010</v>
      </c>
      <c r="N1475" t="s">
        <v>961</v>
      </c>
      <c r="R1475" t="s">
        <v>1012</v>
      </c>
      <c r="S1475" t="s">
        <v>2803</v>
      </c>
      <c r="T1475" t="s">
        <v>1290</v>
      </c>
      <c r="U1475" t="s">
        <v>1296</v>
      </c>
      <c r="V1475" t="s">
        <v>2805</v>
      </c>
      <c r="W1475" t="s">
        <v>2806</v>
      </c>
    </row>
    <row r="1476" spans="1:23" ht="15" customHeight="1" x14ac:dyDescent="0.3">
      <c r="A1476" t="s">
        <v>8</v>
      </c>
      <c r="B1476">
        <v>185</v>
      </c>
      <c r="C1476" t="s">
        <v>954</v>
      </c>
      <c r="D1476" t="s">
        <v>1005</v>
      </c>
      <c r="E1476" t="s">
        <v>34</v>
      </c>
      <c r="F1476" t="s">
        <v>1006</v>
      </c>
      <c r="G1476" t="s">
        <v>36</v>
      </c>
      <c r="H1476" t="s">
        <v>1276</v>
      </c>
      <c r="I1476" t="s">
        <v>1005</v>
      </c>
      <c r="J1476" t="s">
        <v>2803</v>
      </c>
      <c r="K1476" s="21" t="s">
        <v>2804</v>
      </c>
      <c r="L1476" s="21" t="s">
        <v>1009</v>
      </c>
      <c r="M1476" t="s">
        <v>1010</v>
      </c>
      <c r="N1476" t="s">
        <v>961</v>
      </c>
      <c r="R1476" t="s">
        <v>1019</v>
      </c>
      <c r="S1476" t="s">
        <v>2803</v>
      </c>
      <c r="T1476" t="s">
        <v>1290</v>
      </c>
      <c r="U1476" t="s">
        <v>1296</v>
      </c>
      <c r="V1476" t="s">
        <v>2805</v>
      </c>
      <c r="W1476" t="s">
        <v>2806</v>
      </c>
    </row>
    <row r="1477" spans="1:23" ht="15" customHeight="1" x14ac:dyDescent="0.3">
      <c r="A1477" t="s">
        <v>8</v>
      </c>
      <c r="B1477">
        <v>188</v>
      </c>
      <c r="C1477" t="s">
        <v>954</v>
      </c>
      <c r="D1477" t="s">
        <v>1031</v>
      </c>
      <c r="E1477" t="s">
        <v>34</v>
      </c>
      <c r="F1477" t="s">
        <v>1032</v>
      </c>
      <c r="G1477" t="s">
        <v>36</v>
      </c>
      <c r="H1477" t="s">
        <v>37</v>
      </c>
      <c r="I1477" t="s">
        <v>1031</v>
      </c>
      <c r="J1477" t="s">
        <v>1033</v>
      </c>
      <c r="K1477" t="s">
        <v>1034</v>
      </c>
      <c r="L1477" s="21" t="s">
        <v>1035</v>
      </c>
      <c r="M1477" t="s">
        <v>1036</v>
      </c>
      <c r="N1477" t="s">
        <v>961</v>
      </c>
      <c r="O1477" t="s">
        <v>962</v>
      </c>
      <c r="R1477" t="s">
        <v>1038</v>
      </c>
      <c r="S1477" t="s">
        <v>1033</v>
      </c>
      <c r="T1477" t="s">
        <v>45</v>
      </c>
      <c r="U1477" t="s">
        <v>46</v>
      </c>
      <c r="V1477" t="s">
        <v>1039</v>
      </c>
      <c r="W1477" t="s">
        <v>1040</v>
      </c>
    </row>
    <row r="1478" spans="1:23" ht="15" customHeight="1" x14ac:dyDescent="0.3">
      <c r="A1478" t="s">
        <v>8</v>
      </c>
      <c r="B1478">
        <v>188</v>
      </c>
      <c r="C1478" t="s">
        <v>954</v>
      </c>
      <c r="D1478" t="s">
        <v>1031</v>
      </c>
      <c r="E1478" t="s">
        <v>34</v>
      </c>
      <c r="F1478" t="s">
        <v>1032</v>
      </c>
      <c r="G1478" t="s">
        <v>36</v>
      </c>
      <c r="H1478" t="s">
        <v>37</v>
      </c>
      <c r="I1478" t="s">
        <v>1031</v>
      </c>
      <c r="J1478" t="s">
        <v>1033</v>
      </c>
      <c r="K1478" t="s">
        <v>1034</v>
      </c>
      <c r="L1478" s="21" t="s">
        <v>1035</v>
      </c>
      <c r="M1478" t="s">
        <v>1036</v>
      </c>
      <c r="N1478" t="s">
        <v>961</v>
      </c>
      <c r="O1478" t="s">
        <v>962</v>
      </c>
      <c r="R1478" t="s">
        <v>1041</v>
      </c>
      <c r="S1478" t="s">
        <v>1033</v>
      </c>
      <c r="T1478" t="s">
        <v>45</v>
      </c>
      <c r="U1478" t="s">
        <v>46</v>
      </c>
      <c r="V1478" t="s">
        <v>1039</v>
      </c>
      <c r="W1478" t="s">
        <v>1040</v>
      </c>
    </row>
    <row r="1479" spans="1:23" ht="15" customHeight="1" x14ac:dyDescent="0.3">
      <c r="A1479" t="s">
        <v>8</v>
      </c>
      <c r="B1479">
        <v>188</v>
      </c>
      <c r="C1479" t="s">
        <v>954</v>
      </c>
      <c r="D1479" t="s">
        <v>1031</v>
      </c>
      <c r="E1479" t="s">
        <v>34</v>
      </c>
      <c r="F1479" t="s">
        <v>1032</v>
      </c>
      <c r="G1479" t="s">
        <v>36</v>
      </c>
      <c r="H1479" t="s">
        <v>37</v>
      </c>
      <c r="I1479" t="s">
        <v>1031</v>
      </c>
      <c r="J1479" t="s">
        <v>1033</v>
      </c>
      <c r="K1479" t="s">
        <v>1034</v>
      </c>
      <c r="L1479" s="21" t="s">
        <v>1035</v>
      </c>
      <c r="M1479" t="s">
        <v>1036</v>
      </c>
      <c r="N1479" t="s">
        <v>961</v>
      </c>
      <c r="O1479" t="s">
        <v>962</v>
      </c>
      <c r="R1479" t="s">
        <v>1049</v>
      </c>
      <c r="S1479" t="s">
        <v>1033</v>
      </c>
      <c r="T1479" t="s">
        <v>45</v>
      </c>
      <c r="U1479" t="s">
        <v>46</v>
      </c>
      <c r="V1479" t="s">
        <v>1039</v>
      </c>
      <c r="W1479" t="s">
        <v>1040</v>
      </c>
    </row>
    <row r="1480" spans="1:23" ht="15" customHeight="1" x14ac:dyDescent="0.3">
      <c r="A1480" t="s">
        <v>8</v>
      </c>
      <c r="B1480">
        <v>188</v>
      </c>
      <c r="C1480" t="s">
        <v>954</v>
      </c>
      <c r="D1480" t="s">
        <v>1031</v>
      </c>
      <c r="E1480" t="s">
        <v>34</v>
      </c>
      <c r="F1480" t="s">
        <v>1032</v>
      </c>
      <c r="G1480" t="s">
        <v>36</v>
      </c>
      <c r="H1480" t="s">
        <v>37</v>
      </c>
      <c r="I1480" t="s">
        <v>1031</v>
      </c>
      <c r="J1480" t="s">
        <v>1033</v>
      </c>
      <c r="K1480" t="s">
        <v>1034</v>
      </c>
      <c r="L1480" s="21" t="s">
        <v>1035</v>
      </c>
      <c r="M1480" t="s">
        <v>1036</v>
      </c>
      <c r="N1480" t="s">
        <v>961</v>
      </c>
      <c r="O1480" t="s">
        <v>962</v>
      </c>
      <c r="R1480" t="s">
        <v>1054</v>
      </c>
      <c r="S1480" t="s">
        <v>1033</v>
      </c>
      <c r="T1480" t="s">
        <v>45</v>
      </c>
      <c r="U1480" t="s">
        <v>46</v>
      </c>
      <c r="V1480" t="s">
        <v>1039</v>
      </c>
      <c r="W1480" t="s">
        <v>1040</v>
      </c>
    </row>
    <row r="1481" spans="1:23" ht="15" customHeight="1" x14ac:dyDescent="0.3">
      <c r="A1481" t="s">
        <v>8</v>
      </c>
      <c r="B1481">
        <v>188</v>
      </c>
      <c r="C1481" t="s">
        <v>954</v>
      </c>
      <c r="D1481" t="s">
        <v>1031</v>
      </c>
      <c r="E1481" t="s">
        <v>34</v>
      </c>
      <c r="F1481" t="s">
        <v>1032</v>
      </c>
      <c r="G1481" t="s">
        <v>36</v>
      </c>
      <c r="H1481" t="s">
        <v>52</v>
      </c>
      <c r="I1481" t="s">
        <v>1031</v>
      </c>
      <c r="J1481" t="s">
        <v>1043</v>
      </c>
      <c r="K1481" s="21" t="s">
        <v>1044</v>
      </c>
      <c r="L1481" s="21" t="s">
        <v>1035</v>
      </c>
      <c r="M1481" t="s">
        <v>1036</v>
      </c>
      <c r="N1481" t="s">
        <v>961</v>
      </c>
      <c r="O1481" t="s">
        <v>962</v>
      </c>
      <c r="R1481" t="s">
        <v>1038</v>
      </c>
      <c r="S1481" t="s">
        <v>1043</v>
      </c>
      <c r="T1481" t="s">
        <v>45</v>
      </c>
      <c r="U1481" t="s">
        <v>46</v>
      </c>
      <c r="V1481" t="s">
        <v>1045</v>
      </c>
      <c r="W1481" t="s">
        <v>1046</v>
      </c>
    </row>
    <row r="1482" spans="1:23" ht="15" customHeight="1" x14ac:dyDescent="0.3">
      <c r="A1482" t="s">
        <v>8</v>
      </c>
      <c r="B1482">
        <v>188</v>
      </c>
      <c r="C1482" t="s">
        <v>954</v>
      </c>
      <c r="D1482" t="s">
        <v>1031</v>
      </c>
      <c r="E1482" t="s">
        <v>34</v>
      </c>
      <c r="F1482" t="s">
        <v>1032</v>
      </c>
      <c r="G1482" t="s">
        <v>36</v>
      </c>
      <c r="H1482" t="s">
        <v>52</v>
      </c>
      <c r="I1482" t="s">
        <v>1031</v>
      </c>
      <c r="J1482" t="s">
        <v>1043</v>
      </c>
      <c r="K1482" s="21" t="s">
        <v>1044</v>
      </c>
      <c r="L1482" s="21" t="s">
        <v>1035</v>
      </c>
      <c r="M1482" t="s">
        <v>1036</v>
      </c>
      <c r="N1482" t="s">
        <v>961</v>
      </c>
      <c r="O1482" t="s">
        <v>962</v>
      </c>
      <c r="R1482" t="s">
        <v>1041</v>
      </c>
      <c r="S1482" t="s">
        <v>1043</v>
      </c>
      <c r="T1482" t="s">
        <v>45</v>
      </c>
      <c r="U1482" t="s">
        <v>46</v>
      </c>
      <c r="V1482" t="s">
        <v>1045</v>
      </c>
      <c r="W1482" t="s">
        <v>1046</v>
      </c>
    </row>
    <row r="1483" spans="1:23" ht="15" customHeight="1" x14ac:dyDescent="0.3">
      <c r="A1483" t="s">
        <v>8</v>
      </c>
      <c r="B1483">
        <v>188</v>
      </c>
      <c r="C1483" t="s">
        <v>954</v>
      </c>
      <c r="D1483" t="s">
        <v>1031</v>
      </c>
      <c r="E1483" t="s">
        <v>34</v>
      </c>
      <c r="F1483" t="s">
        <v>1032</v>
      </c>
      <c r="G1483" t="s">
        <v>36</v>
      </c>
      <c r="H1483" t="s">
        <v>52</v>
      </c>
      <c r="I1483" t="s">
        <v>1031</v>
      </c>
      <c r="J1483" t="s">
        <v>1043</v>
      </c>
      <c r="K1483" s="21" t="s">
        <v>1044</v>
      </c>
      <c r="L1483" s="21" t="s">
        <v>1035</v>
      </c>
      <c r="M1483" t="s">
        <v>1036</v>
      </c>
      <c r="N1483" t="s">
        <v>961</v>
      </c>
      <c r="O1483" t="s">
        <v>962</v>
      </c>
      <c r="R1483" t="s">
        <v>1049</v>
      </c>
      <c r="S1483" t="s">
        <v>1043</v>
      </c>
      <c r="T1483" t="s">
        <v>45</v>
      </c>
      <c r="U1483" t="s">
        <v>46</v>
      </c>
      <c r="V1483" t="s">
        <v>1045</v>
      </c>
      <c r="W1483" t="s">
        <v>1046</v>
      </c>
    </row>
    <row r="1484" spans="1:23" ht="15" customHeight="1" x14ac:dyDescent="0.3">
      <c r="A1484" t="s">
        <v>8</v>
      </c>
      <c r="B1484">
        <v>188</v>
      </c>
      <c r="C1484" t="s">
        <v>954</v>
      </c>
      <c r="D1484" t="s">
        <v>1031</v>
      </c>
      <c r="E1484" t="s">
        <v>34</v>
      </c>
      <c r="F1484" t="s">
        <v>1032</v>
      </c>
      <c r="G1484" t="s">
        <v>36</v>
      </c>
      <c r="H1484" t="s">
        <v>52</v>
      </c>
      <c r="I1484" t="s">
        <v>1031</v>
      </c>
      <c r="J1484" t="s">
        <v>1043</v>
      </c>
      <c r="K1484" s="21" t="s">
        <v>1044</v>
      </c>
      <c r="L1484" s="21" t="s">
        <v>1035</v>
      </c>
      <c r="M1484" t="s">
        <v>1036</v>
      </c>
      <c r="N1484" t="s">
        <v>961</v>
      </c>
      <c r="O1484" t="s">
        <v>962</v>
      </c>
      <c r="R1484" t="s">
        <v>1054</v>
      </c>
      <c r="S1484" t="s">
        <v>1043</v>
      </c>
      <c r="T1484" t="s">
        <v>45</v>
      </c>
      <c r="U1484" t="s">
        <v>46</v>
      </c>
      <c r="V1484" t="s">
        <v>1045</v>
      </c>
      <c r="W1484" t="s">
        <v>1046</v>
      </c>
    </row>
    <row r="1485" spans="1:23" ht="15" customHeight="1" x14ac:dyDescent="0.3">
      <c r="A1485" t="s">
        <v>8</v>
      </c>
      <c r="B1485">
        <v>188</v>
      </c>
      <c r="C1485" t="s">
        <v>954</v>
      </c>
      <c r="D1485" t="s">
        <v>1031</v>
      </c>
      <c r="E1485" t="s">
        <v>34</v>
      </c>
      <c r="F1485" t="s">
        <v>1032</v>
      </c>
      <c r="G1485" t="s">
        <v>36</v>
      </c>
      <c r="H1485" t="s">
        <v>57</v>
      </c>
      <c r="I1485" t="s">
        <v>1031</v>
      </c>
      <c r="J1485" t="s">
        <v>1047</v>
      </c>
      <c r="K1485" s="21" t="s">
        <v>1048</v>
      </c>
      <c r="L1485" s="21" t="s">
        <v>1035</v>
      </c>
      <c r="M1485" t="s">
        <v>1036</v>
      </c>
      <c r="N1485" t="s">
        <v>961</v>
      </c>
      <c r="O1485" t="s">
        <v>962</v>
      </c>
      <c r="R1485" t="s">
        <v>1038</v>
      </c>
      <c r="S1485" t="s">
        <v>1047</v>
      </c>
      <c r="T1485" t="s">
        <v>45</v>
      </c>
      <c r="U1485" t="s">
        <v>46</v>
      </c>
      <c r="V1485" t="s">
        <v>1050</v>
      </c>
      <c r="W1485" t="s">
        <v>1051</v>
      </c>
    </row>
    <row r="1486" spans="1:23" ht="15" customHeight="1" x14ac:dyDescent="0.3">
      <c r="A1486" t="s">
        <v>8</v>
      </c>
      <c r="B1486">
        <v>188</v>
      </c>
      <c r="C1486" t="s">
        <v>954</v>
      </c>
      <c r="D1486" t="s">
        <v>1031</v>
      </c>
      <c r="E1486" t="s">
        <v>34</v>
      </c>
      <c r="F1486" t="s">
        <v>1032</v>
      </c>
      <c r="G1486" t="s">
        <v>36</v>
      </c>
      <c r="H1486" t="s">
        <v>57</v>
      </c>
      <c r="I1486" t="s">
        <v>1031</v>
      </c>
      <c r="J1486" t="s">
        <v>1047</v>
      </c>
      <c r="K1486" s="21" t="s">
        <v>1048</v>
      </c>
      <c r="L1486" s="21" t="s">
        <v>1035</v>
      </c>
      <c r="M1486" t="s">
        <v>1036</v>
      </c>
      <c r="N1486" t="s">
        <v>961</v>
      </c>
      <c r="O1486" t="s">
        <v>962</v>
      </c>
      <c r="R1486" t="s">
        <v>1041</v>
      </c>
      <c r="S1486" t="s">
        <v>1047</v>
      </c>
      <c r="T1486" t="s">
        <v>45</v>
      </c>
      <c r="U1486" t="s">
        <v>46</v>
      </c>
      <c r="V1486" t="s">
        <v>1050</v>
      </c>
      <c r="W1486" t="s">
        <v>1051</v>
      </c>
    </row>
    <row r="1487" spans="1:23" ht="15" customHeight="1" x14ac:dyDescent="0.3">
      <c r="A1487" t="s">
        <v>8</v>
      </c>
      <c r="B1487">
        <v>188</v>
      </c>
      <c r="C1487" t="s">
        <v>954</v>
      </c>
      <c r="D1487" t="s">
        <v>1031</v>
      </c>
      <c r="E1487" t="s">
        <v>34</v>
      </c>
      <c r="F1487" t="s">
        <v>1032</v>
      </c>
      <c r="G1487" t="s">
        <v>36</v>
      </c>
      <c r="H1487" t="s">
        <v>57</v>
      </c>
      <c r="I1487" t="s">
        <v>1031</v>
      </c>
      <c r="J1487" t="s">
        <v>1047</v>
      </c>
      <c r="K1487" s="21" t="s">
        <v>1048</v>
      </c>
      <c r="L1487" s="21" t="s">
        <v>1035</v>
      </c>
      <c r="M1487" t="s">
        <v>1036</v>
      </c>
      <c r="N1487" t="s">
        <v>961</v>
      </c>
      <c r="O1487" t="s">
        <v>962</v>
      </c>
      <c r="R1487" t="s">
        <v>1049</v>
      </c>
      <c r="S1487" t="s">
        <v>1047</v>
      </c>
      <c r="T1487" t="s">
        <v>45</v>
      </c>
      <c r="U1487" t="s">
        <v>46</v>
      </c>
      <c r="V1487" t="s">
        <v>1050</v>
      </c>
      <c r="W1487" t="s">
        <v>1051</v>
      </c>
    </row>
    <row r="1488" spans="1:23" ht="15" customHeight="1" x14ac:dyDescent="0.3">
      <c r="A1488" t="s">
        <v>8</v>
      </c>
      <c r="B1488">
        <v>188</v>
      </c>
      <c r="C1488" t="s">
        <v>954</v>
      </c>
      <c r="D1488" t="s">
        <v>1031</v>
      </c>
      <c r="E1488" t="s">
        <v>34</v>
      </c>
      <c r="F1488" t="s">
        <v>1032</v>
      </c>
      <c r="G1488" t="s">
        <v>36</v>
      </c>
      <c r="H1488" t="s">
        <v>57</v>
      </c>
      <c r="I1488" t="s">
        <v>1031</v>
      </c>
      <c r="J1488" t="s">
        <v>1047</v>
      </c>
      <c r="K1488" s="21" t="s">
        <v>1048</v>
      </c>
      <c r="L1488" s="21" t="s">
        <v>1035</v>
      </c>
      <c r="M1488" t="s">
        <v>1036</v>
      </c>
      <c r="N1488" t="s">
        <v>961</v>
      </c>
      <c r="O1488" t="s">
        <v>962</v>
      </c>
      <c r="R1488" t="s">
        <v>1054</v>
      </c>
      <c r="S1488" t="s">
        <v>1047</v>
      </c>
      <c r="T1488" t="s">
        <v>45</v>
      </c>
      <c r="U1488" t="s">
        <v>46</v>
      </c>
      <c r="V1488" t="s">
        <v>1050</v>
      </c>
      <c r="W1488" t="s">
        <v>1051</v>
      </c>
    </row>
    <row r="1489" spans="1:23" ht="15" customHeight="1" x14ac:dyDescent="0.3">
      <c r="A1489" t="s">
        <v>8</v>
      </c>
      <c r="B1489">
        <v>188</v>
      </c>
      <c r="C1489" t="s">
        <v>954</v>
      </c>
      <c r="D1489" t="s">
        <v>1031</v>
      </c>
      <c r="E1489" t="s">
        <v>34</v>
      </c>
      <c r="F1489" t="s">
        <v>1032</v>
      </c>
      <c r="G1489" t="s">
        <v>36</v>
      </c>
      <c r="H1489" t="s">
        <v>49</v>
      </c>
      <c r="I1489" t="s">
        <v>1031</v>
      </c>
      <c r="J1489" t="s">
        <v>1052</v>
      </c>
      <c r="K1489" s="21" t="s">
        <v>1053</v>
      </c>
      <c r="L1489" s="21" t="s">
        <v>1035</v>
      </c>
      <c r="M1489" t="s">
        <v>1036</v>
      </c>
      <c r="N1489" t="s">
        <v>961</v>
      </c>
      <c r="O1489" t="s">
        <v>962</v>
      </c>
      <c r="R1489" t="s">
        <v>1038</v>
      </c>
      <c r="S1489" t="s">
        <v>1052</v>
      </c>
      <c r="T1489" t="s">
        <v>45</v>
      </c>
      <c r="U1489" t="s">
        <v>46</v>
      </c>
      <c r="V1489" t="s">
        <v>1055</v>
      </c>
      <c r="W1489" t="s">
        <v>1056</v>
      </c>
    </row>
    <row r="1490" spans="1:23" ht="15" customHeight="1" x14ac:dyDescent="0.3">
      <c r="A1490" t="s">
        <v>8</v>
      </c>
      <c r="B1490">
        <v>188</v>
      </c>
      <c r="C1490" t="s">
        <v>954</v>
      </c>
      <c r="D1490" t="s">
        <v>1031</v>
      </c>
      <c r="E1490" t="s">
        <v>34</v>
      </c>
      <c r="F1490" t="s">
        <v>1032</v>
      </c>
      <c r="G1490" t="s">
        <v>36</v>
      </c>
      <c r="H1490" t="s">
        <v>49</v>
      </c>
      <c r="I1490" t="s">
        <v>1031</v>
      </c>
      <c r="J1490" t="s">
        <v>1052</v>
      </c>
      <c r="K1490" s="21" t="s">
        <v>1053</v>
      </c>
      <c r="L1490" s="21" t="s">
        <v>1035</v>
      </c>
      <c r="M1490" t="s">
        <v>1036</v>
      </c>
      <c r="N1490" t="s">
        <v>961</v>
      </c>
      <c r="O1490" t="s">
        <v>962</v>
      </c>
      <c r="R1490" t="s">
        <v>1041</v>
      </c>
      <c r="S1490" t="s">
        <v>1052</v>
      </c>
      <c r="T1490" t="s">
        <v>45</v>
      </c>
      <c r="U1490" t="s">
        <v>46</v>
      </c>
      <c r="V1490" t="s">
        <v>1055</v>
      </c>
      <c r="W1490" t="s">
        <v>1056</v>
      </c>
    </row>
    <row r="1491" spans="1:23" ht="15" customHeight="1" x14ac:dyDescent="0.3">
      <c r="A1491" t="s">
        <v>8</v>
      </c>
      <c r="B1491">
        <v>188</v>
      </c>
      <c r="C1491" t="s">
        <v>954</v>
      </c>
      <c r="D1491" t="s">
        <v>1031</v>
      </c>
      <c r="E1491" t="s">
        <v>34</v>
      </c>
      <c r="F1491" t="s">
        <v>1032</v>
      </c>
      <c r="G1491" t="s">
        <v>36</v>
      </c>
      <c r="H1491" t="s">
        <v>49</v>
      </c>
      <c r="I1491" t="s">
        <v>1031</v>
      </c>
      <c r="J1491" t="s">
        <v>1052</v>
      </c>
      <c r="K1491" s="21" t="s">
        <v>1053</v>
      </c>
      <c r="L1491" s="21" t="s">
        <v>1035</v>
      </c>
      <c r="M1491" t="s">
        <v>1036</v>
      </c>
      <c r="N1491" t="s">
        <v>961</v>
      </c>
      <c r="O1491" t="s">
        <v>962</v>
      </c>
      <c r="R1491" t="s">
        <v>1049</v>
      </c>
      <c r="S1491" t="s">
        <v>1052</v>
      </c>
      <c r="T1491" t="s">
        <v>45</v>
      </c>
      <c r="U1491" t="s">
        <v>46</v>
      </c>
      <c r="V1491" t="s">
        <v>1055</v>
      </c>
      <c r="W1491" t="s">
        <v>1056</v>
      </c>
    </row>
    <row r="1492" spans="1:23" ht="15" customHeight="1" x14ac:dyDescent="0.3">
      <c r="A1492" t="s">
        <v>8</v>
      </c>
      <c r="B1492">
        <v>188</v>
      </c>
      <c r="C1492" t="s">
        <v>954</v>
      </c>
      <c r="D1492" t="s">
        <v>1031</v>
      </c>
      <c r="E1492" t="s">
        <v>34</v>
      </c>
      <c r="F1492" t="s">
        <v>1032</v>
      </c>
      <c r="G1492" t="s">
        <v>36</v>
      </c>
      <c r="H1492" t="s">
        <v>49</v>
      </c>
      <c r="I1492" t="s">
        <v>1031</v>
      </c>
      <c r="J1492" t="s">
        <v>1052</v>
      </c>
      <c r="K1492" s="21" t="s">
        <v>1053</v>
      </c>
      <c r="L1492" s="21" t="s">
        <v>1035</v>
      </c>
      <c r="M1492" t="s">
        <v>1036</v>
      </c>
      <c r="N1492" t="s">
        <v>961</v>
      </c>
      <c r="O1492" t="s">
        <v>962</v>
      </c>
      <c r="R1492" t="s">
        <v>1054</v>
      </c>
      <c r="S1492" t="s">
        <v>1052</v>
      </c>
      <c r="T1492" t="s">
        <v>45</v>
      </c>
      <c r="U1492" t="s">
        <v>46</v>
      </c>
      <c r="V1492" t="s">
        <v>1055</v>
      </c>
      <c r="W1492" t="s">
        <v>1056</v>
      </c>
    </row>
    <row r="1493" spans="1:23" ht="15" customHeight="1" x14ac:dyDescent="0.3">
      <c r="A1493" t="s">
        <v>8</v>
      </c>
      <c r="B1493">
        <v>188</v>
      </c>
      <c r="C1493" t="s">
        <v>954</v>
      </c>
      <c r="D1493" t="s">
        <v>1031</v>
      </c>
      <c r="E1493" t="s">
        <v>34</v>
      </c>
      <c r="F1493" t="s">
        <v>1032</v>
      </c>
      <c r="G1493" t="s">
        <v>36</v>
      </c>
      <c r="H1493" t="s">
        <v>87</v>
      </c>
      <c r="I1493" t="s">
        <v>1031</v>
      </c>
      <c r="J1493" t="s">
        <v>1057</v>
      </c>
      <c r="K1493" s="21" t="s">
        <v>1058</v>
      </c>
      <c r="L1493" s="21" t="s">
        <v>1035</v>
      </c>
      <c r="M1493" t="s">
        <v>1036</v>
      </c>
      <c r="N1493" t="s">
        <v>961</v>
      </c>
      <c r="O1493" t="s">
        <v>962</v>
      </c>
      <c r="R1493" t="s">
        <v>1038</v>
      </c>
      <c r="S1493" t="s">
        <v>1057</v>
      </c>
      <c r="T1493" t="s">
        <v>45</v>
      </c>
      <c r="U1493" t="s">
        <v>46</v>
      </c>
      <c r="V1493" t="s">
        <v>1059</v>
      </c>
      <c r="W1493" t="s">
        <v>1060</v>
      </c>
    </row>
    <row r="1494" spans="1:23" ht="15" customHeight="1" x14ac:dyDescent="0.3">
      <c r="A1494" t="s">
        <v>8</v>
      </c>
      <c r="B1494">
        <v>188</v>
      </c>
      <c r="C1494" t="s">
        <v>954</v>
      </c>
      <c r="D1494" t="s">
        <v>1031</v>
      </c>
      <c r="E1494" t="s">
        <v>34</v>
      </c>
      <c r="F1494" t="s">
        <v>1032</v>
      </c>
      <c r="G1494" t="s">
        <v>36</v>
      </c>
      <c r="H1494" t="s">
        <v>87</v>
      </c>
      <c r="I1494" t="s">
        <v>1031</v>
      </c>
      <c r="J1494" t="s">
        <v>1057</v>
      </c>
      <c r="K1494" s="21" t="s">
        <v>1058</v>
      </c>
      <c r="L1494" s="21" t="s">
        <v>1035</v>
      </c>
      <c r="M1494" t="s">
        <v>1036</v>
      </c>
      <c r="N1494" t="s">
        <v>961</v>
      </c>
      <c r="O1494" t="s">
        <v>962</v>
      </c>
      <c r="R1494" t="s">
        <v>1041</v>
      </c>
      <c r="S1494" t="s">
        <v>1057</v>
      </c>
      <c r="T1494" t="s">
        <v>45</v>
      </c>
      <c r="U1494" t="s">
        <v>46</v>
      </c>
      <c r="V1494" t="s">
        <v>1059</v>
      </c>
      <c r="W1494" t="s">
        <v>1060</v>
      </c>
    </row>
    <row r="1495" spans="1:23" ht="15" customHeight="1" x14ac:dyDescent="0.3">
      <c r="A1495" t="s">
        <v>8</v>
      </c>
      <c r="B1495">
        <v>188</v>
      </c>
      <c r="C1495" t="s">
        <v>954</v>
      </c>
      <c r="D1495" t="s">
        <v>1031</v>
      </c>
      <c r="E1495" t="s">
        <v>34</v>
      </c>
      <c r="F1495" t="s">
        <v>1032</v>
      </c>
      <c r="G1495" t="s">
        <v>36</v>
      </c>
      <c r="H1495" t="s">
        <v>87</v>
      </c>
      <c r="I1495" t="s">
        <v>1031</v>
      </c>
      <c r="J1495" t="s">
        <v>1057</v>
      </c>
      <c r="K1495" s="21" t="s">
        <v>1058</v>
      </c>
      <c r="L1495" s="21" t="s">
        <v>1035</v>
      </c>
      <c r="M1495" t="s">
        <v>1036</v>
      </c>
      <c r="N1495" t="s">
        <v>961</v>
      </c>
      <c r="O1495" t="s">
        <v>962</v>
      </c>
      <c r="R1495" t="s">
        <v>1049</v>
      </c>
      <c r="S1495" t="s">
        <v>1057</v>
      </c>
      <c r="T1495" t="s">
        <v>45</v>
      </c>
      <c r="U1495" t="s">
        <v>46</v>
      </c>
      <c r="V1495" t="s">
        <v>1059</v>
      </c>
      <c r="W1495" t="s">
        <v>1060</v>
      </c>
    </row>
    <row r="1496" spans="1:23" ht="15" customHeight="1" x14ac:dyDescent="0.3">
      <c r="A1496" t="s">
        <v>8</v>
      </c>
      <c r="B1496">
        <v>188</v>
      </c>
      <c r="C1496" t="s">
        <v>954</v>
      </c>
      <c r="D1496" t="s">
        <v>1031</v>
      </c>
      <c r="E1496" t="s">
        <v>34</v>
      </c>
      <c r="F1496" t="s">
        <v>1032</v>
      </c>
      <c r="G1496" t="s">
        <v>36</v>
      </c>
      <c r="H1496" t="s">
        <v>87</v>
      </c>
      <c r="I1496" t="s">
        <v>1031</v>
      </c>
      <c r="J1496" t="s">
        <v>1057</v>
      </c>
      <c r="K1496" s="21" t="s">
        <v>1058</v>
      </c>
      <c r="L1496" s="21" t="s">
        <v>1035</v>
      </c>
      <c r="M1496" t="s">
        <v>1036</v>
      </c>
      <c r="N1496" t="s">
        <v>961</v>
      </c>
      <c r="O1496" t="s">
        <v>962</v>
      </c>
      <c r="R1496" t="s">
        <v>1054</v>
      </c>
      <c r="S1496" t="s">
        <v>1057</v>
      </c>
      <c r="T1496" t="s">
        <v>45</v>
      </c>
      <c r="U1496" t="s">
        <v>46</v>
      </c>
      <c r="V1496" t="s">
        <v>1059</v>
      </c>
      <c r="W1496" t="s">
        <v>1060</v>
      </c>
    </row>
    <row r="1497" spans="1:23" ht="15" customHeight="1" x14ac:dyDescent="0.3">
      <c r="A1497" t="s">
        <v>8</v>
      </c>
      <c r="B1497">
        <v>188</v>
      </c>
      <c r="C1497" t="s">
        <v>954</v>
      </c>
      <c r="D1497" t="s">
        <v>1031</v>
      </c>
      <c r="E1497" t="s">
        <v>34</v>
      </c>
      <c r="F1497" t="s">
        <v>1032</v>
      </c>
      <c r="G1497" t="s">
        <v>36</v>
      </c>
      <c r="H1497" t="s">
        <v>421</v>
      </c>
      <c r="I1497" t="s">
        <v>1031</v>
      </c>
      <c r="J1497" t="s">
        <v>1061</v>
      </c>
      <c r="K1497" s="21" t="s">
        <v>1062</v>
      </c>
      <c r="L1497" s="21" t="s">
        <v>1035</v>
      </c>
      <c r="M1497" t="s">
        <v>1036</v>
      </c>
      <c r="N1497" t="s">
        <v>961</v>
      </c>
      <c r="O1497" t="s">
        <v>962</v>
      </c>
      <c r="R1497" t="s">
        <v>1038</v>
      </c>
      <c r="S1497" t="s">
        <v>1061</v>
      </c>
      <c r="T1497" t="s">
        <v>45</v>
      </c>
      <c r="U1497" t="s">
        <v>46</v>
      </c>
      <c r="V1497" t="s">
        <v>1063</v>
      </c>
      <c r="W1497" t="s">
        <v>1064</v>
      </c>
    </row>
    <row r="1498" spans="1:23" ht="15" customHeight="1" x14ac:dyDescent="0.3">
      <c r="A1498" t="s">
        <v>8</v>
      </c>
      <c r="B1498">
        <v>188</v>
      </c>
      <c r="C1498" t="s">
        <v>954</v>
      </c>
      <c r="D1498" t="s">
        <v>1031</v>
      </c>
      <c r="E1498" t="s">
        <v>34</v>
      </c>
      <c r="F1498" t="s">
        <v>1032</v>
      </c>
      <c r="G1498" t="s">
        <v>36</v>
      </c>
      <c r="H1498" t="s">
        <v>421</v>
      </c>
      <c r="I1498" t="s">
        <v>1031</v>
      </c>
      <c r="J1498" t="s">
        <v>1061</v>
      </c>
      <c r="K1498" s="21" t="s">
        <v>1062</v>
      </c>
      <c r="L1498" s="21" t="s">
        <v>1035</v>
      </c>
      <c r="M1498" t="s">
        <v>1036</v>
      </c>
      <c r="N1498" t="s">
        <v>961</v>
      </c>
      <c r="O1498" t="s">
        <v>962</v>
      </c>
      <c r="R1498" t="s">
        <v>1041</v>
      </c>
      <c r="S1498" t="s">
        <v>1061</v>
      </c>
      <c r="T1498" t="s">
        <v>45</v>
      </c>
      <c r="U1498" t="s">
        <v>46</v>
      </c>
      <c r="V1498" t="s">
        <v>1063</v>
      </c>
      <c r="W1498" t="s">
        <v>1064</v>
      </c>
    </row>
    <row r="1499" spans="1:23" ht="15" customHeight="1" x14ac:dyDescent="0.3">
      <c r="A1499" t="s">
        <v>8</v>
      </c>
      <c r="B1499">
        <v>188</v>
      </c>
      <c r="C1499" t="s">
        <v>954</v>
      </c>
      <c r="D1499" t="s">
        <v>1031</v>
      </c>
      <c r="E1499" t="s">
        <v>34</v>
      </c>
      <c r="F1499" t="s">
        <v>1032</v>
      </c>
      <c r="G1499" t="s">
        <v>36</v>
      </c>
      <c r="H1499" t="s">
        <v>421</v>
      </c>
      <c r="I1499" t="s">
        <v>1031</v>
      </c>
      <c r="J1499" t="s">
        <v>1061</v>
      </c>
      <c r="K1499" s="21" t="s">
        <v>1062</v>
      </c>
      <c r="L1499" s="21" t="s">
        <v>1035</v>
      </c>
      <c r="M1499" t="s">
        <v>1036</v>
      </c>
      <c r="N1499" t="s">
        <v>961</v>
      </c>
      <c r="O1499" t="s">
        <v>962</v>
      </c>
      <c r="R1499" t="s">
        <v>1049</v>
      </c>
      <c r="S1499" t="s">
        <v>1061</v>
      </c>
      <c r="T1499" t="s">
        <v>45</v>
      </c>
      <c r="U1499" t="s">
        <v>46</v>
      </c>
      <c r="V1499" t="s">
        <v>1063</v>
      </c>
      <c r="W1499" t="s">
        <v>1064</v>
      </c>
    </row>
    <row r="1500" spans="1:23" ht="15" customHeight="1" x14ac:dyDescent="0.3">
      <c r="A1500" t="s">
        <v>8</v>
      </c>
      <c r="B1500">
        <v>188</v>
      </c>
      <c r="C1500" t="s">
        <v>954</v>
      </c>
      <c r="D1500" t="s">
        <v>1031</v>
      </c>
      <c r="E1500" t="s">
        <v>34</v>
      </c>
      <c r="F1500" t="s">
        <v>1032</v>
      </c>
      <c r="G1500" t="s">
        <v>36</v>
      </c>
      <c r="H1500" t="s">
        <v>421</v>
      </c>
      <c r="I1500" t="s">
        <v>1031</v>
      </c>
      <c r="J1500" t="s">
        <v>1061</v>
      </c>
      <c r="K1500" s="21" t="s">
        <v>1062</v>
      </c>
      <c r="L1500" s="21" t="s">
        <v>1035</v>
      </c>
      <c r="M1500" t="s">
        <v>1036</v>
      </c>
      <c r="N1500" t="s">
        <v>961</v>
      </c>
      <c r="O1500" t="s">
        <v>962</v>
      </c>
      <c r="R1500" t="s">
        <v>1054</v>
      </c>
      <c r="S1500" t="s">
        <v>1061</v>
      </c>
      <c r="T1500" t="s">
        <v>45</v>
      </c>
      <c r="U1500" t="s">
        <v>46</v>
      </c>
      <c r="V1500" t="s">
        <v>1063</v>
      </c>
      <c r="W1500" t="s">
        <v>1064</v>
      </c>
    </row>
    <row r="1501" spans="1:23" ht="15" customHeight="1" x14ac:dyDescent="0.3">
      <c r="A1501" t="s">
        <v>8</v>
      </c>
      <c r="B1501">
        <v>188</v>
      </c>
      <c r="C1501" t="s">
        <v>954</v>
      </c>
      <c r="D1501" t="s">
        <v>1031</v>
      </c>
      <c r="E1501" t="s">
        <v>34</v>
      </c>
      <c r="F1501" t="s">
        <v>1032</v>
      </c>
      <c r="G1501" t="s">
        <v>36</v>
      </c>
      <c r="H1501" t="s">
        <v>182</v>
      </c>
      <c r="I1501" t="s">
        <v>1031</v>
      </c>
      <c r="J1501" t="s">
        <v>2807</v>
      </c>
      <c r="K1501" s="21" t="s">
        <v>2808</v>
      </c>
      <c r="L1501" s="21" t="s">
        <v>1035</v>
      </c>
      <c r="M1501" t="s">
        <v>1036</v>
      </c>
      <c r="N1501" t="s">
        <v>961</v>
      </c>
      <c r="O1501" t="s">
        <v>962</v>
      </c>
      <c r="R1501" t="s">
        <v>1038</v>
      </c>
      <c r="S1501" t="s">
        <v>2807</v>
      </c>
      <c r="T1501" t="s">
        <v>45</v>
      </c>
      <c r="U1501" t="s">
        <v>1486</v>
      </c>
      <c r="V1501" t="s">
        <v>1039</v>
      </c>
      <c r="W1501" t="s">
        <v>2809</v>
      </c>
    </row>
    <row r="1502" spans="1:23" ht="15" customHeight="1" x14ac:dyDescent="0.3">
      <c r="A1502" t="s">
        <v>8</v>
      </c>
      <c r="B1502">
        <v>188</v>
      </c>
      <c r="C1502" t="s">
        <v>954</v>
      </c>
      <c r="D1502" t="s">
        <v>1031</v>
      </c>
      <c r="E1502" t="s">
        <v>34</v>
      </c>
      <c r="F1502" t="s">
        <v>1032</v>
      </c>
      <c r="G1502" t="s">
        <v>36</v>
      </c>
      <c r="H1502" t="s">
        <v>182</v>
      </c>
      <c r="I1502" t="s">
        <v>1031</v>
      </c>
      <c r="J1502" t="s">
        <v>2807</v>
      </c>
      <c r="K1502" s="21" t="s">
        <v>2808</v>
      </c>
      <c r="L1502" s="21" t="s">
        <v>1035</v>
      </c>
      <c r="M1502" t="s">
        <v>1036</v>
      </c>
      <c r="N1502" t="s">
        <v>961</v>
      </c>
      <c r="O1502" t="s">
        <v>962</v>
      </c>
      <c r="R1502" t="s">
        <v>1041</v>
      </c>
      <c r="S1502" t="s">
        <v>2807</v>
      </c>
      <c r="T1502" t="s">
        <v>45</v>
      </c>
      <c r="U1502" t="s">
        <v>1486</v>
      </c>
      <c r="V1502" t="s">
        <v>1039</v>
      </c>
      <c r="W1502" t="s">
        <v>2809</v>
      </c>
    </row>
    <row r="1503" spans="1:23" ht="15" customHeight="1" x14ac:dyDescent="0.3">
      <c r="A1503" t="s">
        <v>8</v>
      </c>
      <c r="B1503">
        <v>188</v>
      </c>
      <c r="C1503" t="s">
        <v>954</v>
      </c>
      <c r="D1503" t="s">
        <v>1031</v>
      </c>
      <c r="E1503" t="s">
        <v>34</v>
      </c>
      <c r="F1503" t="s">
        <v>1032</v>
      </c>
      <c r="G1503" t="s">
        <v>36</v>
      </c>
      <c r="H1503" t="s">
        <v>182</v>
      </c>
      <c r="I1503" t="s">
        <v>1031</v>
      </c>
      <c r="J1503" t="s">
        <v>2807</v>
      </c>
      <c r="K1503" s="21" t="s">
        <v>2808</v>
      </c>
      <c r="L1503" s="21" t="s">
        <v>1035</v>
      </c>
      <c r="M1503" t="s">
        <v>1036</v>
      </c>
      <c r="N1503" t="s">
        <v>961</v>
      </c>
      <c r="O1503" t="s">
        <v>962</v>
      </c>
      <c r="R1503" t="s">
        <v>1049</v>
      </c>
      <c r="S1503" t="s">
        <v>2807</v>
      </c>
      <c r="T1503" t="s">
        <v>45</v>
      </c>
      <c r="U1503" t="s">
        <v>1486</v>
      </c>
      <c r="V1503" t="s">
        <v>1039</v>
      </c>
      <c r="W1503" t="s">
        <v>2809</v>
      </c>
    </row>
    <row r="1504" spans="1:23" ht="15" customHeight="1" x14ac:dyDescent="0.3">
      <c r="A1504" t="s">
        <v>8</v>
      </c>
      <c r="B1504">
        <v>188</v>
      </c>
      <c r="C1504" t="s">
        <v>954</v>
      </c>
      <c r="D1504" t="s">
        <v>1031</v>
      </c>
      <c r="E1504" t="s">
        <v>34</v>
      </c>
      <c r="F1504" t="s">
        <v>1032</v>
      </c>
      <c r="G1504" t="s">
        <v>36</v>
      </c>
      <c r="H1504" t="s">
        <v>182</v>
      </c>
      <c r="I1504" t="s">
        <v>1031</v>
      </c>
      <c r="J1504" t="s">
        <v>2807</v>
      </c>
      <c r="K1504" s="21" t="s">
        <v>2808</v>
      </c>
      <c r="L1504" s="21" t="s">
        <v>1035</v>
      </c>
      <c r="M1504" t="s">
        <v>1036</v>
      </c>
      <c r="N1504" t="s">
        <v>961</v>
      </c>
      <c r="O1504" t="s">
        <v>962</v>
      </c>
      <c r="R1504" t="s">
        <v>1054</v>
      </c>
      <c r="S1504" t="s">
        <v>2807</v>
      </c>
      <c r="T1504" t="s">
        <v>45</v>
      </c>
      <c r="U1504" t="s">
        <v>1486</v>
      </c>
      <c r="V1504" t="s">
        <v>1039</v>
      </c>
      <c r="W1504" t="s">
        <v>2809</v>
      </c>
    </row>
    <row r="1505" spans="1:23" ht="15" customHeight="1" x14ac:dyDescent="0.3">
      <c r="A1505" t="s">
        <v>8</v>
      </c>
      <c r="B1505">
        <v>188</v>
      </c>
      <c r="C1505" t="s">
        <v>954</v>
      </c>
      <c r="D1505" t="s">
        <v>1031</v>
      </c>
      <c r="E1505" t="s">
        <v>34</v>
      </c>
      <c r="F1505" t="s">
        <v>1032</v>
      </c>
      <c r="G1505" t="s">
        <v>36</v>
      </c>
      <c r="H1505" t="s">
        <v>1242</v>
      </c>
      <c r="I1505" t="s">
        <v>1031</v>
      </c>
      <c r="J1505" t="s">
        <v>2810</v>
      </c>
      <c r="K1505" s="21" t="s">
        <v>2811</v>
      </c>
      <c r="L1505" s="21" t="s">
        <v>1035</v>
      </c>
      <c r="M1505" t="s">
        <v>1036</v>
      </c>
      <c r="N1505" t="s">
        <v>961</v>
      </c>
      <c r="O1505" t="s">
        <v>962</v>
      </c>
      <c r="R1505" t="s">
        <v>1038</v>
      </c>
      <c r="S1505" t="s">
        <v>2810</v>
      </c>
      <c r="T1505" t="s">
        <v>45</v>
      </c>
      <c r="U1505" t="s">
        <v>1257</v>
      </c>
      <c r="V1505" t="s">
        <v>1039</v>
      </c>
      <c r="W1505" t="s">
        <v>2812</v>
      </c>
    </row>
    <row r="1506" spans="1:23" ht="15" customHeight="1" x14ac:dyDescent="0.3">
      <c r="A1506" t="s">
        <v>8</v>
      </c>
      <c r="B1506">
        <v>188</v>
      </c>
      <c r="C1506" t="s">
        <v>954</v>
      </c>
      <c r="D1506" t="s">
        <v>1031</v>
      </c>
      <c r="E1506" t="s">
        <v>34</v>
      </c>
      <c r="F1506" t="s">
        <v>1032</v>
      </c>
      <c r="G1506" t="s">
        <v>36</v>
      </c>
      <c r="H1506" t="s">
        <v>1242</v>
      </c>
      <c r="I1506" t="s">
        <v>1031</v>
      </c>
      <c r="J1506" t="s">
        <v>2810</v>
      </c>
      <c r="K1506" s="21" t="s">
        <v>2811</v>
      </c>
      <c r="L1506" s="21" t="s">
        <v>1035</v>
      </c>
      <c r="M1506" t="s">
        <v>1036</v>
      </c>
      <c r="N1506" t="s">
        <v>961</v>
      </c>
      <c r="O1506" t="s">
        <v>962</v>
      </c>
      <c r="R1506" t="s">
        <v>1041</v>
      </c>
      <c r="S1506" t="s">
        <v>2810</v>
      </c>
      <c r="T1506" t="s">
        <v>45</v>
      </c>
      <c r="U1506" t="s">
        <v>1257</v>
      </c>
      <c r="V1506" t="s">
        <v>1039</v>
      </c>
      <c r="W1506" t="s">
        <v>2812</v>
      </c>
    </row>
    <row r="1507" spans="1:23" ht="15" customHeight="1" x14ac:dyDescent="0.3">
      <c r="A1507" t="s">
        <v>8</v>
      </c>
      <c r="B1507">
        <v>188</v>
      </c>
      <c r="C1507" t="s">
        <v>954</v>
      </c>
      <c r="D1507" t="s">
        <v>1031</v>
      </c>
      <c r="E1507" t="s">
        <v>34</v>
      </c>
      <c r="F1507" t="s">
        <v>1032</v>
      </c>
      <c r="G1507" t="s">
        <v>36</v>
      </c>
      <c r="H1507" t="s">
        <v>1242</v>
      </c>
      <c r="I1507" t="s">
        <v>1031</v>
      </c>
      <c r="J1507" t="s">
        <v>2810</v>
      </c>
      <c r="K1507" s="21" t="s">
        <v>2811</v>
      </c>
      <c r="L1507" s="21" t="s">
        <v>1035</v>
      </c>
      <c r="M1507" t="s">
        <v>1036</v>
      </c>
      <c r="N1507" t="s">
        <v>961</v>
      </c>
      <c r="O1507" t="s">
        <v>962</v>
      </c>
      <c r="R1507" t="s">
        <v>1049</v>
      </c>
      <c r="S1507" t="s">
        <v>2810</v>
      </c>
      <c r="T1507" t="s">
        <v>45</v>
      </c>
      <c r="U1507" t="s">
        <v>1257</v>
      </c>
      <c r="V1507" t="s">
        <v>1039</v>
      </c>
      <c r="W1507" t="s">
        <v>2812</v>
      </c>
    </row>
    <row r="1508" spans="1:23" ht="15" customHeight="1" x14ac:dyDescent="0.3">
      <c r="A1508" t="s">
        <v>8</v>
      </c>
      <c r="B1508">
        <v>188</v>
      </c>
      <c r="C1508" t="s">
        <v>954</v>
      </c>
      <c r="D1508" t="s">
        <v>1031</v>
      </c>
      <c r="E1508" t="s">
        <v>34</v>
      </c>
      <c r="F1508" t="s">
        <v>1032</v>
      </c>
      <c r="G1508" t="s">
        <v>36</v>
      </c>
      <c r="H1508" t="s">
        <v>1242</v>
      </c>
      <c r="I1508" t="s">
        <v>1031</v>
      </c>
      <c r="J1508" t="s">
        <v>2810</v>
      </c>
      <c r="K1508" s="21" t="s">
        <v>2811</v>
      </c>
      <c r="L1508" s="21" t="s">
        <v>1035</v>
      </c>
      <c r="M1508" t="s">
        <v>1036</v>
      </c>
      <c r="N1508" t="s">
        <v>961</v>
      </c>
      <c r="O1508" t="s">
        <v>962</v>
      </c>
      <c r="R1508" t="s">
        <v>1054</v>
      </c>
      <c r="S1508" t="s">
        <v>2810</v>
      </c>
      <c r="T1508" t="s">
        <v>45</v>
      </c>
      <c r="U1508" t="s">
        <v>1257</v>
      </c>
      <c r="V1508" t="s">
        <v>1039</v>
      </c>
      <c r="W1508" t="s">
        <v>2812</v>
      </c>
    </row>
    <row r="1509" spans="1:23" ht="15" customHeight="1" x14ac:dyDescent="0.3">
      <c r="A1509" t="s">
        <v>8</v>
      </c>
      <c r="B1509">
        <v>188</v>
      </c>
      <c r="C1509" t="s">
        <v>954</v>
      </c>
      <c r="D1509" t="s">
        <v>1031</v>
      </c>
      <c r="E1509" t="s">
        <v>34</v>
      </c>
      <c r="F1509" t="s">
        <v>1032</v>
      </c>
      <c r="G1509" t="s">
        <v>36</v>
      </c>
      <c r="H1509" t="s">
        <v>425</v>
      </c>
      <c r="I1509" t="s">
        <v>1031</v>
      </c>
      <c r="J1509" t="s">
        <v>1065</v>
      </c>
      <c r="K1509" s="21" t="s">
        <v>1066</v>
      </c>
      <c r="L1509" s="21" t="s">
        <v>1035</v>
      </c>
      <c r="M1509" t="s">
        <v>1036</v>
      </c>
      <c r="N1509" t="s">
        <v>961</v>
      </c>
      <c r="O1509" t="s">
        <v>962</v>
      </c>
      <c r="R1509" t="s">
        <v>1038</v>
      </c>
      <c r="S1509" t="s">
        <v>1065</v>
      </c>
      <c r="T1509" t="s">
        <v>45</v>
      </c>
      <c r="U1509" t="s">
        <v>90</v>
      </c>
      <c r="V1509" t="s">
        <v>1067</v>
      </c>
      <c r="W1509" t="s">
        <v>1068</v>
      </c>
    </row>
    <row r="1510" spans="1:23" ht="15" customHeight="1" x14ac:dyDescent="0.3">
      <c r="A1510" t="s">
        <v>8</v>
      </c>
      <c r="B1510">
        <v>188</v>
      </c>
      <c r="C1510" t="s">
        <v>954</v>
      </c>
      <c r="D1510" t="s">
        <v>1031</v>
      </c>
      <c r="E1510" t="s">
        <v>34</v>
      </c>
      <c r="F1510" t="s">
        <v>1032</v>
      </c>
      <c r="G1510" t="s">
        <v>36</v>
      </c>
      <c r="H1510" t="s">
        <v>425</v>
      </c>
      <c r="I1510" t="s">
        <v>1031</v>
      </c>
      <c r="J1510" t="s">
        <v>1065</v>
      </c>
      <c r="K1510" s="21" t="s">
        <v>1066</v>
      </c>
      <c r="L1510" s="21" t="s">
        <v>1035</v>
      </c>
      <c r="M1510" t="s">
        <v>1036</v>
      </c>
      <c r="N1510" t="s">
        <v>961</v>
      </c>
      <c r="O1510" t="s">
        <v>962</v>
      </c>
      <c r="R1510" t="s">
        <v>1041</v>
      </c>
      <c r="S1510" t="s">
        <v>1065</v>
      </c>
      <c r="T1510" t="s">
        <v>45</v>
      </c>
      <c r="U1510" t="s">
        <v>90</v>
      </c>
      <c r="V1510" t="s">
        <v>1067</v>
      </c>
      <c r="W1510" t="s">
        <v>1068</v>
      </c>
    </row>
    <row r="1511" spans="1:23" ht="15" customHeight="1" x14ac:dyDescent="0.3">
      <c r="A1511" t="s">
        <v>8</v>
      </c>
      <c r="B1511">
        <v>188</v>
      </c>
      <c r="C1511" t="s">
        <v>954</v>
      </c>
      <c r="D1511" t="s">
        <v>1031</v>
      </c>
      <c r="E1511" t="s">
        <v>34</v>
      </c>
      <c r="F1511" t="s">
        <v>1032</v>
      </c>
      <c r="G1511" t="s">
        <v>36</v>
      </c>
      <c r="H1511" t="s">
        <v>425</v>
      </c>
      <c r="I1511" t="s">
        <v>1031</v>
      </c>
      <c r="J1511" t="s">
        <v>1065</v>
      </c>
      <c r="K1511" s="21" t="s">
        <v>1066</v>
      </c>
      <c r="L1511" s="21" t="s">
        <v>1035</v>
      </c>
      <c r="M1511" t="s">
        <v>1036</v>
      </c>
      <c r="N1511" t="s">
        <v>961</v>
      </c>
      <c r="O1511" t="s">
        <v>962</v>
      </c>
      <c r="R1511" t="s">
        <v>1049</v>
      </c>
      <c r="S1511" t="s">
        <v>1065</v>
      </c>
      <c r="T1511" t="s">
        <v>45</v>
      </c>
      <c r="U1511" t="s">
        <v>90</v>
      </c>
      <c r="V1511" t="s">
        <v>1067</v>
      </c>
      <c r="W1511" t="s">
        <v>1068</v>
      </c>
    </row>
    <row r="1512" spans="1:23" ht="15" customHeight="1" x14ac:dyDescent="0.3">
      <c r="A1512" t="s">
        <v>8</v>
      </c>
      <c r="B1512">
        <v>188</v>
      </c>
      <c r="C1512" t="s">
        <v>954</v>
      </c>
      <c r="D1512" t="s">
        <v>1031</v>
      </c>
      <c r="E1512" t="s">
        <v>34</v>
      </c>
      <c r="F1512" t="s">
        <v>1032</v>
      </c>
      <c r="G1512" t="s">
        <v>36</v>
      </c>
      <c r="H1512" t="s">
        <v>425</v>
      </c>
      <c r="I1512" t="s">
        <v>1031</v>
      </c>
      <c r="J1512" t="s">
        <v>1065</v>
      </c>
      <c r="K1512" s="21" t="s">
        <v>1066</v>
      </c>
      <c r="L1512" s="21" t="s">
        <v>1035</v>
      </c>
      <c r="M1512" t="s">
        <v>1036</v>
      </c>
      <c r="N1512" t="s">
        <v>961</v>
      </c>
      <c r="O1512" t="s">
        <v>962</v>
      </c>
      <c r="R1512" t="s">
        <v>1054</v>
      </c>
      <c r="S1512" t="s">
        <v>1065</v>
      </c>
      <c r="T1512" t="s">
        <v>45</v>
      </c>
      <c r="U1512" t="s">
        <v>90</v>
      </c>
      <c r="V1512" t="s">
        <v>1067</v>
      </c>
      <c r="W1512" t="s">
        <v>1068</v>
      </c>
    </row>
    <row r="1513" spans="1:23" ht="15" customHeight="1" x14ac:dyDescent="0.3">
      <c r="A1513" t="s">
        <v>8</v>
      </c>
      <c r="B1513">
        <v>188</v>
      </c>
      <c r="C1513" t="s">
        <v>954</v>
      </c>
      <c r="D1513" t="s">
        <v>1031</v>
      </c>
      <c r="E1513" t="s">
        <v>34</v>
      </c>
      <c r="F1513" t="s">
        <v>1032</v>
      </c>
      <c r="G1513" t="s">
        <v>36</v>
      </c>
      <c r="H1513" t="s">
        <v>996</v>
      </c>
      <c r="I1513" t="s">
        <v>1031</v>
      </c>
      <c r="J1513" t="s">
        <v>1069</v>
      </c>
      <c r="K1513" s="21" t="s">
        <v>1070</v>
      </c>
      <c r="L1513" s="21" t="s">
        <v>1035</v>
      </c>
      <c r="M1513" t="s">
        <v>1036</v>
      </c>
      <c r="N1513" t="s">
        <v>961</v>
      </c>
      <c r="O1513" t="s">
        <v>962</v>
      </c>
      <c r="R1513" t="s">
        <v>1038</v>
      </c>
      <c r="S1513" t="s">
        <v>1069</v>
      </c>
      <c r="T1513" t="s">
        <v>45</v>
      </c>
      <c r="U1513" t="s">
        <v>90</v>
      </c>
      <c r="V1513" t="s">
        <v>1050</v>
      </c>
      <c r="W1513" t="s">
        <v>1071</v>
      </c>
    </row>
    <row r="1514" spans="1:23" ht="15" customHeight="1" x14ac:dyDescent="0.3">
      <c r="A1514" t="s">
        <v>8</v>
      </c>
      <c r="B1514">
        <v>188</v>
      </c>
      <c r="C1514" t="s">
        <v>954</v>
      </c>
      <c r="D1514" t="s">
        <v>1031</v>
      </c>
      <c r="E1514" t="s">
        <v>34</v>
      </c>
      <c r="F1514" t="s">
        <v>1032</v>
      </c>
      <c r="G1514" t="s">
        <v>36</v>
      </c>
      <c r="H1514" t="s">
        <v>996</v>
      </c>
      <c r="I1514" t="s">
        <v>1031</v>
      </c>
      <c r="J1514" t="s">
        <v>1069</v>
      </c>
      <c r="K1514" s="21" t="s">
        <v>1070</v>
      </c>
      <c r="L1514" s="21" t="s">
        <v>1035</v>
      </c>
      <c r="M1514" t="s">
        <v>1036</v>
      </c>
      <c r="N1514" t="s">
        <v>961</v>
      </c>
      <c r="O1514" t="s">
        <v>962</v>
      </c>
      <c r="R1514" t="s">
        <v>1041</v>
      </c>
      <c r="S1514" t="s">
        <v>1069</v>
      </c>
      <c r="T1514" t="s">
        <v>45</v>
      </c>
      <c r="U1514" t="s">
        <v>90</v>
      </c>
      <c r="V1514" t="s">
        <v>1050</v>
      </c>
      <c r="W1514" t="s">
        <v>1071</v>
      </c>
    </row>
    <row r="1515" spans="1:23" ht="15" customHeight="1" x14ac:dyDescent="0.3">
      <c r="A1515" t="s">
        <v>8</v>
      </c>
      <c r="B1515">
        <v>188</v>
      </c>
      <c r="C1515" t="s">
        <v>954</v>
      </c>
      <c r="D1515" t="s">
        <v>1031</v>
      </c>
      <c r="E1515" t="s">
        <v>34</v>
      </c>
      <c r="F1515" t="s">
        <v>1032</v>
      </c>
      <c r="G1515" t="s">
        <v>36</v>
      </c>
      <c r="H1515" t="s">
        <v>996</v>
      </c>
      <c r="I1515" t="s">
        <v>1031</v>
      </c>
      <c r="J1515" t="s">
        <v>1069</v>
      </c>
      <c r="K1515" s="21" t="s">
        <v>1070</v>
      </c>
      <c r="L1515" s="21" t="s">
        <v>1035</v>
      </c>
      <c r="M1515" t="s">
        <v>1036</v>
      </c>
      <c r="N1515" t="s">
        <v>961</v>
      </c>
      <c r="O1515" t="s">
        <v>962</v>
      </c>
      <c r="R1515" t="s">
        <v>1049</v>
      </c>
      <c r="S1515" t="s">
        <v>1069</v>
      </c>
      <c r="T1515" t="s">
        <v>45</v>
      </c>
      <c r="U1515" t="s">
        <v>90</v>
      </c>
      <c r="V1515" t="s">
        <v>1050</v>
      </c>
      <c r="W1515" t="s">
        <v>1071</v>
      </c>
    </row>
    <row r="1516" spans="1:23" ht="15" customHeight="1" x14ac:dyDescent="0.3">
      <c r="A1516" t="s">
        <v>8</v>
      </c>
      <c r="B1516">
        <v>188</v>
      </c>
      <c r="C1516" t="s">
        <v>954</v>
      </c>
      <c r="D1516" t="s">
        <v>1031</v>
      </c>
      <c r="E1516" t="s">
        <v>34</v>
      </c>
      <c r="F1516" t="s">
        <v>1032</v>
      </c>
      <c r="G1516" t="s">
        <v>36</v>
      </c>
      <c r="H1516" t="s">
        <v>996</v>
      </c>
      <c r="I1516" t="s">
        <v>1031</v>
      </c>
      <c r="J1516" t="s">
        <v>1069</v>
      </c>
      <c r="K1516" s="21" t="s">
        <v>1070</v>
      </c>
      <c r="L1516" s="21" t="s">
        <v>1035</v>
      </c>
      <c r="M1516" t="s">
        <v>1036</v>
      </c>
      <c r="N1516" t="s">
        <v>961</v>
      </c>
      <c r="O1516" t="s">
        <v>962</v>
      </c>
      <c r="R1516" t="s">
        <v>1054</v>
      </c>
      <c r="S1516" t="s">
        <v>1069</v>
      </c>
      <c r="T1516" t="s">
        <v>45</v>
      </c>
      <c r="U1516" t="s">
        <v>90</v>
      </c>
      <c r="V1516" t="s">
        <v>1050</v>
      </c>
      <c r="W1516" t="s">
        <v>1071</v>
      </c>
    </row>
    <row r="1517" spans="1:23" ht="15" customHeight="1" x14ac:dyDescent="0.3">
      <c r="A1517" t="s">
        <v>8</v>
      </c>
      <c r="B1517">
        <v>188</v>
      </c>
      <c r="C1517" t="s">
        <v>954</v>
      </c>
      <c r="D1517" t="s">
        <v>1031</v>
      </c>
      <c r="E1517" t="s">
        <v>34</v>
      </c>
      <c r="F1517" t="s">
        <v>1032</v>
      </c>
      <c r="G1517" t="s">
        <v>36</v>
      </c>
      <c r="H1517" t="s">
        <v>1000</v>
      </c>
      <c r="I1517" t="s">
        <v>1031</v>
      </c>
      <c r="J1517" t="s">
        <v>1072</v>
      </c>
      <c r="K1517" s="21" t="s">
        <v>1073</v>
      </c>
      <c r="L1517" s="21" t="s">
        <v>1035</v>
      </c>
      <c r="M1517" t="s">
        <v>1036</v>
      </c>
      <c r="N1517" t="s">
        <v>961</v>
      </c>
      <c r="O1517" t="s">
        <v>962</v>
      </c>
      <c r="R1517" t="s">
        <v>1038</v>
      </c>
      <c r="S1517" t="s">
        <v>1072</v>
      </c>
      <c r="T1517" t="s">
        <v>45</v>
      </c>
      <c r="U1517" t="s">
        <v>90</v>
      </c>
      <c r="V1517" t="s">
        <v>1074</v>
      </c>
      <c r="W1517" t="s">
        <v>1075</v>
      </c>
    </row>
    <row r="1518" spans="1:23" ht="15" customHeight="1" x14ac:dyDescent="0.3">
      <c r="A1518" t="s">
        <v>8</v>
      </c>
      <c r="B1518">
        <v>188</v>
      </c>
      <c r="C1518" t="s">
        <v>954</v>
      </c>
      <c r="D1518" t="s">
        <v>1031</v>
      </c>
      <c r="E1518" t="s">
        <v>34</v>
      </c>
      <c r="F1518" t="s">
        <v>1032</v>
      </c>
      <c r="G1518" t="s">
        <v>36</v>
      </c>
      <c r="H1518" t="s">
        <v>1000</v>
      </c>
      <c r="I1518" t="s">
        <v>1031</v>
      </c>
      <c r="J1518" t="s">
        <v>1072</v>
      </c>
      <c r="K1518" s="21" t="s">
        <v>1073</v>
      </c>
      <c r="L1518" s="21" t="s">
        <v>1035</v>
      </c>
      <c r="M1518" t="s">
        <v>1036</v>
      </c>
      <c r="N1518" t="s">
        <v>961</v>
      </c>
      <c r="O1518" t="s">
        <v>962</v>
      </c>
      <c r="R1518" t="s">
        <v>1041</v>
      </c>
      <c r="S1518" t="s">
        <v>1072</v>
      </c>
      <c r="T1518" t="s">
        <v>45</v>
      </c>
      <c r="U1518" t="s">
        <v>90</v>
      </c>
      <c r="V1518" t="s">
        <v>1074</v>
      </c>
      <c r="W1518" t="s">
        <v>1075</v>
      </c>
    </row>
    <row r="1519" spans="1:23" ht="15" customHeight="1" x14ac:dyDescent="0.3">
      <c r="A1519" t="s">
        <v>8</v>
      </c>
      <c r="B1519">
        <v>188</v>
      </c>
      <c r="C1519" t="s">
        <v>954</v>
      </c>
      <c r="D1519" t="s">
        <v>1031</v>
      </c>
      <c r="E1519" t="s">
        <v>34</v>
      </c>
      <c r="F1519" t="s">
        <v>1032</v>
      </c>
      <c r="G1519" t="s">
        <v>36</v>
      </c>
      <c r="H1519" t="s">
        <v>1000</v>
      </c>
      <c r="I1519" t="s">
        <v>1031</v>
      </c>
      <c r="J1519" t="s">
        <v>1072</v>
      </c>
      <c r="K1519" s="21" t="s">
        <v>1073</v>
      </c>
      <c r="L1519" s="21" t="s">
        <v>1035</v>
      </c>
      <c r="M1519" t="s">
        <v>1036</v>
      </c>
      <c r="N1519" t="s">
        <v>961</v>
      </c>
      <c r="O1519" t="s">
        <v>962</v>
      </c>
      <c r="R1519" t="s">
        <v>1049</v>
      </c>
      <c r="S1519" t="s">
        <v>1072</v>
      </c>
      <c r="T1519" t="s">
        <v>45</v>
      </c>
      <c r="U1519" t="s">
        <v>90</v>
      </c>
      <c r="V1519" t="s">
        <v>1074</v>
      </c>
      <c r="W1519" t="s">
        <v>1075</v>
      </c>
    </row>
    <row r="1520" spans="1:23" ht="15" customHeight="1" x14ac:dyDescent="0.3">
      <c r="A1520" t="s">
        <v>8</v>
      </c>
      <c r="B1520">
        <v>188</v>
      </c>
      <c r="C1520" t="s">
        <v>954</v>
      </c>
      <c r="D1520" t="s">
        <v>1031</v>
      </c>
      <c r="E1520" t="s">
        <v>34</v>
      </c>
      <c r="F1520" t="s">
        <v>1032</v>
      </c>
      <c r="G1520" t="s">
        <v>36</v>
      </c>
      <c r="H1520" t="s">
        <v>1000</v>
      </c>
      <c r="I1520" t="s">
        <v>1031</v>
      </c>
      <c r="J1520" t="s">
        <v>1072</v>
      </c>
      <c r="K1520" s="21" t="s">
        <v>1073</v>
      </c>
      <c r="L1520" s="21" t="s">
        <v>1035</v>
      </c>
      <c r="M1520" t="s">
        <v>1036</v>
      </c>
      <c r="N1520" t="s">
        <v>961</v>
      </c>
      <c r="O1520" t="s">
        <v>962</v>
      </c>
      <c r="R1520" t="s">
        <v>1054</v>
      </c>
      <c r="S1520" t="s">
        <v>1072</v>
      </c>
      <c r="T1520" t="s">
        <v>45</v>
      </c>
      <c r="U1520" t="s">
        <v>90</v>
      </c>
      <c r="V1520" t="s">
        <v>1074</v>
      </c>
      <c r="W1520" t="s">
        <v>1075</v>
      </c>
    </row>
    <row r="1521" spans="1:23" ht="15" customHeight="1" x14ac:dyDescent="0.3">
      <c r="A1521" t="s">
        <v>8</v>
      </c>
      <c r="B1521">
        <v>188</v>
      </c>
      <c r="C1521" t="s">
        <v>954</v>
      </c>
      <c r="D1521" t="s">
        <v>1031</v>
      </c>
      <c r="E1521" t="s">
        <v>34</v>
      </c>
      <c r="F1521" t="s">
        <v>1032</v>
      </c>
      <c r="G1521" t="s">
        <v>36</v>
      </c>
      <c r="H1521" t="s">
        <v>1272</v>
      </c>
      <c r="I1521" t="s">
        <v>1031</v>
      </c>
      <c r="J1521" t="s">
        <v>2813</v>
      </c>
      <c r="K1521" s="21" t="s">
        <v>2814</v>
      </c>
      <c r="L1521" s="21" t="s">
        <v>1035</v>
      </c>
      <c r="M1521" t="s">
        <v>1036</v>
      </c>
      <c r="N1521" t="s">
        <v>961</v>
      </c>
      <c r="O1521" t="s">
        <v>962</v>
      </c>
      <c r="R1521" t="s">
        <v>1038</v>
      </c>
      <c r="S1521" t="s">
        <v>2813</v>
      </c>
      <c r="T1521" t="s">
        <v>1544</v>
      </c>
      <c r="U1521" t="s">
        <v>1691</v>
      </c>
      <c r="V1521" t="s">
        <v>1039</v>
      </c>
      <c r="W1521" t="s">
        <v>2815</v>
      </c>
    </row>
    <row r="1522" spans="1:23" ht="15" customHeight="1" x14ac:dyDescent="0.3">
      <c r="A1522" t="s">
        <v>8</v>
      </c>
      <c r="B1522">
        <v>188</v>
      </c>
      <c r="C1522" t="s">
        <v>954</v>
      </c>
      <c r="D1522" t="s">
        <v>1031</v>
      </c>
      <c r="E1522" t="s">
        <v>34</v>
      </c>
      <c r="F1522" t="s">
        <v>1032</v>
      </c>
      <c r="G1522" t="s">
        <v>36</v>
      </c>
      <c r="H1522" t="s">
        <v>1272</v>
      </c>
      <c r="I1522" t="s">
        <v>1031</v>
      </c>
      <c r="J1522" t="s">
        <v>2813</v>
      </c>
      <c r="K1522" s="21" t="s">
        <v>2814</v>
      </c>
      <c r="L1522" s="21" t="s">
        <v>1035</v>
      </c>
      <c r="M1522" t="s">
        <v>1036</v>
      </c>
      <c r="N1522" t="s">
        <v>961</v>
      </c>
      <c r="O1522" t="s">
        <v>962</v>
      </c>
      <c r="R1522" t="s">
        <v>1041</v>
      </c>
      <c r="S1522" t="s">
        <v>2813</v>
      </c>
      <c r="T1522" t="s">
        <v>1544</v>
      </c>
      <c r="U1522" t="s">
        <v>1691</v>
      </c>
      <c r="V1522" t="s">
        <v>1039</v>
      </c>
      <c r="W1522" t="s">
        <v>2815</v>
      </c>
    </row>
    <row r="1523" spans="1:23" ht="15" customHeight="1" x14ac:dyDescent="0.3">
      <c r="A1523" t="s">
        <v>8</v>
      </c>
      <c r="B1523">
        <v>188</v>
      </c>
      <c r="C1523" t="s">
        <v>954</v>
      </c>
      <c r="D1523" t="s">
        <v>1031</v>
      </c>
      <c r="E1523" t="s">
        <v>34</v>
      </c>
      <c r="F1523" t="s">
        <v>1032</v>
      </c>
      <c r="G1523" t="s">
        <v>36</v>
      </c>
      <c r="H1523" t="s">
        <v>1272</v>
      </c>
      <c r="I1523" t="s">
        <v>1031</v>
      </c>
      <c r="J1523" t="s">
        <v>2813</v>
      </c>
      <c r="K1523" s="21" t="s">
        <v>2814</v>
      </c>
      <c r="L1523" s="21" t="s">
        <v>1035</v>
      </c>
      <c r="M1523" t="s">
        <v>1036</v>
      </c>
      <c r="N1523" t="s">
        <v>961</v>
      </c>
      <c r="O1523" t="s">
        <v>962</v>
      </c>
      <c r="R1523" t="s">
        <v>1049</v>
      </c>
      <c r="S1523" t="s">
        <v>2813</v>
      </c>
      <c r="T1523" t="s">
        <v>1544</v>
      </c>
      <c r="U1523" t="s">
        <v>1691</v>
      </c>
      <c r="V1523" t="s">
        <v>1039</v>
      </c>
      <c r="W1523" t="s">
        <v>2815</v>
      </c>
    </row>
    <row r="1524" spans="1:23" ht="15" customHeight="1" x14ac:dyDescent="0.3">
      <c r="A1524" t="s">
        <v>8</v>
      </c>
      <c r="B1524">
        <v>188</v>
      </c>
      <c r="C1524" t="s">
        <v>954</v>
      </c>
      <c r="D1524" t="s">
        <v>1031</v>
      </c>
      <c r="E1524" t="s">
        <v>34</v>
      </c>
      <c r="F1524" t="s">
        <v>1032</v>
      </c>
      <c r="G1524" t="s">
        <v>36</v>
      </c>
      <c r="H1524" t="s">
        <v>1272</v>
      </c>
      <c r="I1524" t="s">
        <v>1031</v>
      </c>
      <c r="J1524" t="s">
        <v>2813</v>
      </c>
      <c r="K1524" s="21" t="s">
        <v>2814</v>
      </c>
      <c r="L1524" s="21" t="s">
        <v>1035</v>
      </c>
      <c r="M1524" t="s">
        <v>1036</v>
      </c>
      <c r="N1524" t="s">
        <v>961</v>
      </c>
      <c r="O1524" t="s">
        <v>962</v>
      </c>
      <c r="R1524" t="s">
        <v>1054</v>
      </c>
      <c r="S1524" t="s">
        <v>2813</v>
      </c>
      <c r="T1524" t="s">
        <v>1544</v>
      </c>
      <c r="U1524" t="s">
        <v>1691</v>
      </c>
      <c r="V1524" t="s">
        <v>1039</v>
      </c>
      <c r="W1524" t="s">
        <v>2815</v>
      </c>
    </row>
    <row r="1525" spans="1:23" ht="15" customHeight="1" x14ac:dyDescent="0.3">
      <c r="A1525" t="s">
        <v>8</v>
      </c>
      <c r="B1525">
        <v>188</v>
      </c>
      <c r="C1525" t="s">
        <v>954</v>
      </c>
      <c r="D1525" t="s">
        <v>1031</v>
      </c>
      <c r="E1525" t="s">
        <v>34</v>
      </c>
      <c r="F1525" t="s">
        <v>1032</v>
      </c>
      <c r="G1525" t="s">
        <v>36</v>
      </c>
      <c r="H1525" t="s">
        <v>1276</v>
      </c>
      <c r="I1525" t="s">
        <v>1031</v>
      </c>
      <c r="J1525" t="s">
        <v>2816</v>
      </c>
      <c r="K1525" s="21" t="s">
        <v>2817</v>
      </c>
      <c r="L1525" s="21" t="s">
        <v>1035</v>
      </c>
      <c r="M1525" t="s">
        <v>1036</v>
      </c>
      <c r="N1525" t="s">
        <v>961</v>
      </c>
      <c r="O1525" t="s">
        <v>962</v>
      </c>
      <c r="R1525" t="s">
        <v>1038</v>
      </c>
      <c r="S1525" t="s">
        <v>2816</v>
      </c>
      <c r="T1525" t="s">
        <v>1544</v>
      </c>
      <c r="U1525" t="s">
        <v>2028</v>
      </c>
      <c r="V1525" t="s">
        <v>1039</v>
      </c>
      <c r="W1525" t="s">
        <v>2818</v>
      </c>
    </row>
    <row r="1526" spans="1:23" ht="15" customHeight="1" x14ac:dyDescent="0.3">
      <c r="A1526" t="s">
        <v>8</v>
      </c>
      <c r="B1526">
        <v>188</v>
      </c>
      <c r="C1526" t="s">
        <v>954</v>
      </c>
      <c r="D1526" t="s">
        <v>1031</v>
      </c>
      <c r="E1526" t="s">
        <v>34</v>
      </c>
      <c r="F1526" t="s">
        <v>1032</v>
      </c>
      <c r="G1526" t="s">
        <v>36</v>
      </c>
      <c r="H1526" t="s">
        <v>1276</v>
      </c>
      <c r="I1526" t="s">
        <v>1031</v>
      </c>
      <c r="J1526" t="s">
        <v>2816</v>
      </c>
      <c r="K1526" s="21" t="s">
        <v>2817</v>
      </c>
      <c r="L1526" s="21" t="s">
        <v>1035</v>
      </c>
      <c r="M1526" t="s">
        <v>1036</v>
      </c>
      <c r="N1526" t="s">
        <v>961</v>
      </c>
      <c r="O1526" t="s">
        <v>962</v>
      </c>
      <c r="R1526" t="s">
        <v>1041</v>
      </c>
      <c r="S1526" t="s">
        <v>2816</v>
      </c>
      <c r="T1526" t="s">
        <v>1544</v>
      </c>
      <c r="U1526" t="s">
        <v>2028</v>
      </c>
      <c r="V1526" t="s">
        <v>1039</v>
      </c>
      <c r="W1526" t="s">
        <v>2818</v>
      </c>
    </row>
    <row r="1527" spans="1:23" ht="15" customHeight="1" x14ac:dyDescent="0.3">
      <c r="A1527" t="s">
        <v>8</v>
      </c>
      <c r="B1527">
        <v>188</v>
      </c>
      <c r="C1527" t="s">
        <v>954</v>
      </c>
      <c r="D1527" t="s">
        <v>1031</v>
      </c>
      <c r="E1527" t="s">
        <v>34</v>
      </c>
      <c r="F1527" t="s">
        <v>1032</v>
      </c>
      <c r="G1527" t="s">
        <v>36</v>
      </c>
      <c r="H1527" t="s">
        <v>1276</v>
      </c>
      <c r="I1527" t="s">
        <v>1031</v>
      </c>
      <c r="J1527" t="s">
        <v>2816</v>
      </c>
      <c r="K1527" s="21" t="s">
        <v>2817</v>
      </c>
      <c r="L1527" s="21" t="s">
        <v>1035</v>
      </c>
      <c r="M1527" t="s">
        <v>1036</v>
      </c>
      <c r="N1527" t="s">
        <v>961</v>
      </c>
      <c r="O1527" t="s">
        <v>962</v>
      </c>
      <c r="R1527" t="s">
        <v>1049</v>
      </c>
      <c r="S1527" t="s">
        <v>2816</v>
      </c>
      <c r="T1527" t="s">
        <v>1544</v>
      </c>
      <c r="U1527" t="s">
        <v>2028</v>
      </c>
      <c r="V1527" t="s">
        <v>1039</v>
      </c>
      <c r="W1527" t="s">
        <v>2818</v>
      </c>
    </row>
    <row r="1528" spans="1:23" ht="15" customHeight="1" x14ac:dyDescent="0.3">
      <c r="A1528" t="s">
        <v>8</v>
      </c>
      <c r="B1528">
        <v>188</v>
      </c>
      <c r="C1528" t="s">
        <v>954</v>
      </c>
      <c r="D1528" t="s">
        <v>1031</v>
      </c>
      <c r="E1528" t="s">
        <v>34</v>
      </c>
      <c r="F1528" t="s">
        <v>1032</v>
      </c>
      <c r="G1528" t="s">
        <v>36</v>
      </c>
      <c r="H1528" t="s">
        <v>1276</v>
      </c>
      <c r="I1528" t="s">
        <v>1031</v>
      </c>
      <c r="J1528" t="s">
        <v>2816</v>
      </c>
      <c r="K1528" s="21" t="s">
        <v>2817</v>
      </c>
      <c r="L1528" s="21" t="s">
        <v>1035</v>
      </c>
      <c r="M1528" t="s">
        <v>1036</v>
      </c>
      <c r="N1528" t="s">
        <v>961</v>
      </c>
      <c r="O1528" t="s">
        <v>962</v>
      </c>
      <c r="R1528" t="s">
        <v>1054</v>
      </c>
      <c r="S1528" t="s">
        <v>2816</v>
      </c>
      <c r="T1528" t="s">
        <v>1544</v>
      </c>
      <c r="U1528" t="s">
        <v>2028</v>
      </c>
      <c r="V1528" t="s">
        <v>1039</v>
      </c>
      <c r="W1528" t="s">
        <v>2818</v>
      </c>
    </row>
    <row r="1529" spans="1:23" ht="15" customHeight="1" x14ac:dyDescent="0.3">
      <c r="A1529" t="s">
        <v>8</v>
      </c>
      <c r="B1529">
        <v>188</v>
      </c>
      <c r="C1529" t="s">
        <v>954</v>
      </c>
      <c r="D1529" t="s">
        <v>1031</v>
      </c>
      <c r="E1529" t="s">
        <v>34</v>
      </c>
      <c r="F1529" t="s">
        <v>1032</v>
      </c>
      <c r="G1529" t="s">
        <v>36</v>
      </c>
      <c r="H1529" t="s">
        <v>1279</v>
      </c>
      <c r="I1529" t="s">
        <v>1031</v>
      </c>
      <c r="J1529" t="s">
        <v>2819</v>
      </c>
      <c r="K1529" s="21" t="s">
        <v>2820</v>
      </c>
      <c r="L1529" s="21" t="s">
        <v>1035</v>
      </c>
      <c r="M1529" t="s">
        <v>1036</v>
      </c>
      <c r="N1529" t="s">
        <v>961</v>
      </c>
      <c r="O1529" t="s">
        <v>962</v>
      </c>
      <c r="R1529" t="s">
        <v>1038</v>
      </c>
      <c r="S1529" t="s">
        <v>2819</v>
      </c>
      <c r="T1529" t="s">
        <v>1231</v>
      </c>
      <c r="U1529" t="s">
        <v>1232</v>
      </c>
      <c r="V1529" t="s">
        <v>1039</v>
      </c>
      <c r="W1529" t="s">
        <v>2821</v>
      </c>
    </row>
    <row r="1530" spans="1:23" ht="15" customHeight="1" x14ac:dyDescent="0.3">
      <c r="A1530" t="s">
        <v>8</v>
      </c>
      <c r="B1530">
        <v>188</v>
      </c>
      <c r="C1530" t="s">
        <v>954</v>
      </c>
      <c r="D1530" t="s">
        <v>1031</v>
      </c>
      <c r="E1530" t="s">
        <v>34</v>
      </c>
      <c r="F1530" t="s">
        <v>1032</v>
      </c>
      <c r="G1530" t="s">
        <v>36</v>
      </c>
      <c r="H1530" t="s">
        <v>1279</v>
      </c>
      <c r="I1530" t="s">
        <v>1031</v>
      </c>
      <c r="J1530" t="s">
        <v>2819</v>
      </c>
      <c r="K1530" s="21" t="s">
        <v>2820</v>
      </c>
      <c r="L1530" s="21" t="s">
        <v>1035</v>
      </c>
      <c r="M1530" t="s">
        <v>1036</v>
      </c>
      <c r="N1530" t="s">
        <v>961</v>
      </c>
      <c r="O1530" t="s">
        <v>962</v>
      </c>
      <c r="R1530" t="s">
        <v>1041</v>
      </c>
      <c r="S1530" t="s">
        <v>2819</v>
      </c>
      <c r="T1530" t="s">
        <v>1231</v>
      </c>
      <c r="U1530" t="s">
        <v>1232</v>
      </c>
      <c r="V1530" t="s">
        <v>1039</v>
      </c>
      <c r="W1530" t="s">
        <v>2821</v>
      </c>
    </row>
    <row r="1531" spans="1:23" ht="15" customHeight="1" x14ac:dyDescent="0.3">
      <c r="A1531" t="s">
        <v>8</v>
      </c>
      <c r="B1531">
        <v>188</v>
      </c>
      <c r="C1531" t="s">
        <v>954</v>
      </c>
      <c r="D1531" t="s">
        <v>1031</v>
      </c>
      <c r="E1531" t="s">
        <v>34</v>
      </c>
      <c r="F1531" t="s">
        <v>1032</v>
      </c>
      <c r="G1531" t="s">
        <v>36</v>
      </c>
      <c r="H1531" t="s">
        <v>1279</v>
      </c>
      <c r="I1531" t="s">
        <v>1031</v>
      </c>
      <c r="J1531" t="s">
        <v>2819</v>
      </c>
      <c r="K1531" s="21" t="s">
        <v>2820</v>
      </c>
      <c r="L1531" s="21" t="s">
        <v>1035</v>
      </c>
      <c r="M1531" t="s">
        <v>1036</v>
      </c>
      <c r="N1531" t="s">
        <v>961</v>
      </c>
      <c r="O1531" t="s">
        <v>962</v>
      </c>
      <c r="R1531" t="s">
        <v>1049</v>
      </c>
      <c r="S1531" t="s">
        <v>2819</v>
      </c>
      <c r="T1531" t="s">
        <v>1231</v>
      </c>
      <c r="U1531" t="s">
        <v>1232</v>
      </c>
      <c r="V1531" t="s">
        <v>1039</v>
      </c>
      <c r="W1531" t="s">
        <v>2821</v>
      </c>
    </row>
    <row r="1532" spans="1:23" ht="15" customHeight="1" x14ac:dyDescent="0.3">
      <c r="A1532" t="s">
        <v>8</v>
      </c>
      <c r="B1532">
        <v>188</v>
      </c>
      <c r="C1532" t="s">
        <v>954</v>
      </c>
      <c r="D1532" t="s">
        <v>1031</v>
      </c>
      <c r="E1532" t="s">
        <v>34</v>
      </c>
      <c r="F1532" t="s">
        <v>1032</v>
      </c>
      <c r="G1532" t="s">
        <v>36</v>
      </c>
      <c r="H1532" t="s">
        <v>1279</v>
      </c>
      <c r="I1532" t="s">
        <v>1031</v>
      </c>
      <c r="J1532" t="s">
        <v>2819</v>
      </c>
      <c r="K1532" s="21" t="s">
        <v>2820</v>
      </c>
      <c r="L1532" s="21" t="s">
        <v>1035</v>
      </c>
      <c r="M1532" t="s">
        <v>1036</v>
      </c>
      <c r="N1532" t="s">
        <v>961</v>
      </c>
      <c r="O1532" t="s">
        <v>962</v>
      </c>
      <c r="R1532" t="s">
        <v>1054</v>
      </c>
      <c r="S1532" t="s">
        <v>2819</v>
      </c>
      <c r="T1532" t="s">
        <v>1231</v>
      </c>
      <c r="U1532" t="s">
        <v>1232</v>
      </c>
      <c r="V1532" t="s">
        <v>1039</v>
      </c>
      <c r="W1532" t="s">
        <v>2821</v>
      </c>
    </row>
    <row r="1533" spans="1:23" ht="15" customHeight="1" x14ac:dyDescent="0.3">
      <c r="A1533" t="s">
        <v>8</v>
      </c>
      <c r="B1533">
        <v>188</v>
      </c>
      <c r="C1533" t="s">
        <v>954</v>
      </c>
      <c r="D1533" t="s">
        <v>1031</v>
      </c>
      <c r="E1533" t="s">
        <v>34</v>
      </c>
      <c r="F1533" t="s">
        <v>1032</v>
      </c>
      <c r="G1533" t="s">
        <v>36</v>
      </c>
      <c r="H1533" t="s">
        <v>1283</v>
      </c>
      <c r="I1533" t="s">
        <v>1031</v>
      </c>
      <c r="J1533" t="s">
        <v>2822</v>
      </c>
      <c r="K1533" s="21" t="s">
        <v>2823</v>
      </c>
      <c r="L1533" s="21" t="s">
        <v>1035</v>
      </c>
      <c r="M1533" t="s">
        <v>1036</v>
      </c>
      <c r="N1533" t="s">
        <v>961</v>
      </c>
      <c r="O1533" t="s">
        <v>962</v>
      </c>
      <c r="R1533" t="s">
        <v>1038</v>
      </c>
      <c r="S1533" t="s">
        <v>2822</v>
      </c>
      <c r="T1533" t="s">
        <v>1231</v>
      </c>
      <c r="U1533" t="s">
        <v>1241</v>
      </c>
      <c r="V1533" t="s">
        <v>1039</v>
      </c>
      <c r="W1533" t="s">
        <v>2821</v>
      </c>
    </row>
    <row r="1534" spans="1:23" ht="15" customHeight="1" x14ac:dyDescent="0.3">
      <c r="A1534" t="s">
        <v>8</v>
      </c>
      <c r="B1534">
        <v>188</v>
      </c>
      <c r="C1534" t="s">
        <v>954</v>
      </c>
      <c r="D1534" t="s">
        <v>1031</v>
      </c>
      <c r="E1534" t="s">
        <v>34</v>
      </c>
      <c r="F1534" t="s">
        <v>1032</v>
      </c>
      <c r="G1534" t="s">
        <v>36</v>
      </c>
      <c r="H1534" t="s">
        <v>1283</v>
      </c>
      <c r="I1534" t="s">
        <v>1031</v>
      </c>
      <c r="J1534" t="s">
        <v>2822</v>
      </c>
      <c r="K1534" s="21" t="s">
        <v>2823</v>
      </c>
      <c r="L1534" s="21" t="s">
        <v>1035</v>
      </c>
      <c r="M1534" t="s">
        <v>1036</v>
      </c>
      <c r="N1534" t="s">
        <v>961</v>
      </c>
      <c r="O1534" t="s">
        <v>962</v>
      </c>
      <c r="R1534" t="s">
        <v>1041</v>
      </c>
      <c r="S1534" t="s">
        <v>2822</v>
      </c>
      <c r="T1534" t="s">
        <v>1231</v>
      </c>
      <c r="U1534" t="s">
        <v>1241</v>
      </c>
      <c r="V1534" t="s">
        <v>1039</v>
      </c>
      <c r="W1534" t="s">
        <v>2821</v>
      </c>
    </row>
    <row r="1535" spans="1:23" ht="15" customHeight="1" x14ac:dyDescent="0.3">
      <c r="A1535" t="s">
        <v>8</v>
      </c>
      <c r="B1535">
        <v>188</v>
      </c>
      <c r="C1535" t="s">
        <v>954</v>
      </c>
      <c r="D1535" t="s">
        <v>1031</v>
      </c>
      <c r="E1535" t="s">
        <v>34</v>
      </c>
      <c r="F1535" t="s">
        <v>1032</v>
      </c>
      <c r="G1535" t="s">
        <v>36</v>
      </c>
      <c r="H1535" t="s">
        <v>1283</v>
      </c>
      <c r="I1535" t="s">
        <v>1031</v>
      </c>
      <c r="J1535" t="s">
        <v>2822</v>
      </c>
      <c r="K1535" s="21" t="s">
        <v>2823</v>
      </c>
      <c r="L1535" s="21" t="s">
        <v>1035</v>
      </c>
      <c r="M1535" t="s">
        <v>1036</v>
      </c>
      <c r="N1535" t="s">
        <v>961</v>
      </c>
      <c r="O1535" t="s">
        <v>962</v>
      </c>
      <c r="R1535" t="s">
        <v>1049</v>
      </c>
      <c r="S1535" t="s">
        <v>2822</v>
      </c>
      <c r="T1535" t="s">
        <v>1231</v>
      </c>
      <c r="U1535" t="s">
        <v>1241</v>
      </c>
      <c r="V1535" t="s">
        <v>1039</v>
      </c>
      <c r="W1535" t="s">
        <v>2821</v>
      </c>
    </row>
    <row r="1536" spans="1:23" ht="15" customHeight="1" x14ac:dyDescent="0.3">
      <c r="A1536" t="s">
        <v>8</v>
      </c>
      <c r="B1536">
        <v>188</v>
      </c>
      <c r="C1536" t="s">
        <v>954</v>
      </c>
      <c r="D1536" t="s">
        <v>1031</v>
      </c>
      <c r="E1536" t="s">
        <v>34</v>
      </c>
      <c r="F1536" t="s">
        <v>1032</v>
      </c>
      <c r="G1536" t="s">
        <v>36</v>
      </c>
      <c r="H1536" t="s">
        <v>1283</v>
      </c>
      <c r="I1536" t="s">
        <v>1031</v>
      </c>
      <c r="J1536" t="s">
        <v>2822</v>
      </c>
      <c r="K1536" s="21" t="s">
        <v>2823</v>
      </c>
      <c r="L1536" s="21" t="s">
        <v>1035</v>
      </c>
      <c r="M1536" t="s">
        <v>1036</v>
      </c>
      <c r="N1536" t="s">
        <v>961</v>
      </c>
      <c r="O1536" t="s">
        <v>962</v>
      </c>
      <c r="R1536" t="s">
        <v>1054</v>
      </c>
      <c r="S1536" t="s">
        <v>2822</v>
      </c>
      <c r="T1536" t="s">
        <v>1231</v>
      </c>
      <c r="U1536" t="s">
        <v>1241</v>
      </c>
      <c r="V1536" t="s">
        <v>1039</v>
      </c>
      <c r="W1536" t="s">
        <v>2821</v>
      </c>
    </row>
    <row r="1537" spans="1:23" ht="15" customHeight="1" x14ac:dyDescent="0.3">
      <c r="A1537" t="s">
        <v>8</v>
      </c>
      <c r="B1537">
        <v>188</v>
      </c>
      <c r="C1537" t="s">
        <v>954</v>
      </c>
      <c r="D1537" t="s">
        <v>1031</v>
      </c>
      <c r="E1537" t="s">
        <v>34</v>
      </c>
      <c r="F1537" t="s">
        <v>1032</v>
      </c>
      <c r="G1537" t="s">
        <v>36</v>
      </c>
      <c r="H1537" t="s">
        <v>1287</v>
      </c>
      <c r="I1537" t="s">
        <v>1031</v>
      </c>
      <c r="J1537" t="s">
        <v>2824</v>
      </c>
      <c r="K1537" s="21" t="s">
        <v>2825</v>
      </c>
      <c r="L1537" s="21" t="s">
        <v>1035</v>
      </c>
      <c r="M1537" t="s">
        <v>1036</v>
      </c>
      <c r="N1537" t="s">
        <v>961</v>
      </c>
      <c r="O1537" t="s">
        <v>962</v>
      </c>
      <c r="R1537" t="s">
        <v>1038</v>
      </c>
      <c r="S1537" t="s">
        <v>2824</v>
      </c>
      <c r="T1537" t="s">
        <v>1249</v>
      </c>
      <c r="U1537" t="s">
        <v>2456</v>
      </c>
      <c r="V1537" t="s">
        <v>2826</v>
      </c>
      <c r="W1537" t="s">
        <v>2827</v>
      </c>
    </row>
    <row r="1538" spans="1:23" ht="15" customHeight="1" x14ac:dyDescent="0.3">
      <c r="A1538" t="s">
        <v>8</v>
      </c>
      <c r="B1538">
        <v>188</v>
      </c>
      <c r="C1538" t="s">
        <v>954</v>
      </c>
      <c r="D1538" t="s">
        <v>1031</v>
      </c>
      <c r="E1538" t="s">
        <v>34</v>
      </c>
      <c r="F1538" t="s">
        <v>1032</v>
      </c>
      <c r="G1538" t="s">
        <v>36</v>
      </c>
      <c r="H1538" t="s">
        <v>1287</v>
      </c>
      <c r="I1538" t="s">
        <v>1031</v>
      </c>
      <c r="J1538" t="s">
        <v>2824</v>
      </c>
      <c r="K1538" s="21" t="s">
        <v>2825</v>
      </c>
      <c r="L1538" s="21" t="s">
        <v>1035</v>
      </c>
      <c r="M1538" t="s">
        <v>1036</v>
      </c>
      <c r="N1538" t="s">
        <v>961</v>
      </c>
      <c r="O1538" t="s">
        <v>962</v>
      </c>
      <c r="R1538" t="s">
        <v>1041</v>
      </c>
      <c r="S1538" t="s">
        <v>2824</v>
      </c>
      <c r="T1538" t="s">
        <v>1249</v>
      </c>
      <c r="U1538" t="s">
        <v>2456</v>
      </c>
      <c r="V1538" t="s">
        <v>2826</v>
      </c>
      <c r="W1538" t="s">
        <v>2827</v>
      </c>
    </row>
    <row r="1539" spans="1:23" ht="15" customHeight="1" x14ac:dyDescent="0.3">
      <c r="A1539" t="s">
        <v>8</v>
      </c>
      <c r="B1539">
        <v>188</v>
      </c>
      <c r="C1539" t="s">
        <v>954</v>
      </c>
      <c r="D1539" t="s">
        <v>1031</v>
      </c>
      <c r="E1539" t="s">
        <v>34</v>
      </c>
      <c r="F1539" t="s">
        <v>1032</v>
      </c>
      <c r="G1539" t="s">
        <v>36</v>
      </c>
      <c r="H1539" t="s">
        <v>1287</v>
      </c>
      <c r="I1539" t="s">
        <v>1031</v>
      </c>
      <c r="J1539" t="s">
        <v>2824</v>
      </c>
      <c r="K1539" s="21" t="s">
        <v>2825</v>
      </c>
      <c r="L1539" s="21" t="s">
        <v>1035</v>
      </c>
      <c r="M1539" t="s">
        <v>1036</v>
      </c>
      <c r="N1539" t="s">
        <v>961</v>
      </c>
      <c r="O1539" t="s">
        <v>962</v>
      </c>
      <c r="R1539" t="s">
        <v>1049</v>
      </c>
      <c r="S1539" t="s">
        <v>2824</v>
      </c>
      <c r="T1539" t="s">
        <v>1249</v>
      </c>
      <c r="U1539" t="s">
        <v>2456</v>
      </c>
      <c r="V1539" t="s">
        <v>2826</v>
      </c>
      <c r="W1539" t="s">
        <v>2827</v>
      </c>
    </row>
    <row r="1540" spans="1:23" ht="15" customHeight="1" x14ac:dyDescent="0.3">
      <c r="A1540" t="s">
        <v>8</v>
      </c>
      <c r="B1540">
        <v>188</v>
      </c>
      <c r="C1540" t="s">
        <v>954</v>
      </c>
      <c r="D1540" t="s">
        <v>1031</v>
      </c>
      <c r="E1540" t="s">
        <v>34</v>
      </c>
      <c r="F1540" t="s">
        <v>1032</v>
      </c>
      <c r="G1540" t="s">
        <v>36</v>
      </c>
      <c r="H1540" t="s">
        <v>1287</v>
      </c>
      <c r="I1540" t="s">
        <v>1031</v>
      </c>
      <c r="J1540" t="s">
        <v>2824</v>
      </c>
      <c r="K1540" s="21" t="s">
        <v>2825</v>
      </c>
      <c r="L1540" s="21" t="s">
        <v>1035</v>
      </c>
      <c r="M1540" t="s">
        <v>1036</v>
      </c>
      <c r="N1540" t="s">
        <v>961</v>
      </c>
      <c r="O1540" t="s">
        <v>962</v>
      </c>
      <c r="R1540" t="s">
        <v>1054</v>
      </c>
      <c r="S1540" t="s">
        <v>2824</v>
      </c>
      <c r="T1540" t="s">
        <v>1249</v>
      </c>
      <c r="U1540" t="s">
        <v>2456</v>
      </c>
      <c r="V1540" t="s">
        <v>2826</v>
      </c>
      <c r="W1540" t="s">
        <v>2827</v>
      </c>
    </row>
    <row r="1541" spans="1:23" ht="15" customHeight="1" x14ac:dyDescent="0.3">
      <c r="A1541" t="s">
        <v>8</v>
      </c>
      <c r="B1541">
        <v>188</v>
      </c>
      <c r="C1541" t="s">
        <v>954</v>
      </c>
      <c r="D1541" t="s">
        <v>1031</v>
      </c>
      <c r="E1541" t="s">
        <v>34</v>
      </c>
      <c r="F1541" t="s">
        <v>1032</v>
      </c>
      <c r="G1541" t="s">
        <v>36</v>
      </c>
      <c r="H1541" t="s">
        <v>1293</v>
      </c>
      <c r="I1541" t="s">
        <v>1031</v>
      </c>
      <c r="J1541" t="s">
        <v>2828</v>
      </c>
      <c r="K1541" s="21" t="s">
        <v>2829</v>
      </c>
      <c r="L1541" s="21" t="s">
        <v>1035</v>
      </c>
      <c r="M1541" t="s">
        <v>1036</v>
      </c>
      <c r="N1541" t="s">
        <v>961</v>
      </c>
      <c r="O1541" t="s">
        <v>962</v>
      </c>
      <c r="R1541" t="s">
        <v>1038</v>
      </c>
      <c r="S1541" t="s">
        <v>2828</v>
      </c>
      <c r="T1541" t="s">
        <v>1249</v>
      </c>
      <c r="U1541" t="s">
        <v>1444</v>
      </c>
      <c r="V1541" t="s">
        <v>2826</v>
      </c>
      <c r="W1541" t="s">
        <v>2827</v>
      </c>
    </row>
    <row r="1542" spans="1:23" ht="15" customHeight="1" x14ac:dyDescent="0.3">
      <c r="A1542" t="s">
        <v>8</v>
      </c>
      <c r="B1542">
        <v>188</v>
      </c>
      <c r="C1542" t="s">
        <v>954</v>
      </c>
      <c r="D1542" t="s">
        <v>1031</v>
      </c>
      <c r="E1542" t="s">
        <v>34</v>
      </c>
      <c r="F1542" t="s">
        <v>1032</v>
      </c>
      <c r="G1542" t="s">
        <v>36</v>
      </c>
      <c r="H1542" t="s">
        <v>1293</v>
      </c>
      <c r="I1542" t="s">
        <v>1031</v>
      </c>
      <c r="J1542" t="s">
        <v>2828</v>
      </c>
      <c r="K1542" s="21" t="s">
        <v>2829</v>
      </c>
      <c r="L1542" s="21" t="s">
        <v>1035</v>
      </c>
      <c r="M1542" t="s">
        <v>1036</v>
      </c>
      <c r="N1542" t="s">
        <v>961</v>
      </c>
      <c r="O1542" t="s">
        <v>962</v>
      </c>
      <c r="R1542" t="s">
        <v>1041</v>
      </c>
      <c r="S1542" t="s">
        <v>2828</v>
      </c>
      <c r="T1542" t="s">
        <v>1249</v>
      </c>
      <c r="U1542" t="s">
        <v>1444</v>
      </c>
      <c r="V1542" t="s">
        <v>2826</v>
      </c>
      <c r="W1542" t="s">
        <v>2827</v>
      </c>
    </row>
    <row r="1543" spans="1:23" ht="15" customHeight="1" x14ac:dyDescent="0.3">
      <c r="A1543" t="s">
        <v>8</v>
      </c>
      <c r="B1543">
        <v>188</v>
      </c>
      <c r="C1543" t="s">
        <v>954</v>
      </c>
      <c r="D1543" t="s">
        <v>1031</v>
      </c>
      <c r="E1543" t="s">
        <v>34</v>
      </c>
      <c r="F1543" t="s">
        <v>1032</v>
      </c>
      <c r="G1543" t="s">
        <v>36</v>
      </c>
      <c r="H1543" t="s">
        <v>1293</v>
      </c>
      <c r="I1543" t="s">
        <v>1031</v>
      </c>
      <c r="J1543" t="s">
        <v>2828</v>
      </c>
      <c r="K1543" s="21" t="s">
        <v>2829</v>
      </c>
      <c r="L1543" s="21" t="s">
        <v>1035</v>
      </c>
      <c r="M1543" t="s">
        <v>1036</v>
      </c>
      <c r="N1543" t="s">
        <v>961</v>
      </c>
      <c r="O1543" t="s">
        <v>962</v>
      </c>
      <c r="R1543" t="s">
        <v>1049</v>
      </c>
      <c r="S1543" t="s">
        <v>2828</v>
      </c>
      <c r="T1543" t="s">
        <v>1249</v>
      </c>
      <c r="U1543" t="s">
        <v>1444</v>
      </c>
      <c r="V1543" t="s">
        <v>2826</v>
      </c>
      <c r="W1543" t="s">
        <v>2827</v>
      </c>
    </row>
    <row r="1544" spans="1:23" ht="15" customHeight="1" x14ac:dyDescent="0.3">
      <c r="A1544" t="s">
        <v>8</v>
      </c>
      <c r="B1544">
        <v>188</v>
      </c>
      <c r="C1544" t="s">
        <v>954</v>
      </c>
      <c r="D1544" t="s">
        <v>1031</v>
      </c>
      <c r="E1544" t="s">
        <v>34</v>
      </c>
      <c r="F1544" t="s">
        <v>1032</v>
      </c>
      <c r="G1544" t="s">
        <v>36</v>
      </c>
      <c r="H1544" t="s">
        <v>1293</v>
      </c>
      <c r="I1544" t="s">
        <v>1031</v>
      </c>
      <c r="J1544" t="s">
        <v>2828</v>
      </c>
      <c r="K1544" s="21" t="s">
        <v>2829</v>
      </c>
      <c r="L1544" s="21" t="s">
        <v>1035</v>
      </c>
      <c r="M1544" t="s">
        <v>1036</v>
      </c>
      <c r="N1544" t="s">
        <v>961</v>
      </c>
      <c r="O1544" t="s">
        <v>962</v>
      </c>
      <c r="R1544" t="s">
        <v>1054</v>
      </c>
      <c r="S1544" t="s">
        <v>2828</v>
      </c>
      <c r="T1544" t="s">
        <v>1249</v>
      </c>
      <c r="U1544" t="s">
        <v>1444</v>
      </c>
      <c r="V1544" t="s">
        <v>2826</v>
      </c>
      <c r="W1544" t="s">
        <v>2827</v>
      </c>
    </row>
    <row r="1545" spans="1:23" ht="15" customHeight="1" x14ac:dyDescent="0.3">
      <c r="A1545" t="s">
        <v>8</v>
      </c>
      <c r="B1545">
        <v>187</v>
      </c>
      <c r="C1545" t="s">
        <v>954</v>
      </c>
      <c r="D1545" t="s">
        <v>1076</v>
      </c>
      <c r="E1545" t="s">
        <v>34</v>
      </c>
      <c r="F1545" t="s">
        <v>1077</v>
      </c>
      <c r="G1545" t="s">
        <v>36</v>
      </c>
      <c r="H1545" t="s">
        <v>37</v>
      </c>
      <c r="I1545" t="s">
        <v>1076</v>
      </c>
      <c r="J1545" t="s">
        <v>1078</v>
      </c>
      <c r="K1545" t="s">
        <v>1079</v>
      </c>
      <c r="L1545" s="21" t="s">
        <v>1080</v>
      </c>
      <c r="M1545" t="s">
        <v>1081</v>
      </c>
      <c r="N1545" t="s">
        <v>961</v>
      </c>
      <c r="O1545" t="s">
        <v>962</v>
      </c>
      <c r="R1545" t="s">
        <v>1083</v>
      </c>
      <c r="S1545" t="s">
        <v>1078</v>
      </c>
      <c r="T1545" t="s">
        <v>45</v>
      </c>
      <c r="U1545" t="s">
        <v>46</v>
      </c>
      <c r="V1545" t="s">
        <v>1084</v>
      </c>
      <c r="W1545" t="s">
        <v>1085</v>
      </c>
    </row>
    <row r="1546" spans="1:23" ht="15" customHeight="1" x14ac:dyDescent="0.3">
      <c r="A1546" t="s">
        <v>8</v>
      </c>
      <c r="B1546">
        <v>187</v>
      </c>
      <c r="C1546" t="s">
        <v>954</v>
      </c>
      <c r="D1546" t="s">
        <v>1076</v>
      </c>
      <c r="E1546" t="s">
        <v>34</v>
      </c>
      <c r="F1546" t="s">
        <v>1077</v>
      </c>
      <c r="G1546" t="s">
        <v>36</v>
      </c>
      <c r="H1546" t="s">
        <v>37</v>
      </c>
      <c r="I1546" t="s">
        <v>1076</v>
      </c>
      <c r="J1546" t="s">
        <v>1078</v>
      </c>
      <c r="K1546" t="s">
        <v>1079</v>
      </c>
      <c r="L1546" s="21" t="s">
        <v>1080</v>
      </c>
      <c r="M1546" t="s">
        <v>1081</v>
      </c>
      <c r="N1546" t="s">
        <v>961</v>
      </c>
      <c r="O1546" t="s">
        <v>962</v>
      </c>
      <c r="R1546" t="s">
        <v>1086</v>
      </c>
      <c r="S1546" t="s">
        <v>1078</v>
      </c>
      <c r="T1546" t="s">
        <v>45</v>
      </c>
      <c r="U1546" t="s">
        <v>46</v>
      </c>
      <c r="V1546" t="s">
        <v>1084</v>
      </c>
      <c r="W1546" t="s">
        <v>1085</v>
      </c>
    </row>
    <row r="1547" spans="1:23" ht="15" customHeight="1" x14ac:dyDescent="0.3">
      <c r="A1547" t="s">
        <v>8</v>
      </c>
      <c r="B1547">
        <v>187</v>
      </c>
      <c r="C1547" t="s">
        <v>954</v>
      </c>
      <c r="D1547" t="s">
        <v>1076</v>
      </c>
      <c r="E1547" t="s">
        <v>34</v>
      </c>
      <c r="F1547" t="s">
        <v>1077</v>
      </c>
      <c r="G1547" t="s">
        <v>36</v>
      </c>
      <c r="H1547" t="s">
        <v>37</v>
      </c>
      <c r="I1547" t="s">
        <v>1076</v>
      </c>
      <c r="J1547" t="s">
        <v>1078</v>
      </c>
      <c r="K1547" t="s">
        <v>1079</v>
      </c>
      <c r="L1547" s="21" t="s">
        <v>1080</v>
      </c>
      <c r="M1547" t="s">
        <v>1081</v>
      </c>
      <c r="N1547" t="s">
        <v>961</v>
      </c>
      <c r="O1547" t="s">
        <v>962</v>
      </c>
      <c r="R1547" t="s">
        <v>2830</v>
      </c>
      <c r="S1547" t="s">
        <v>1078</v>
      </c>
      <c r="T1547" t="s">
        <v>45</v>
      </c>
      <c r="U1547" t="s">
        <v>46</v>
      </c>
      <c r="V1547" t="s">
        <v>1084</v>
      </c>
      <c r="W1547" t="s">
        <v>1085</v>
      </c>
    </row>
    <row r="1548" spans="1:23" ht="15" customHeight="1" x14ac:dyDescent="0.3">
      <c r="A1548" t="s">
        <v>8</v>
      </c>
      <c r="B1548">
        <v>187</v>
      </c>
      <c r="C1548" t="s">
        <v>954</v>
      </c>
      <c r="D1548" t="s">
        <v>1076</v>
      </c>
      <c r="E1548" t="s">
        <v>34</v>
      </c>
      <c r="F1548" t="s">
        <v>1077</v>
      </c>
      <c r="G1548" t="s">
        <v>36</v>
      </c>
      <c r="H1548" t="s">
        <v>37</v>
      </c>
      <c r="I1548" t="s">
        <v>1076</v>
      </c>
      <c r="J1548" t="s">
        <v>1078</v>
      </c>
      <c r="K1548" t="s">
        <v>1079</v>
      </c>
      <c r="L1548" s="21" t="s">
        <v>1080</v>
      </c>
      <c r="M1548" t="s">
        <v>1081</v>
      </c>
      <c r="N1548" t="s">
        <v>961</v>
      </c>
      <c r="O1548" t="s">
        <v>962</v>
      </c>
      <c r="R1548" t="s">
        <v>2831</v>
      </c>
      <c r="S1548" t="s">
        <v>1078</v>
      </c>
      <c r="T1548" t="s">
        <v>45</v>
      </c>
      <c r="U1548" t="s">
        <v>46</v>
      </c>
      <c r="V1548" t="s">
        <v>1084</v>
      </c>
      <c r="W1548" t="s">
        <v>1085</v>
      </c>
    </row>
    <row r="1549" spans="1:23" ht="15" customHeight="1" x14ac:dyDescent="0.3">
      <c r="A1549" t="s">
        <v>8</v>
      </c>
      <c r="B1549">
        <v>187</v>
      </c>
      <c r="C1549" t="s">
        <v>954</v>
      </c>
      <c r="D1549" t="s">
        <v>1076</v>
      </c>
      <c r="E1549" t="s">
        <v>34</v>
      </c>
      <c r="F1549" t="s">
        <v>1077</v>
      </c>
      <c r="G1549" t="s">
        <v>36</v>
      </c>
      <c r="H1549" t="s">
        <v>52</v>
      </c>
      <c r="I1549" t="s">
        <v>1076</v>
      </c>
      <c r="J1549" t="s">
        <v>2832</v>
      </c>
      <c r="K1549" s="21" t="s">
        <v>2833</v>
      </c>
      <c r="L1549" s="21" t="s">
        <v>1080</v>
      </c>
      <c r="M1549" t="s">
        <v>1081</v>
      </c>
      <c r="N1549" t="s">
        <v>961</v>
      </c>
      <c r="O1549" t="s">
        <v>962</v>
      </c>
      <c r="R1549" t="s">
        <v>1083</v>
      </c>
      <c r="S1549" t="s">
        <v>2832</v>
      </c>
      <c r="T1549" t="s">
        <v>45</v>
      </c>
      <c r="U1549" t="s">
        <v>1257</v>
      </c>
      <c r="V1549" t="s">
        <v>1084</v>
      </c>
      <c r="W1549" t="s">
        <v>2834</v>
      </c>
    </row>
    <row r="1550" spans="1:23" ht="15" customHeight="1" x14ac:dyDescent="0.3">
      <c r="A1550" t="s">
        <v>8</v>
      </c>
      <c r="B1550">
        <v>187</v>
      </c>
      <c r="C1550" t="s">
        <v>954</v>
      </c>
      <c r="D1550" t="s">
        <v>1076</v>
      </c>
      <c r="E1550" t="s">
        <v>34</v>
      </c>
      <c r="F1550" t="s">
        <v>1077</v>
      </c>
      <c r="G1550" t="s">
        <v>36</v>
      </c>
      <c r="H1550" t="s">
        <v>52</v>
      </c>
      <c r="I1550" t="s">
        <v>1076</v>
      </c>
      <c r="J1550" t="s">
        <v>2832</v>
      </c>
      <c r="K1550" s="21" t="s">
        <v>2833</v>
      </c>
      <c r="L1550" s="21" t="s">
        <v>1080</v>
      </c>
      <c r="M1550" t="s">
        <v>1081</v>
      </c>
      <c r="N1550" t="s">
        <v>961</v>
      </c>
      <c r="O1550" t="s">
        <v>962</v>
      </c>
      <c r="R1550" t="s">
        <v>1086</v>
      </c>
      <c r="S1550" t="s">
        <v>2832</v>
      </c>
      <c r="T1550" t="s">
        <v>45</v>
      </c>
      <c r="U1550" t="s">
        <v>1257</v>
      </c>
      <c r="V1550" t="s">
        <v>1084</v>
      </c>
      <c r="W1550" t="s">
        <v>2834</v>
      </c>
    </row>
    <row r="1551" spans="1:23" ht="15" customHeight="1" x14ac:dyDescent="0.3">
      <c r="A1551" t="s">
        <v>8</v>
      </c>
      <c r="B1551">
        <v>187</v>
      </c>
      <c r="C1551" t="s">
        <v>954</v>
      </c>
      <c r="D1551" t="s">
        <v>1076</v>
      </c>
      <c r="E1551" t="s">
        <v>34</v>
      </c>
      <c r="F1551" t="s">
        <v>1077</v>
      </c>
      <c r="G1551" t="s">
        <v>36</v>
      </c>
      <c r="H1551" t="s">
        <v>52</v>
      </c>
      <c r="I1551" t="s">
        <v>1076</v>
      </c>
      <c r="J1551" t="s">
        <v>2832</v>
      </c>
      <c r="K1551" s="21" t="s">
        <v>2833</v>
      </c>
      <c r="L1551" s="21" t="s">
        <v>1080</v>
      </c>
      <c r="M1551" t="s">
        <v>1081</v>
      </c>
      <c r="N1551" t="s">
        <v>961</v>
      </c>
      <c r="O1551" t="s">
        <v>962</v>
      </c>
      <c r="R1551" t="s">
        <v>2830</v>
      </c>
      <c r="S1551" t="s">
        <v>2832</v>
      </c>
      <c r="T1551" t="s">
        <v>45</v>
      </c>
      <c r="U1551" t="s">
        <v>1257</v>
      </c>
      <c r="V1551" t="s">
        <v>1084</v>
      </c>
      <c r="W1551" t="s">
        <v>2834</v>
      </c>
    </row>
    <row r="1552" spans="1:23" ht="15" customHeight="1" x14ac:dyDescent="0.3">
      <c r="A1552" t="s">
        <v>8</v>
      </c>
      <c r="B1552">
        <v>187</v>
      </c>
      <c r="C1552" t="s">
        <v>954</v>
      </c>
      <c r="D1552" t="s">
        <v>1076</v>
      </c>
      <c r="E1552" t="s">
        <v>34</v>
      </c>
      <c r="F1552" t="s">
        <v>1077</v>
      </c>
      <c r="G1552" t="s">
        <v>36</v>
      </c>
      <c r="H1552" t="s">
        <v>52</v>
      </c>
      <c r="I1552" t="s">
        <v>1076</v>
      </c>
      <c r="J1552" t="s">
        <v>2832</v>
      </c>
      <c r="K1552" s="21" t="s">
        <v>2833</v>
      </c>
      <c r="L1552" s="21" t="s">
        <v>1080</v>
      </c>
      <c r="M1552" t="s">
        <v>1081</v>
      </c>
      <c r="N1552" t="s">
        <v>961</v>
      </c>
      <c r="O1552" t="s">
        <v>962</v>
      </c>
      <c r="R1552" t="s">
        <v>2831</v>
      </c>
      <c r="S1552" t="s">
        <v>2832</v>
      </c>
      <c r="T1552" t="s">
        <v>45</v>
      </c>
      <c r="U1552" t="s">
        <v>1257</v>
      </c>
      <c r="V1552" t="s">
        <v>1084</v>
      </c>
      <c r="W1552" t="s">
        <v>2834</v>
      </c>
    </row>
    <row r="1553" spans="1:23" ht="15" customHeight="1" x14ac:dyDescent="0.3">
      <c r="A1553" t="s">
        <v>8</v>
      </c>
      <c r="B1553">
        <v>187</v>
      </c>
      <c r="C1553" t="s">
        <v>954</v>
      </c>
      <c r="D1553" t="s">
        <v>1076</v>
      </c>
      <c r="E1553" t="s">
        <v>34</v>
      </c>
      <c r="F1553" t="s">
        <v>1077</v>
      </c>
      <c r="G1553" t="s">
        <v>36</v>
      </c>
      <c r="H1553" t="s">
        <v>57</v>
      </c>
      <c r="I1553" t="s">
        <v>1076</v>
      </c>
      <c r="J1553" t="s">
        <v>1088</v>
      </c>
      <c r="K1553" s="21" t="s">
        <v>1089</v>
      </c>
      <c r="L1553" s="21" t="s">
        <v>1080</v>
      </c>
      <c r="M1553" t="s">
        <v>1081</v>
      </c>
      <c r="N1553" t="s">
        <v>961</v>
      </c>
      <c r="O1553" t="s">
        <v>962</v>
      </c>
      <c r="R1553" t="s">
        <v>1083</v>
      </c>
      <c r="S1553" t="s">
        <v>1088</v>
      </c>
      <c r="T1553" t="s">
        <v>45</v>
      </c>
      <c r="U1553" t="s">
        <v>90</v>
      </c>
      <c r="V1553" t="s">
        <v>1084</v>
      </c>
      <c r="W1553" t="s">
        <v>1090</v>
      </c>
    </row>
    <row r="1554" spans="1:23" ht="15" customHeight="1" x14ac:dyDescent="0.3">
      <c r="A1554" t="s">
        <v>8</v>
      </c>
      <c r="B1554">
        <v>187</v>
      </c>
      <c r="C1554" t="s">
        <v>954</v>
      </c>
      <c r="D1554" t="s">
        <v>1076</v>
      </c>
      <c r="E1554" t="s">
        <v>34</v>
      </c>
      <c r="F1554" t="s">
        <v>1077</v>
      </c>
      <c r="G1554" t="s">
        <v>36</v>
      </c>
      <c r="H1554" t="s">
        <v>57</v>
      </c>
      <c r="I1554" t="s">
        <v>1076</v>
      </c>
      <c r="J1554" t="s">
        <v>1088</v>
      </c>
      <c r="K1554" s="21" t="s">
        <v>1089</v>
      </c>
      <c r="L1554" s="21" t="s">
        <v>1080</v>
      </c>
      <c r="M1554" t="s">
        <v>1081</v>
      </c>
      <c r="N1554" t="s">
        <v>961</v>
      </c>
      <c r="O1554" t="s">
        <v>962</v>
      </c>
      <c r="R1554" t="s">
        <v>1086</v>
      </c>
      <c r="S1554" t="s">
        <v>1088</v>
      </c>
      <c r="T1554" t="s">
        <v>45</v>
      </c>
      <c r="U1554" t="s">
        <v>90</v>
      </c>
      <c r="V1554" t="s">
        <v>1084</v>
      </c>
      <c r="W1554" t="s">
        <v>1090</v>
      </c>
    </row>
    <row r="1555" spans="1:23" ht="15" customHeight="1" x14ac:dyDescent="0.3">
      <c r="A1555" t="s">
        <v>8</v>
      </c>
      <c r="B1555">
        <v>187</v>
      </c>
      <c r="C1555" t="s">
        <v>954</v>
      </c>
      <c r="D1555" t="s">
        <v>1076</v>
      </c>
      <c r="E1555" t="s">
        <v>34</v>
      </c>
      <c r="F1555" t="s">
        <v>1077</v>
      </c>
      <c r="G1555" t="s">
        <v>36</v>
      </c>
      <c r="H1555" t="s">
        <v>57</v>
      </c>
      <c r="I1555" t="s">
        <v>1076</v>
      </c>
      <c r="J1555" t="s">
        <v>1088</v>
      </c>
      <c r="K1555" s="21" t="s">
        <v>1089</v>
      </c>
      <c r="L1555" s="21" t="s">
        <v>1080</v>
      </c>
      <c r="M1555" t="s">
        <v>1081</v>
      </c>
      <c r="N1555" t="s">
        <v>961</v>
      </c>
      <c r="O1555" t="s">
        <v>962</v>
      </c>
      <c r="R1555" t="s">
        <v>2830</v>
      </c>
      <c r="S1555" t="s">
        <v>1088</v>
      </c>
      <c r="T1555" t="s">
        <v>45</v>
      </c>
      <c r="U1555" t="s">
        <v>90</v>
      </c>
      <c r="V1555" t="s">
        <v>1084</v>
      </c>
      <c r="W1555" t="s">
        <v>1090</v>
      </c>
    </row>
    <row r="1556" spans="1:23" ht="15" customHeight="1" x14ac:dyDescent="0.3">
      <c r="A1556" t="s">
        <v>8</v>
      </c>
      <c r="B1556">
        <v>187</v>
      </c>
      <c r="C1556" t="s">
        <v>954</v>
      </c>
      <c r="D1556" t="s">
        <v>1076</v>
      </c>
      <c r="E1556" t="s">
        <v>34</v>
      </c>
      <c r="F1556" t="s">
        <v>1077</v>
      </c>
      <c r="G1556" t="s">
        <v>36</v>
      </c>
      <c r="H1556" t="s">
        <v>57</v>
      </c>
      <c r="I1556" t="s">
        <v>1076</v>
      </c>
      <c r="J1556" t="s">
        <v>1088</v>
      </c>
      <c r="K1556" s="21" t="s">
        <v>1089</v>
      </c>
      <c r="L1556" s="21" t="s">
        <v>1080</v>
      </c>
      <c r="M1556" t="s">
        <v>1081</v>
      </c>
      <c r="N1556" t="s">
        <v>961</v>
      </c>
      <c r="O1556" t="s">
        <v>962</v>
      </c>
      <c r="R1556" t="s">
        <v>2831</v>
      </c>
      <c r="S1556" t="s">
        <v>1088</v>
      </c>
      <c r="T1556" t="s">
        <v>45</v>
      </c>
      <c r="U1556" t="s">
        <v>90</v>
      </c>
      <c r="V1556" t="s">
        <v>1084</v>
      </c>
      <c r="W1556" t="s">
        <v>1090</v>
      </c>
    </row>
    <row r="1557" spans="1:23" ht="15" customHeight="1" x14ac:dyDescent="0.3">
      <c r="A1557" t="s">
        <v>8</v>
      </c>
      <c r="B1557">
        <v>187</v>
      </c>
      <c r="C1557" t="s">
        <v>954</v>
      </c>
      <c r="D1557" t="s">
        <v>1076</v>
      </c>
      <c r="E1557" t="s">
        <v>34</v>
      </c>
      <c r="F1557" t="s">
        <v>1077</v>
      </c>
      <c r="G1557" t="s">
        <v>36</v>
      </c>
      <c r="H1557" t="s">
        <v>49</v>
      </c>
      <c r="I1557" t="s">
        <v>1076</v>
      </c>
      <c r="J1557" t="s">
        <v>2835</v>
      </c>
      <c r="K1557" s="21" t="s">
        <v>2836</v>
      </c>
      <c r="L1557" s="21" t="s">
        <v>1080</v>
      </c>
      <c r="M1557" t="s">
        <v>1081</v>
      </c>
      <c r="N1557" t="s">
        <v>961</v>
      </c>
      <c r="O1557" t="s">
        <v>962</v>
      </c>
      <c r="R1557" t="s">
        <v>1083</v>
      </c>
      <c r="S1557" t="s">
        <v>2835</v>
      </c>
      <c r="T1557" t="s">
        <v>1544</v>
      </c>
      <c r="U1557" t="s">
        <v>1691</v>
      </c>
      <c r="V1557" t="s">
        <v>1084</v>
      </c>
      <c r="W1557" t="s">
        <v>2837</v>
      </c>
    </row>
    <row r="1558" spans="1:23" ht="15" customHeight="1" x14ac:dyDescent="0.3">
      <c r="A1558" t="s">
        <v>8</v>
      </c>
      <c r="B1558">
        <v>187</v>
      </c>
      <c r="C1558" t="s">
        <v>954</v>
      </c>
      <c r="D1558" t="s">
        <v>1076</v>
      </c>
      <c r="E1558" t="s">
        <v>34</v>
      </c>
      <c r="F1558" t="s">
        <v>1077</v>
      </c>
      <c r="G1558" t="s">
        <v>36</v>
      </c>
      <c r="H1558" t="s">
        <v>49</v>
      </c>
      <c r="I1558" t="s">
        <v>1076</v>
      </c>
      <c r="J1558" t="s">
        <v>2835</v>
      </c>
      <c r="K1558" s="21" t="s">
        <v>2836</v>
      </c>
      <c r="L1558" s="21" t="s">
        <v>1080</v>
      </c>
      <c r="M1558" t="s">
        <v>1081</v>
      </c>
      <c r="N1558" t="s">
        <v>961</v>
      </c>
      <c r="O1558" t="s">
        <v>962</v>
      </c>
      <c r="R1558" t="s">
        <v>1086</v>
      </c>
      <c r="S1558" t="s">
        <v>2835</v>
      </c>
      <c r="T1558" t="s">
        <v>1544</v>
      </c>
      <c r="U1558" t="s">
        <v>1691</v>
      </c>
      <c r="V1558" t="s">
        <v>1084</v>
      </c>
      <c r="W1558" t="s">
        <v>2837</v>
      </c>
    </row>
    <row r="1559" spans="1:23" ht="15" customHeight="1" x14ac:dyDescent="0.3">
      <c r="A1559" t="s">
        <v>8</v>
      </c>
      <c r="B1559">
        <v>187</v>
      </c>
      <c r="C1559" t="s">
        <v>954</v>
      </c>
      <c r="D1559" t="s">
        <v>1076</v>
      </c>
      <c r="E1559" t="s">
        <v>34</v>
      </c>
      <c r="F1559" t="s">
        <v>1077</v>
      </c>
      <c r="G1559" t="s">
        <v>36</v>
      </c>
      <c r="H1559" t="s">
        <v>49</v>
      </c>
      <c r="I1559" t="s">
        <v>1076</v>
      </c>
      <c r="J1559" t="s">
        <v>2835</v>
      </c>
      <c r="K1559" s="21" t="s">
        <v>2836</v>
      </c>
      <c r="L1559" s="21" t="s">
        <v>1080</v>
      </c>
      <c r="M1559" t="s">
        <v>1081</v>
      </c>
      <c r="N1559" t="s">
        <v>961</v>
      </c>
      <c r="O1559" t="s">
        <v>962</v>
      </c>
      <c r="R1559" t="s">
        <v>2830</v>
      </c>
      <c r="S1559" t="s">
        <v>2835</v>
      </c>
      <c r="T1559" t="s">
        <v>1544</v>
      </c>
      <c r="U1559" t="s">
        <v>1691</v>
      </c>
      <c r="V1559" t="s">
        <v>1084</v>
      </c>
      <c r="W1559" t="s">
        <v>2837</v>
      </c>
    </row>
    <row r="1560" spans="1:23" ht="15" customHeight="1" x14ac:dyDescent="0.3">
      <c r="A1560" t="s">
        <v>8</v>
      </c>
      <c r="B1560">
        <v>187</v>
      </c>
      <c r="C1560" t="s">
        <v>954</v>
      </c>
      <c r="D1560" t="s">
        <v>1076</v>
      </c>
      <c r="E1560" t="s">
        <v>34</v>
      </c>
      <c r="F1560" t="s">
        <v>1077</v>
      </c>
      <c r="G1560" t="s">
        <v>36</v>
      </c>
      <c r="H1560" t="s">
        <v>49</v>
      </c>
      <c r="I1560" t="s">
        <v>1076</v>
      </c>
      <c r="J1560" t="s">
        <v>2835</v>
      </c>
      <c r="K1560" s="21" t="s">
        <v>2836</v>
      </c>
      <c r="L1560" s="21" t="s">
        <v>1080</v>
      </c>
      <c r="M1560" t="s">
        <v>1081</v>
      </c>
      <c r="N1560" t="s">
        <v>961</v>
      </c>
      <c r="O1560" t="s">
        <v>962</v>
      </c>
      <c r="R1560" t="s">
        <v>2831</v>
      </c>
      <c r="S1560" t="s">
        <v>2835</v>
      </c>
      <c r="T1560" t="s">
        <v>1544</v>
      </c>
      <c r="U1560" t="s">
        <v>1691</v>
      </c>
      <c r="V1560" t="s">
        <v>1084</v>
      </c>
      <c r="W1560" t="s">
        <v>2837</v>
      </c>
    </row>
    <row r="1561" spans="1:23" ht="15" customHeight="1" x14ac:dyDescent="0.3">
      <c r="A1561" t="s">
        <v>8</v>
      </c>
      <c r="B1561">
        <v>187</v>
      </c>
      <c r="C1561" t="s">
        <v>954</v>
      </c>
      <c r="D1561" t="s">
        <v>1076</v>
      </c>
      <c r="E1561" t="s">
        <v>34</v>
      </c>
      <c r="F1561" t="s">
        <v>1077</v>
      </c>
      <c r="G1561" t="s">
        <v>36</v>
      </c>
      <c r="H1561" t="s">
        <v>87</v>
      </c>
      <c r="I1561" t="s">
        <v>1076</v>
      </c>
      <c r="J1561" t="s">
        <v>2838</v>
      </c>
      <c r="K1561" s="21" t="s">
        <v>2839</v>
      </c>
      <c r="L1561" s="21" t="s">
        <v>1080</v>
      </c>
      <c r="M1561" t="s">
        <v>1081</v>
      </c>
      <c r="N1561" t="s">
        <v>961</v>
      </c>
      <c r="O1561" t="s">
        <v>962</v>
      </c>
      <c r="R1561" t="s">
        <v>1083</v>
      </c>
      <c r="S1561" t="s">
        <v>2838</v>
      </c>
      <c r="T1561" t="s">
        <v>1544</v>
      </c>
      <c r="U1561" t="s">
        <v>2028</v>
      </c>
      <c r="V1561" t="s">
        <v>1084</v>
      </c>
      <c r="W1561" t="s">
        <v>2840</v>
      </c>
    </row>
    <row r="1562" spans="1:23" ht="15" customHeight="1" x14ac:dyDescent="0.3">
      <c r="A1562" t="s">
        <v>8</v>
      </c>
      <c r="B1562">
        <v>187</v>
      </c>
      <c r="C1562" t="s">
        <v>954</v>
      </c>
      <c r="D1562" t="s">
        <v>1076</v>
      </c>
      <c r="E1562" t="s">
        <v>34</v>
      </c>
      <c r="F1562" t="s">
        <v>1077</v>
      </c>
      <c r="G1562" t="s">
        <v>36</v>
      </c>
      <c r="H1562" t="s">
        <v>87</v>
      </c>
      <c r="I1562" t="s">
        <v>1076</v>
      </c>
      <c r="J1562" t="s">
        <v>2838</v>
      </c>
      <c r="K1562" s="21" t="s">
        <v>2839</v>
      </c>
      <c r="L1562" s="21" t="s">
        <v>1080</v>
      </c>
      <c r="M1562" t="s">
        <v>1081</v>
      </c>
      <c r="N1562" t="s">
        <v>961</v>
      </c>
      <c r="O1562" t="s">
        <v>962</v>
      </c>
      <c r="R1562" t="s">
        <v>1086</v>
      </c>
      <c r="S1562" t="s">
        <v>2838</v>
      </c>
      <c r="T1562" t="s">
        <v>1544</v>
      </c>
      <c r="U1562" t="s">
        <v>2028</v>
      </c>
      <c r="V1562" t="s">
        <v>1084</v>
      </c>
      <c r="W1562" t="s">
        <v>2840</v>
      </c>
    </row>
    <row r="1563" spans="1:23" ht="15" customHeight="1" x14ac:dyDescent="0.3">
      <c r="A1563" t="s">
        <v>8</v>
      </c>
      <c r="B1563">
        <v>187</v>
      </c>
      <c r="C1563" t="s">
        <v>954</v>
      </c>
      <c r="D1563" t="s">
        <v>1076</v>
      </c>
      <c r="E1563" t="s">
        <v>34</v>
      </c>
      <c r="F1563" t="s">
        <v>1077</v>
      </c>
      <c r="G1563" t="s">
        <v>36</v>
      </c>
      <c r="H1563" t="s">
        <v>87</v>
      </c>
      <c r="I1563" t="s">
        <v>1076</v>
      </c>
      <c r="J1563" t="s">
        <v>2838</v>
      </c>
      <c r="K1563" s="21" t="s">
        <v>2839</v>
      </c>
      <c r="L1563" s="21" t="s">
        <v>1080</v>
      </c>
      <c r="M1563" t="s">
        <v>1081</v>
      </c>
      <c r="N1563" t="s">
        <v>961</v>
      </c>
      <c r="O1563" t="s">
        <v>962</v>
      </c>
      <c r="R1563" t="s">
        <v>2830</v>
      </c>
      <c r="S1563" t="s">
        <v>2838</v>
      </c>
      <c r="T1563" t="s">
        <v>1544</v>
      </c>
      <c r="U1563" t="s">
        <v>2028</v>
      </c>
      <c r="V1563" t="s">
        <v>1084</v>
      </c>
      <c r="W1563" t="s">
        <v>2840</v>
      </c>
    </row>
    <row r="1564" spans="1:23" ht="15" customHeight="1" x14ac:dyDescent="0.3">
      <c r="A1564" t="s">
        <v>8</v>
      </c>
      <c r="B1564">
        <v>187</v>
      </c>
      <c r="C1564" t="s">
        <v>954</v>
      </c>
      <c r="D1564" t="s">
        <v>1076</v>
      </c>
      <c r="E1564" t="s">
        <v>34</v>
      </c>
      <c r="F1564" t="s">
        <v>1077</v>
      </c>
      <c r="G1564" t="s">
        <v>36</v>
      </c>
      <c r="H1564" t="s">
        <v>87</v>
      </c>
      <c r="I1564" t="s">
        <v>1076</v>
      </c>
      <c r="J1564" t="s">
        <v>2838</v>
      </c>
      <c r="K1564" s="21" t="s">
        <v>2839</v>
      </c>
      <c r="L1564" s="21" t="s">
        <v>1080</v>
      </c>
      <c r="M1564" t="s">
        <v>1081</v>
      </c>
      <c r="N1564" t="s">
        <v>961</v>
      </c>
      <c r="O1564" t="s">
        <v>962</v>
      </c>
      <c r="R1564" t="s">
        <v>2831</v>
      </c>
      <c r="S1564" t="s">
        <v>2838</v>
      </c>
      <c r="T1564" t="s">
        <v>1544</v>
      </c>
      <c r="U1564" t="s">
        <v>2028</v>
      </c>
      <c r="V1564" t="s">
        <v>1084</v>
      </c>
      <c r="W1564" t="s">
        <v>2840</v>
      </c>
    </row>
    <row r="1565" spans="1:23" ht="15" customHeight="1" x14ac:dyDescent="0.3">
      <c r="A1565" t="s">
        <v>8</v>
      </c>
      <c r="B1565">
        <v>187</v>
      </c>
      <c r="C1565" t="s">
        <v>954</v>
      </c>
      <c r="D1565" t="s">
        <v>1076</v>
      </c>
      <c r="E1565" t="s">
        <v>34</v>
      </c>
      <c r="F1565" t="s">
        <v>1077</v>
      </c>
      <c r="G1565" t="s">
        <v>36</v>
      </c>
      <c r="H1565" t="s">
        <v>421</v>
      </c>
      <c r="I1565" t="s">
        <v>1076</v>
      </c>
      <c r="J1565" t="s">
        <v>2841</v>
      </c>
      <c r="K1565" s="21" t="s">
        <v>2842</v>
      </c>
      <c r="L1565" s="21" t="s">
        <v>1080</v>
      </c>
      <c r="M1565" t="s">
        <v>1081</v>
      </c>
      <c r="N1565" t="s">
        <v>961</v>
      </c>
      <c r="O1565" t="s">
        <v>962</v>
      </c>
      <c r="R1565" t="s">
        <v>1083</v>
      </c>
      <c r="S1565" t="s">
        <v>2841</v>
      </c>
      <c r="T1565" t="s">
        <v>1249</v>
      </c>
      <c r="U1565" t="s">
        <v>2456</v>
      </c>
      <c r="V1565" t="s">
        <v>1084</v>
      </c>
      <c r="W1565" t="s">
        <v>2843</v>
      </c>
    </row>
    <row r="1566" spans="1:23" ht="15" customHeight="1" x14ac:dyDescent="0.3">
      <c r="A1566" t="s">
        <v>8</v>
      </c>
      <c r="B1566">
        <v>187</v>
      </c>
      <c r="C1566" t="s">
        <v>954</v>
      </c>
      <c r="D1566" t="s">
        <v>1076</v>
      </c>
      <c r="E1566" t="s">
        <v>34</v>
      </c>
      <c r="F1566" t="s">
        <v>1077</v>
      </c>
      <c r="G1566" t="s">
        <v>36</v>
      </c>
      <c r="H1566" t="s">
        <v>421</v>
      </c>
      <c r="I1566" t="s">
        <v>1076</v>
      </c>
      <c r="J1566" t="s">
        <v>2841</v>
      </c>
      <c r="K1566" s="21" t="s">
        <v>2842</v>
      </c>
      <c r="L1566" s="21" t="s">
        <v>1080</v>
      </c>
      <c r="M1566" t="s">
        <v>1081</v>
      </c>
      <c r="N1566" t="s">
        <v>961</v>
      </c>
      <c r="O1566" t="s">
        <v>962</v>
      </c>
      <c r="R1566" t="s">
        <v>1086</v>
      </c>
      <c r="S1566" t="s">
        <v>2841</v>
      </c>
      <c r="T1566" t="s">
        <v>1249</v>
      </c>
      <c r="U1566" t="s">
        <v>2456</v>
      </c>
      <c r="V1566" t="s">
        <v>1084</v>
      </c>
      <c r="W1566" t="s">
        <v>2843</v>
      </c>
    </row>
    <row r="1567" spans="1:23" ht="15" customHeight="1" x14ac:dyDescent="0.3">
      <c r="A1567" t="s">
        <v>8</v>
      </c>
      <c r="B1567">
        <v>187</v>
      </c>
      <c r="C1567" t="s">
        <v>954</v>
      </c>
      <c r="D1567" t="s">
        <v>1076</v>
      </c>
      <c r="E1567" t="s">
        <v>34</v>
      </c>
      <c r="F1567" t="s">
        <v>1077</v>
      </c>
      <c r="G1567" t="s">
        <v>36</v>
      </c>
      <c r="H1567" t="s">
        <v>421</v>
      </c>
      <c r="I1567" t="s">
        <v>1076</v>
      </c>
      <c r="J1567" t="s">
        <v>2841</v>
      </c>
      <c r="K1567" s="21" t="s">
        <v>2842</v>
      </c>
      <c r="L1567" s="21" t="s">
        <v>1080</v>
      </c>
      <c r="M1567" t="s">
        <v>1081</v>
      </c>
      <c r="N1567" t="s">
        <v>961</v>
      </c>
      <c r="O1567" t="s">
        <v>962</v>
      </c>
      <c r="R1567" t="s">
        <v>2830</v>
      </c>
      <c r="S1567" t="s">
        <v>2841</v>
      </c>
      <c r="T1567" t="s">
        <v>1249</v>
      </c>
      <c r="U1567" t="s">
        <v>2456</v>
      </c>
      <c r="V1567" t="s">
        <v>1084</v>
      </c>
      <c r="W1567" t="s">
        <v>2843</v>
      </c>
    </row>
    <row r="1568" spans="1:23" ht="15" customHeight="1" x14ac:dyDescent="0.3">
      <c r="A1568" t="s">
        <v>8</v>
      </c>
      <c r="B1568">
        <v>187</v>
      </c>
      <c r="C1568" t="s">
        <v>954</v>
      </c>
      <c r="D1568" t="s">
        <v>1076</v>
      </c>
      <c r="E1568" t="s">
        <v>34</v>
      </c>
      <c r="F1568" t="s">
        <v>1077</v>
      </c>
      <c r="G1568" t="s">
        <v>36</v>
      </c>
      <c r="H1568" t="s">
        <v>421</v>
      </c>
      <c r="I1568" t="s">
        <v>1076</v>
      </c>
      <c r="J1568" t="s">
        <v>2841</v>
      </c>
      <c r="K1568" s="21" t="s">
        <v>2842</v>
      </c>
      <c r="L1568" s="21" t="s">
        <v>1080</v>
      </c>
      <c r="M1568" t="s">
        <v>1081</v>
      </c>
      <c r="N1568" t="s">
        <v>961</v>
      </c>
      <c r="O1568" t="s">
        <v>962</v>
      </c>
      <c r="R1568" t="s">
        <v>2831</v>
      </c>
      <c r="S1568" t="s">
        <v>2841</v>
      </c>
      <c r="T1568" t="s">
        <v>1249</v>
      </c>
      <c r="U1568" t="s">
        <v>2456</v>
      </c>
      <c r="V1568" t="s">
        <v>1084</v>
      </c>
      <c r="W1568" t="s">
        <v>2843</v>
      </c>
    </row>
    <row r="1569" spans="1:23" ht="15" customHeight="1" x14ac:dyDescent="0.3">
      <c r="A1569" t="s">
        <v>8</v>
      </c>
      <c r="B1569">
        <v>187</v>
      </c>
      <c r="C1569" t="s">
        <v>954</v>
      </c>
      <c r="D1569" t="s">
        <v>1076</v>
      </c>
      <c r="E1569" t="s">
        <v>34</v>
      </c>
      <c r="F1569" t="s">
        <v>1077</v>
      </c>
      <c r="G1569" t="s">
        <v>36</v>
      </c>
      <c r="H1569" t="s">
        <v>182</v>
      </c>
      <c r="I1569" t="s">
        <v>1076</v>
      </c>
      <c r="J1569" t="s">
        <v>2844</v>
      </c>
      <c r="K1569" s="21" t="s">
        <v>2845</v>
      </c>
      <c r="L1569" s="21" t="s">
        <v>1080</v>
      </c>
      <c r="M1569" t="s">
        <v>1081</v>
      </c>
      <c r="N1569" t="s">
        <v>961</v>
      </c>
      <c r="O1569" t="s">
        <v>962</v>
      </c>
      <c r="R1569" t="s">
        <v>1083</v>
      </c>
      <c r="S1569" t="s">
        <v>2844</v>
      </c>
      <c r="T1569" t="s">
        <v>1249</v>
      </c>
      <c r="U1569" t="s">
        <v>1444</v>
      </c>
      <c r="V1569" t="s">
        <v>1084</v>
      </c>
      <c r="W1569" t="s">
        <v>2843</v>
      </c>
    </row>
    <row r="1570" spans="1:23" ht="15" customHeight="1" x14ac:dyDescent="0.3">
      <c r="A1570" t="s">
        <v>8</v>
      </c>
      <c r="B1570">
        <v>187</v>
      </c>
      <c r="C1570" t="s">
        <v>954</v>
      </c>
      <c r="D1570" t="s">
        <v>1076</v>
      </c>
      <c r="E1570" t="s">
        <v>34</v>
      </c>
      <c r="F1570" t="s">
        <v>1077</v>
      </c>
      <c r="G1570" t="s">
        <v>36</v>
      </c>
      <c r="H1570" t="s">
        <v>182</v>
      </c>
      <c r="I1570" t="s">
        <v>1076</v>
      </c>
      <c r="J1570" t="s">
        <v>2844</v>
      </c>
      <c r="K1570" s="21" t="s">
        <v>2845</v>
      </c>
      <c r="L1570" s="21" t="s">
        <v>1080</v>
      </c>
      <c r="M1570" t="s">
        <v>1081</v>
      </c>
      <c r="N1570" t="s">
        <v>961</v>
      </c>
      <c r="O1570" t="s">
        <v>962</v>
      </c>
      <c r="R1570" t="s">
        <v>1086</v>
      </c>
      <c r="S1570" t="s">
        <v>2844</v>
      </c>
      <c r="T1570" t="s">
        <v>1249</v>
      </c>
      <c r="U1570" t="s">
        <v>1444</v>
      </c>
      <c r="V1570" t="s">
        <v>1084</v>
      </c>
      <c r="W1570" t="s">
        <v>2843</v>
      </c>
    </row>
    <row r="1571" spans="1:23" ht="15" customHeight="1" x14ac:dyDescent="0.3">
      <c r="A1571" t="s">
        <v>8</v>
      </c>
      <c r="B1571">
        <v>187</v>
      </c>
      <c r="C1571" t="s">
        <v>954</v>
      </c>
      <c r="D1571" t="s">
        <v>1076</v>
      </c>
      <c r="E1571" t="s">
        <v>34</v>
      </c>
      <c r="F1571" t="s">
        <v>1077</v>
      </c>
      <c r="G1571" t="s">
        <v>36</v>
      </c>
      <c r="H1571" t="s">
        <v>182</v>
      </c>
      <c r="I1571" t="s">
        <v>1076</v>
      </c>
      <c r="J1571" t="s">
        <v>2844</v>
      </c>
      <c r="K1571" s="21" t="s">
        <v>2845</v>
      </c>
      <c r="L1571" s="21" t="s">
        <v>1080</v>
      </c>
      <c r="M1571" t="s">
        <v>1081</v>
      </c>
      <c r="N1571" t="s">
        <v>961</v>
      </c>
      <c r="O1571" t="s">
        <v>962</v>
      </c>
      <c r="R1571" t="s">
        <v>2830</v>
      </c>
      <c r="S1571" t="s">
        <v>2844</v>
      </c>
      <c r="T1571" t="s">
        <v>1249</v>
      </c>
      <c r="U1571" t="s">
        <v>1444</v>
      </c>
      <c r="V1571" t="s">
        <v>1084</v>
      </c>
      <c r="W1571" t="s">
        <v>2843</v>
      </c>
    </row>
    <row r="1572" spans="1:23" ht="15" customHeight="1" x14ac:dyDescent="0.3">
      <c r="A1572" t="s">
        <v>8</v>
      </c>
      <c r="B1572">
        <v>187</v>
      </c>
      <c r="C1572" t="s">
        <v>954</v>
      </c>
      <c r="D1572" t="s">
        <v>1076</v>
      </c>
      <c r="E1572" t="s">
        <v>34</v>
      </c>
      <c r="F1572" t="s">
        <v>1077</v>
      </c>
      <c r="G1572" t="s">
        <v>36</v>
      </c>
      <c r="H1572" t="s">
        <v>182</v>
      </c>
      <c r="I1572" t="s">
        <v>1076</v>
      </c>
      <c r="J1572" t="s">
        <v>2844</v>
      </c>
      <c r="K1572" s="21" t="s">
        <v>2845</v>
      </c>
      <c r="L1572" s="21" t="s">
        <v>1080</v>
      </c>
      <c r="M1572" t="s">
        <v>1081</v>
      </c>
      <c r="N1572" t="s">
        <v>961</v>
      </c>
      <c r="O1572" t="s">
        <v>962</v>
      </c>
      <c r="R1572" t="s">
        <v>2831</v>
      </c>
      <c r="S1572" t="s">
        <v>2844</v>
      </c>
      <c r="T1572" t="s">
        <v>1249</v>
      </c>
      <c r="U1572" t="s">
        <v>1444</v>
      </c>
      <c r="V1572" t="s">
        <v>1084</v>
      </c>
      <c r="W1572" t="s">
        <v>2843</v>
      </c>
    </row>
    <row r="1573" spans="1:23" ht="15" customHeight="1" x14ac:dyDescent="0.3">
      <c r="A1573" t="s">
        <v>8</v>
      </c>
      <c r="B1573">
        <v>187</v>
      </c>
      <c r="C1573" t="s">
        <v>954</v>
      </c>
      <c r="D1573" t="s">
        <v>1076</v>
      </c>
      <c r="E1573" t="s">
        <v>34</v>
      </c>
      <c r="F1573" t="s">
        <v>1077</v>
      </c>
      <c r="G1573" t="s">
        <v>36</v>
      </c>
      <c r="H1573" t="s">
        <v>1242</v>
      </c>
      <c r="I1573" t="s">
        <v>1076</v>
      </c>
      <c r="J1573" t="s">
        <v>2846</v>
      </c>
      <c r="K1573" s="21" t="s">
        <v>2847</v>
      </c>
      <c r="L1573" s="21" t="s">
        <v>1080</v>
      </c>
      <c r="M1573" t="s">
        <v>1081</v>
      </c>
      <c r="N1573" t="s">
        <v>961</v>
      </c>
      <c r="O1573" t="s">
        <v>962</v>
      </c>
      <c r="R1573" t="s">
        <v>1083</v>
      </c>
      <c r="S1573" t="s">
        <v>2846</v>
      </c>
      <c r="T1573" t="s">
        <v>1249</v>
      </c>
      <c r="U1573" t="s">
        <v>1286</v>
      </c>
      <c r="V1573" t="s">
        <v>1084</v>
      </c>
      <c r="W1573" t="s">
        <v>2843</v>
      </c>
    </row>
    <row r="1574" spans="1:23" ht="15" customHeight="1" x14ac:dyDescent="0.3">
      <c r="A1574" t="s">
        <v>8</v>
      </c>
      <c r="B1574">
        <v>187</v>
      </c>
      <c r="C1574" t="s">
        <v>954</v>
      </c>
      <c r="D1574" t="s">
        <v>1076</v>
      </c>
      <c r="E1574" t="s">
        <v>34</v>
      </c>
      <c r="F1574" t="s">
        <v>1077</v>
      </c>
      <c r="G1574" t="s">
        <v>36</v>
      </c>
      <c r="H1574" t="s">
        <v>1242</v>
      </c>
      <c r="I1574" t="s">
        <v>1076</v>
      </c>
      <c r="J1574" t="s">
        <v>2846</v>
      </c>
      <c r="K1574" s="21" t="s">
        <v>2847</v>
      </c>
      <c r="L1574" s="21" t="s">
        <v>1080</v>
      </c>
      <c r="M1574" t="s">
        <v>1081</v>
      </c>
      <c r="N1574" t="s">
        <v>961</v>
      </c>
      <c r="O1574" t="s">
        <v>962</v>
      </c>
      <c r="R1574" t="s">
        <v>1086</v>
      </c>
      <c r="S1574" t="s">
        <v>2846</v>
      </c>
      <c r="T1574" t="s">
        <v>1249</v>
      </c>
      <c r="U1574" t="s">
        <v>1286</v>
      </c>
      <c r="V1574" t="s">
        <v>1084</v>
      </c>
      <c r="W1574" t="s">
        <v>2843</v>
      </c>
    </row>
    <row r="1575" spans="1:23" ht="15" customHeight="1" x14ac:dyDescent="0.3">
      <c r="A1575" t="s">
        <v>8</v>
      </c>
      <c r="B1575">
        <v>187</v>
      </c>
      <c r="C1575" t="s">
        <v>954</v>
      </c>
      <c r="D1575" t="s">
        <v>1076</v>
      </c>
      <c r="E1575" t="s">
        <v>34</v>
      </c>
      <c r="F1575" t="s">
        <v>1077</v>
      </c>
      <c r="G1575" t="s">
        <v>36</v>
      </c>
      <c r="H1575" t="s">
        <v>1242</v>
      </c>
      <c r="I1575" t="s">
        <v>1076</v>
      </c>
      <c r="J1575" t="s">
        <v>2846</v>
      </c>
      <c r="K1575" s="21" t="s">
        <v>2847</v>
      </c>
      <c r="L1575" s="21" t="s">
        <v>1080</v>
      </c>
      <c r="M1575" t="s">
        <v>1081</v>
      </c>
      <c r="N1575" t="s">
        <v>961</v>
      </c>
      <c r="O1575" t="s">
        <v>962</v>
      </c>
      <c r="R1575" t="s">
        <v>2830</v>
      </c>
      <c r="S1575" t="s">
        <v>2846</v>
      </c>
      <c r="T1575" t="s">
        <v>1249</v>
      </c>
      <c r="U1575" t="s">
        <v>1286</v>
      </c>
      <c r="V1575" t="s">
        <v>1084</v>
      </c>
      <c r="W1575" t="s">
        <v>2843</v>
      </c>
    </row>
    <row r="1576" spans="1:23" ht="15" customHeight="1" x14ac:dyDescent="0.3">
      <c r="A1576" t="s">
        <v>8</v>
      </c>
      <c r="B1576">
        <v>187</v>
      </c>
      <c r="C1576" t="s">
        <v>954</v>
      </c>
      <c r="D1576" t="s">
        <v>1076</v>
      </c>
      <c r="E1576" t="s">
        <v>34</v>
      </c>
      <c r="F1576" t="s">
        <v>1077</v>
      </c>
      <c r="G1576" t="s">
        <v>36</v>
      </c>
      <c r="H1576" t="s">
        <v>1242</v>
      </c>
      <c r="I1576" t="s">
        <v>1076</v>
      </c>
      <c r="J1576" t="s">
        <v>2846</v>
      </c>
      <c r="K1576" s="21" t="s">
        <v>2847</v>
      </c>
      <c r="L1576" s="21" t="s">
        <v>1080</v>
      </c>
      <c r="M1576" t="s">
        <v>1081</v>
      </c>
      <c r="N1576" t="s">
        <v>961</v>
      </c>
      <c r="O1576" t="s">
        <v>962</v>
      </c>
      <c r="R1576" t="s">
        <v>2831</v>
      </c>
      <c r="S1576" t="s">
        <v>2846</v>
      </c>
      <c r="T1576" t="s">
        <v>1249</v>
      </c>
      <c r="U1576" t="s">
        <v>1286</v>
      </c>
      <c r="V1576" t="s">
        <v>1084</v>
      </c>
      <c r="W1576" t="s">
        <v>2843</v>
      </c>
    </row>
    <row r="1577" spans="1:23" ht="15" customHeight="1" x14ac:dyDescent="0.3">
      <c r="A1577" t="s">
        <v>8</v>
      </c>
      <c r="B1577">
        <v>187</v>
      </c>
      <c r="C1577" t="s">
        <v>954</v>
      </c>
      <c r="D1577" t="s">
        <v>1076</v>
      </c>
      <c r="E1577" t="s">
        <v>34</v>
      </c>
      <c r="F1577" t="s">
        <v>1077</v>
      </c>
      <c r="G1577" t="s">
        <v>36</v>
      </c>
      <c r="H1577" t="s">
        <v>425</v>
      </c>
      <c r="I1577" t="s">
        <v>1076</v>
      </c>
      <c r="J1577" t="s">
        <v>2848</v>
      </c>
      <c r="K1577" s="21" t="s">
        <v>2849</v>
      </c>
      <c r="L1577" s="21" t="s">
        <v>1080</v>
      </c>
      <c r="M1577" t="s">
        <v>1081</v>
      </c>
      <c r="N1577" t="s">
        <v>961</v>
      </c>
      <c r="O1577" t="s">
        <v>962</v>
      </c>
      <c r="R1577" t="s">
        <v>1083</v>
      </c>
      <c r="S1577" t="s">
        <v>2848</v>
      </c>
      <c r="T1577" t="s">
        <v>1290</v>
      </c>
      <c r="U1577" t="s">
        <v>1291</v>
      </c>
      <c r="V1577" t="s">
        <v>2850</v>
      </c>
      <c r="W1577" t="s">
        <v>2851</v>
      </c>
    </row>
    <row r="1578" spans="1:23" ht="15" customHeight="1" x14ac:dyDescent="0.3">
      <c r="A1578" t="s">
        <v>8</v>
      </c>
      <c r="B1578">
        <v>187</v>
      </c>
      <c r="C1578" t="s">
        <v>954</v>
      </c>
      <c r="D1578" t="s">
        <v>1076</v>
      </c>
      <c r="E1578" t="s">
        <v>34</v>
      </c>
      <c r="F1578" t="s">
        <v>1077</v>
      </c>
      <c r="G1578" t="s">
        <v>36</v>
      </c>
      <c r="H1578" t="s">
        <v>425</v>
      </c>
      <c r="I1578" t="s">
        <v>1076</v>
      </c>
      <c r="J1578" t="s">
        <v>2848</v>
      </c>
      <c r="K1578" s="21" t="s">
        <v>2849</v>
      </c>
      <c r="L1578" s="21" t="s">
        <v>1080</v>
      </c>
      <c r="M1578" t="s">
        <v>1081</v>
      </c>
      <c r="N1578" t="s">
        <v>961</v>
      </c>
      <c r="O1578" t="s">
        <v>962</v>
      </c>
      <c r="R1578" t="s">
        <v>1086</v>
      </c>
      <c r="S1578" t="s">
        <v>2848</v>
      </c>
      <c r="T1578" t="s">
        <v>1290</v>
      </c>
      <c r="U1578" t="s">
        <v>1291</v>
      </c>
      <c r="V1578" t="s">
        <v>2850</v>
      </c>
      <c r="W1578" t="s">
        <v>2851</v>
      </c>
    </row>
    <row r="1579" spans="1:23" ht="15" customHeight="1" x14ac:dyDescent="0.3">
      <c r="A1579" t="s">
        <v>8</v>
      </c>
      <c r="B1579">
        <v>187</v>
      </c>
      <c r="C1579" t="s">
        <v>954</v>
      </c>
      <c r="D1579" t="s">
        <v>1076</v>
      </c>
      <c r="E1579" t="s">
        <v>34</v>
      </c>
      <c r="F1579" t="s">
        <v>1077</v>
      </c>
      <c r="G1579" t="s">
        <v>36</v>
      </c>
      <c r="H1579" t="s">
        <v>425</v>
      </c>
      <c r="I1579" t="s">
        <v>1076</v>
      </c>
      <c r="J1579" t="s">
        <v>2848</v>
      </c>
      <c r="K1579" s="21" t="s">
        <v>2849</v>
      </c>
      <c r="L1579" s="21" t="s">
        <v>1080</v>
      </c>
      <c r="M1579" t="s">
        <v>1081</v>
      </c>
      <c r="N1579" t="s">
        <v>961</v>
      </c>
      <c r="O1579" t="s">
        <v>962</v>
      </c>
      <c r="R1579" t="s">
        <v>2830</v>
      </c>
      <c r="S1579" t="s">
        <v>2848</v>
      </c>
      <c r="T1579" t="s">
        <v>1290</v>
      </c>
      <c r="U1579" t="s">
        <v>1291</v>
      </c>
      <c r="V1579" t="s">
        <v>2850</v>
      </c>
      <c r="W1579" t="s">
        <v>2851</v>
      </c>
    </row>
    <row r="1580" spans="1:23" ht="15" customHeight="1" x14ac:dyDescent="0.3">
      <c r="A1580" t="s">
        <v>8</v>
      </c>
      <c r="B1580">
        <v>187</v>
      </c>
      <c r="C1580" t="s">
        <v>954</v>
      </c>
      <c r="D1580" t="s">
        <v>1076</v>
      </c>
      <c r="E1580" t="s">
        <v>34</v>
      </c>
      <c r="F1580" t="s">
        <v>1077</v>
      </c>
      <c r="G1580" t="s">
        <v>36</v>
      </c>
      <c r="H1580" t="s">
        <v>425</v>
      </c>
      <c r="I1580" t="s">
        <v>1076</v>
      </c>
      <c r="J1580" t="s">
        <v>2848</v>
      </c>
      <c r="K1580" s="21" t="s">
        <v>2849</v>
      </c>
      <c r="L1580" s="21" t="s">
        <v>1080</v>
      </c>
      <c r="M1580" t="s">
        <v>1081</v>
      </c>
      <c r="N1580" t="s">
        <v>961</v>
      </c>
      <c r="O1580" t="s">
        <v>962</v>
      </c>
      <c r="R1580" t="s">
        <v>2831</v>
      </c>
      <c r="S1580" t="s">
        <v>2848</v>
      </c>
      <c r="T1580" t="s">
        <v>1290</v>
      </c>
      <c r="U1580" t="s">
        <v>1291</v>
      </c>
      <c r="V1580" t="s">
        <v>2850</v>
      </c>
      <c r="W1580" t="s">
        <v>2851</v>
      </c>
    </row>
    <row r="1581" spans="1:23" ht="15" customHeight="1" x14ac:dyDescent="0.3">
      <c r="A1581" t="s">
        <v>8</v>
      </c>
      <c r="B1581">
        <v>187</v>
      </c>
      <c r="C1581" t="s">
        <v>954</v>
      </c>
      <c r="D1581" t="s">
        <v>1076</v>
      </c>
      <c r="E1581" t="s">
        <v>34</v>
      </c>
      <c r="F1581" t="s">
        <v>1077</v>
      </c>
      <c r="G1581" t="s">
        <v>36</v>
      </c>
      <c r="H1581" t="s">
        <v>996</v>
      </c>
      <c r="I1581" t="s">
        <v>1076</v>
      </c>
      <c r="J1581" t="s">
        <v>2852</v>
      </c>
      <c r="K1581" s="21" t="s">
        <v>2853</v>
      </c>
      <c r="L1581" s="21" t="s">
        <v>1080</v>
      </c>
      <c r="M1581" t="s">
        <v>1081</v>
      </c>
      <c r="N1581" t="s">
        <v>961</v>
      </c>
      <c r="O1581" t="s">
        <v>962</v>
      </c>
      <c r="R1581" t="s">
        <v>1083</v>
      </c>
      <c r="S1581" t="s">
        <v>2852</v>
      </c>
      <c r="T1581" t="s">
        <v>1290</v>
      </c>
      <c r="U1581" t="s">
        <v>2036</v>
      </c>
      <c r="V1581" t="s">
        <v>2850</v>
      </c>
      <c r="W1581" t="s">
        <v>2854</v>
      </c>
    </row>
    <row r="1582" spans="1:23" ht="15" customHeight="1" x14ac:dyDescent="0.3">
      <c r="A1582" t="s">
        <v>8</v>
      </c>
      <c r="B1582">
        <v>187</v>
      </c>
      <c r="C1582" t="s">
        <v>954</v>
      </c>
      <c r="D1582" t="s">
        <v>1076</v>
      </c>
      <c r="E1582" t="s">
        <v>34</v>
      </c>
      <c r="F1582" t="s">
        <v>1077</v>
      </c>
      <c r="G1582" t="s">
        <v>36</v>
      </c>
      <c r="H1582" t="s">
        <v>996</v>
      </c>
      <c r="I1582" t="s">
        <v>1076</v>
      </c>
      <c r="J1582" t="s">
        <v>2852</v>
      </c>
      <c r="K1582" s="21" t="s">
        <v>2853</v>
      </c>
      <c r="L1582" s="21" t="s">
        <v>1080</v>
      </c>
      <c r="M1582" t="s">
        <v>1081</v>
      </c>
      <c r="N1582" t="s">
        <v>961</v>
      </c>
      <c r="O1582" t="s">
        <v>962</v>
      </c>
      <c r="R1582" t="s">
        <v>1086</v>
      </c>
      <c r="S1582" t="s">
        <v>2852</v>
      </c>
      <c r="T1582" t="s">
        <v>1290</v>
      </c>
      <c r="U1582" t="s">
        <v>2036</v>
      </c>
      <c r="V1582" t="s">
        <v>2850</v>
      </c>
      <c r="W1582" t="s">
        <v>2854</v>
      </c>
    </row>
    <row r="1583" spans="1:23" ht="15" customHeight="1" x14ac:dyDescent="0.3">
      <c r="A1583" t="s">
        <v>8</v>
      </c>
      <c r="B1583">
        <v>187</v>
      </c>
      <c r="C1583" t="s">
        <v>954</v>
      </c>
      <c r="D1583" t="s">
        <v>1076</v>
      </c>
      <c r="E1583" t="s">
        <v>34</v>
      </c>
      <c r="F1583" t="s">
        <v>1077</v>
      </c>
      <c r="G1583" t="s">
        <v>36</v>
      </c>
      <c r="H1583" t="s">
        <v>996</v>
      </c>
      <c r="I1583" t="s">
        <v>1076</v>
      </c>
      <c r="J1583" t="s">
        <v>2852</v>
      </c>
      <c r="K1583" s="21" t="s">
        <v>2853</v>
      </c>
      <c r="L1583" s="21" t="s">
        <v>1080</v>
      </c>
      <c r="M1583" t="s">
        <v>1081</v>
      </c>
      <c r="N1583" t="s">
        <v>961</v>
      </c>
      <c r="O1583" t="s">
        <v>962</v>
      </c>
      <c r="R1583" t="s">
        <v>2830</v>
      </c>
      <c r="S1583" t="s">
        <v>2852</v>
      </c>
      <c r="T1583" t="s">
        <v>1290</v>
      </c>
      <c r="U1583" t="s">
        <v>2036</v>
      </c>
      <c r="V1583" t="s">
        <v>2850</v>
      </c>
      <c r="W1583" t="s">
        <v>2854</v>
      </c>
    </row>
    <row r="1584" spans="1:23" ht="15" customHeight="1" x14ac:dyDescent="0.3">
      <c r="A1584" t="s">
        <v>8</v>
      </c>
      <c r="B1584">
        <v>187</v>
      </c>
      <c r="C1584" t="s">
        <v>954</v>
      </c>
      <c r="D1584" t="s">
        <v>1076</v>
      </c>
      <c r="E1584" t="s">
        <v>34</v>
      </c>
      <c r="F1584" t="s">
        <v>1077</v>
      </c>
      <c r="G1584" t="s">
        <v>36</v>
      </c>
      <c r="H1584" t="s">
        <v>996</v>
      </c>
      <c r="I1584" t="s">
        <v>1076</v>
      </c>
      <c r="J1584" t="s">
        <v>2852</v>
      </c>
      <c r="K1584" s="21" t="s">
        <v>2853</v>
      </c>
      <c r="L1584" s="21" t="s">
        <v>1080</v>
      </c>
      <c r="M1584" t="s">
        <v>1081</v>
      </c>
      <c r="N1584" t="s">
        <v>961</v>
      </c>
      <c r="O1584" t="s">
        <v>962</v>
      </c>
      <c r="R1584" t="s">
        <v>2831</v>
      </c>
      <c r="S1584" t="s">
        <v>2852</v>
      </c>
      <c r="T1584" t="s">
        <v>1290</v>
      </c>
      <c r="U1584" t="s">
        <v>2036</v>
      </c>
      <c r="V1584" t="s">
        <v>2850</v>
      </c>
      <c r="W1584" t="s">
        <v>2854</v>
      </c>
    </row>
    <row r="1585" spans="1:23" ht="15" customHeight="1" x14ac:dyDescent="0.3">
      <c r="A1585" t="s">
        <v>8</v>
      </c>
      <c r="B1585">
        <v>187</v>
      </c>
      <c r="C1585" t="s">
        <v>954</v>
      </c>
      <c r="D1585" t="s">
        <v>1076</v>
      </c>
      <c r="E1585" t="s">
        <v>34</v>
      </c>
      <c r="F1585" t="s">
        <v>1077</v>
      </c>
      <c r="G1585" t="s">
        <v>36</v>
      </c>
      <c r="H1585" t="s">
        <v>1000</v>
      </c>
      <c r="I1585" t="s">
        <v>1076</v>
      </c>
      <c r="J1585" t="s">
        <v>2855</v>
      </c>
      <c r="K1585" s="21" t="s">
        <v>2856</v>
      </c>
      <c r="L1585" s="21" t="s">
        <v>1080</v>
      </c>
      <c r="M1585" t="s">
        <v>1081</v>
      </c>
      <c r="N1585" t="s">
        <v>961</v>
      </c>
      <c r="O1585" t="s">
        <v>962</v>
      </c>
      <c r="R1585" t="s">
        <v>1083</v>
      </c>
      <c r="S1585" t="s">
        <v>2855</v>
      </c>
      <c r="T1585" t="s">
        <v>1290</v>
      </c>
      <c r="U1585" t="s">
        <v>1296</v>
      </c>
      <c r="V1585" t="s">
        <v>1084</v>
      </c>
      <c r="W1585" t="s">
        <v>2854</v>
      </c>
    </row>
    <row r="1586" spans="1:23" ht="15" customHeight="1" x14ac:dyDescent="0.3">
      <c r="A1586" t="s">
        <v>8</v>
      </c>
      <c r="B1586">
        <v>187</v>
      </c>
      <c r="C1586" t="s">
        <v>954</v>
      </c>
      <c r="D1586" t="s">
        <v>1076</v>
      </c>
      <c r="E1586" t="s">
        <v>34</v>
      </c>
      <c r="F1586" t="s">
        <v>1077</v>
      </c>
      <c r="G1586" t="s">
        <v>36</v>
      </c>
      <c r="H1586" t="s">
        <v>1000</v>
      </c>
      <c r="I1586" t="s">
        <v>1076</v>
      </c>
      <c r="J1586" t="s">
        <v>2855</v>
      </c>
      <c r="K1586" s="21" t="s">
        <v>2856</v>
      </c>
      <c r="L1586" s="21" t="s">
        <v>1080</v>
      </c>
      <c r="M1586" t="s">
        <v>1081</v>
      </c>
      <c r="N1586" t="s">
        <v>961</v>
      </c>
      <c r="O1586" t="s">
        <v>962</v>
      </c>
      <c r="R1586" t="s">
        <v>1086</v>
      </c>
      <c r="S1586" t="s">
        <v>2855</v>
      </c>
      <c r="T1586" t="s">
        <v>1290</v>
      </c>
      <c r="U1586" t="s">
        <v>1296</v>
      </c>
      <c r="V1586" t="s">
        <v>1084</v>
      </c>
      <c r="W1586" t="s">
        <v>2854</v>
      </c>
    </row>
    <row r="1587" spans="1:23" ht="15" customHeight="1" x14ac:dyDescent="0.3">
      <c r="A1587" t="s">
        <v>8</v>
      </c>
      <c r="B1587">
        <v>187</v>
      </c>
      <c r="C1587" t="s">
        <v>954</v>
      </c>
      <c r="D1587" t="s">
        <v>1076</v>
      </c>
      <c r="E1587" t="s">
        <v>34</v>
      </c>
      <c r="F1587" t="s">
        <v>1077</v>
      </c>
      <c r="G1587" t="s">
        <v>36</v>
      </c>
      <c r="H1587" t="s">
        <v>1000</v>
      </c>
      <c r="I1587" t="s">
        <v>1076</v>
      </c>
      <c r="J1587" t="s">
        <v>2855</v>
      </c>
      <c r="K1587" s="21" t="s">
        <v>2856</v>
      </c>
      <c r="L1587" s="21" t="s">
        <v>1080</v>
      </c>
      <c r="M1587" t="s">
        <v>1081</v>
      </c>
      <c r="N1587" t="s">
        <v>961</v>
      </c>
      <c r="O1587" t="s">
        <v>962</v>
      </c>
      <c r="R1587" t="s">
        <v>2830</v>
      </c>
      <c r="S1587" t="s">
        <v>2855</v>
      </c>
      <c r="T1587" t="s">
        <v>1290</v>
      </c>
      <c r="U1587" t="s">
        <v>1296</v>
      </c>
      <c r="V1587" t="s">
        <v>1084</v>
      </c>
      <c r="W1587" t="s">
        <v>2854</v>
      </c>
    </row>
    <row r="1588" spans="1:23" ht="15" customHeight="1" x14ac:dyDescent="0.3">
      <c r="A1588" t="s">
        <v>8</v>
      </c>
      <c r="B1588">
        <v>187</v>
      </c>
      <c r="C1588" t="s">
        <v>954</v>
      </c>
      <c r="D1588" t="s">
        <v>1076</v>
      </c>
      <c r="E1588" t="s">
        <v>34</v>
      </c>
      <c r="F1588" t="s">
        <v>1077</v>
      </c>
      <c r="G1588" t="s">
        <v>36</v>
      </c>
      <c r="H1588" t="s">
        <v>1000</v>
      </c>
      <c r="I1588" t="s">
        <v>1076</v>
      </c>
      <c r="J1588" t="s">
        <v>2855</v>
      </c>
      <c r="K1588" s="21" t="s">
        <v>2856</v>
      </c>
      <c r="L1588" s="21" t="s">
        <v>1080</v>
      </c>
      <c r="M1588" t="s">
        <v>1081</v>
      </c>
      <c r="N1588" t="s">
        <v>961</v>
      </c>
      <c r="O1588" t="s">
        <v>962</v>
      </c>
      <c r="R1588" t="s">
        <v>2831</v>
      </c>
      <c r="S1588" t="s">
        <v>2855</v>
      </c>
      <c r="T1588" t="s">
        <v>1290</v>
      </c>
      <c r="U1588" t="s">
        <v>1296</v>
      </c>
      <c r="V1588" t="s">
        <v>1084</v>
      </c>
      <c r="W1588" t="s">
        <v>2854</v>
      </c>
    </row>
    <row r="1589" spans="1:23" ht="15" customHeight="1" x14ac:dyDescent="0.3">
      <c r="A1589" t="s">
        <v>8</v>
      </c>
      <c r="B1589">
        <v>187</v>
      </c>
      <c r="C1589" t="s">
        <v>954</v>
      </c>
      <c r="D1589" t="s">
        <v>1076</v>
      </c>
      <c r="E1589" t="s">
        <v>34</v>
      </c>
      <c r="F1589" t="s">
        <v>1077</v>
      </c>
      <c r="G1589" t="s">
        <v>36</v>
      </c>
      <c r="H1589" t="s">
        <v>1272</v>
      </c>
      <c r="I1589" t="s">
        <v>1076</v>
      </c>
      <c r="J1589" t="s">
        <v>2857</v>
      </c>
      <c r="K1589" s="21" t="s">
        <v>2858</v>
      </c>
      <c r="L1589" s="21" t="s">
        <v>1080</v>
      </c>
      <c r="M1589" t="s">
        <v>1081</v>
      </c>
      <c r="N1589" t="s">
        <v>961</v>
      </c>
      <c r="O1589" t="s">
        <v>962</v>
      </c>
      <c r="R1589" t="s">
        <v>1083</v>
      </c>
      <c r="S1589" t="s">
        <v>2857</v>
      </c>
      <c r="T1589" t="s">
        <v>1290</v>
      </c>
      <c r="U1589" t="s">
        <v>1291</v>
      </c>
      <c r="V1589" t="s">
        <v>2859</v>
      </c>
      <c r="W1589" t="s">
        <v>2860</v>
      </c>
    </row>
    <row r="1590" spans="1:23" ht="15" customHeight="1" x14ac:dyDescent="0.3">
      <c r="A1590" t="s">
        <v>8</v>
      </c>
      <c r="B1590">
        <v>187</v>
      </c>
      <c r="C1590" t="s">
        <v>954</v>
      </c>
      <c r="D1590" t="s">
        <v>1076</v>
      </c>
      <c r="E1590" t="s">
        <v>34</v>
      </c>
      <c r="F1590" t="s">
        <v>1077</v>
      </c>
      <c r="G1590" t="s">
        <v>36</v>
      </c>
      <c r="H1590" t="s">
        <v>1272</v>
      </c>
      <c r="I1590" t="s">
        <v>1076</v>
      </c>
      <c r="J1590" t="s">
        <v>2857</v>
      </c>
      <c r="K1590" s="21" t="s">
        <v>2858</v>
      </c>
      <c r="L1590" s="21" t="s">
        <v>1080</v>
      </c>
      <c r="M1590" t="s">
        <v>1081</v>
      </c>
      <c r="N1590" t="s">
        <v>961</v>
      </c>
      <c r="O1590" t="s">
        <v>962</v>
      </c>
      <c r="R1590" t="s">
        <v>1086</v>
      </c>
      <c r="S1590" t="s">
        <v>2857</v>
      </c>
      <c r="T1590" t="s">
        <v>1290</v>
      </c>
      <c r="U1590" t="s">
        <v>1291</v>
      </c>
      <c r="V1590" t="s">
        <v>2859</v>
      </c>
      <c r="W1590" t="s">
        <v>2860</v>
      </c>
    </row>
    <row r="1591" spans="1:23" ht="15" customHeight="1" x14ac:dyDescent="0.3">
      <c r="A1591" t="s">
        <v>8</v>
      </c>
      <c r="B1591">
        <v>187</v>
      </c>
      <c r="C1591" t="s">
        <v>954</v>
      </c>
      <c r="D1591" t="s">
        <v>1076</v>
      </c>
      <c r="E1591" t="s">
        <v>34</v>
      </c>
      <c r="F1591" t="s">
        <v>1077</v>
      </c>
      <c r="G1591" t="s">
        <v>36</v>
      </c>
      <c r="H1591" t="s">
        <v>1272</v>
      </c>
      <c r="I1591" t="s">
        <v>1076</v>
      </c>
      <c r="J1591" t="s">
        <v>2857</v>
      </c>
      <c r="K1591" s="21" t="s">
        <v>2858</v>
      </c>
      <c r="L1591" s="21" t="s">
        <v>1080</v>
      </c>
      <c r="M1591" t="s">
        <v>1081</v>
      </c>
      <c r="N1591" t="s">
        <v>961</v>
      </c>
      <c r="O1591" t="s">
        <v>962</v>
      </c>
      <c r="R1591" t="s">
        <v>2830</v>
      </c>
      <c r="S1591" t="s">
        <v>2857</v>
      </c>
      <c r="T1591" t="s">
        <v>1290</v>
      </c>
      <c r="U1591" t="s">
        <v>1291</v>
      </c>
      <c r="V1591" t="s">
        <v>2859</v>
      </c>
      <c r="W1591" t="s">
        <v>2860</v>
      </c>
    </row>
    <row r="1592" spans="1:23" ht="15" customHeight="1" x14ac:dyDescent="0.3">
      <c r="A1592" t="s">
        <v>8</v>
      </c>
      <c r="B1592">
        <v>187</v>
      </c>
      <c r="C1592" t="s">
        <v>954</v>
      </c>
      <c r="D1592" t="s">
        <v>1076</v>
      </c>
      <c r="E1592" t="s">
        <v>34</v>
      </c>
      <c r="F1592" t="s">
        <v>1077</v>
      </c>
      <c r="G1592" t="s">
        <v>36</v>
      </c>
      <c r="H1592" t="s">
        <v>1272</v>
      </c>
      <c r="I1592" t="s">
        <v>1076</v>
      </c>
      <c r="J1592" t="s">
        <v>2857</v>
      </c>
      <c r="K1592" s="21" t="s">
        <v>2858</v>
      </c>
      <c r="L1592" s="21" t="s">
        <v>1080</v>
      </c>
      <c r="M1592" t="s">
        <v>1081</v>
      </c>
      <c r="N1592" t="s">
        <v>961</v>
      </c>
      <c r="O1592" t="s">
        <v>962</v>
      </c>
      <c r="R1592" t="s">
        <v>2831</v>
      </c>
      <c r="S1592" t="s">
        <v>2857</v>
      </c>
      <c r="T1592" t="s">
        <v>1290</v>
      </c>
      <c r="U1592" t="s">
        <v>1291</v>
      </c>
      <c r="V1592" t="s">
        <v>2859</v>
      </c>
      <c r="W1592" t="s">
        <v>2860</v>
      </c>
    </row>
    <row r="1593" spans="1:23" ht="15" customHeight="1" x14ac:dyDescent="0.3">
      <c r="A1593" t="s">
        <v>8</v>
      </c>
      <c r="B1593">
        <v>189</v>
      </c>
      <c r="C1593" t="s">
        <v>954</v>
      </c>
      <c r="D1593" t="s">
        <v>1091</v>
      </c>
      <c r="E1593" t="s">
        <v>34</v>
      </c>
      <c r="F1593" t="s">
        <v>1092</v>
      </c>
      <c r="G1593" t="s">
        <v>36</v>
      </c>
      <c r="H1593" t="s">
        <v>37</v>
      </c>
      <c r="I1593" t="s">
        <v>1091</v>
      </c>
      <c r="J1593" t="s">
        <v>1093</v>
      </c>
      <c r="K1593" t="s">
        <v>1094</v>
      </c>
      <c r="L1593" s="21" t="s">
        <v>1095</v>
      </c>
      <c r="M1593" t="s">
        <v>1096</v>
      </c>
      <c r="N1593" t="s">
        <v>42</v>
      </c>
      <c r="O1593" t="s">
        <v>962</v>
      </c>
      <c r="R1593" t="s">
        <v>1098</v>
      </c>
      <c r="S1593" t="s">
        <v>1093</v>
      </c>
      <c r="T1593" t="s">
        <v>45</v>
      </c>
      <c r="U1593" t="s">
        <v>46</v>
      </c>
      <c r="V1593" t="s">
        <v>1099</v>
      </c>
      <c r="W1593" t="s">
        <v>1100</v>
      </c>
    </row>
    <row r="1594" spans="1:23" ht="15" customHeight="1" x14ac:dyDescent="0.3">
      <c r="A1594" t="s">
        <v>8</v>
      </c>
      <c r="B1594">
        <v>189</v>
      </c>
      <c r="C1594" t="s">
        <v>954</v>
      </c>
      <c r="D1594" t="s">
        <v>1091</v>
      </c>
      <c r="E1594" t="s">
        <v>34</v>
      </c>
      <c r="F1594" t="s">
        <v>1092</v>
      </c>
      <c r="G1594" t="s">
        <v>36</v>
      </c>
      <c r="H1594" t="s">
        <v>37</v>
      </c>
      <c r="I1594" t="s">
        <v>1091</v>
      </c>
      <c r="J1594" t="s">
        <v>1093</v>
      </c>
      <c r="K1594" t="s">
        <v>1094</v>
      </c>
      <c r="L1594" s="21" t="s">
        <v>1095</v>
      </c>
      <c r="M1594" t="s">
        <v>1096</v>
      </c>
      <c r="N1594" t="s">
        <v>42</v>
      </c>
      <c r="O1594" t="s">
        <v>962</v>
      </c>
      <c r="R1594" t="s">
        <v>1101</v>
      </c>
      <c r="S1594" t="s">
        <v>1093</v>
      </c>
      <c r="T1594" t="s">
        <v>45</v>
      </c>
      <c r="U1594" t="s">
        <v>46</v>
      </c>
      <c r="V1594" t="s">
        <v>1099</v>
      </c>
      <c r="W1594" t="s">
        <v>1100</v>
      </c>
    </row>
    <row r="1595" spans="1:23" ht="15" customHeight="1" x14ac:dyDescent="0.3">
      <c r="A1595" t="s">
        <v>8</v>
      </c>
      <c r="B1595">
        <v>189</v>
      </c>
      <c r="C1595" t="s">
        <v>954</v>
      </c>
      <c r="D1595" t="s">
        <v>1091</v>
      </c>
      <c r="E1595" t="s">
        <v>34</v>
      </c>
      <c r="F1595" t="s">
        <v>1092</v>
      </c>
      <c r="G1595" t="s">
        <v>36</v>
      </c>
      <c r="H1595" t="s">
        <v>37</v>
      </c>
      <c r="I1595" t="s">
        <v>1091</v>
      </c>
      <c r="J1595" t="s">
        <v>1093</v>
      </c>
      <c r="K1595" t="s">
        <v>1094</v>
      </c>
      <c r="L1595" s="21" t="s">
        <v>1095</v>
      </c>
      <c r="M1595" t="s">
        <v>1096</v>
      </c>
      <c r="N1595" t="s">
        <v>42</v>
      </c>
      <c r="O1595" t="s">
        <v>962</v>
      </c>
      <c r="R1595" t="s">
        <v>2861</v>
      </c>
      <c r="S1595" t="s">
        <v>1093</v>
      </c>
      <c r="T1595" t="s">
        <v>45</v>
      </c>
      <c r="U1595" t="s">
        <v>46</v>
      </c>
      <c r="V1595" t="s">
        <v>1099</v>
      </c>
      <c r="W1595" t="s">
        <v>1100</v>
      </c>
    </row>
    <row r="1596" spans="1:23" ht="15" customHeight="1" x14ac:dyDescent="0.3">
      <c r="A1596" t="s">
        <v>8</v>
      </c>
      <c r="B1596">
        <v>189</v>
      </c>
      <c r="C1596" t="s">
        <v>954</v>
      </c>
      <c r="D1596" t="s">
        <v>1091</v>
      </c>
      <c r="E1596" t="s">
        <v>34</v>
      </c>
      <c r="F1596" t="s">
        <v>1092</v>
      </c>
      <c r="G1596" t="s">
        <v>36</v>
      </c>
      <c r="H1596" t="s">
        <v>37</v>
      </c>
      <c r="I1596" t="s">
        <v>1091</v>
      </c>
      <c r="J1596" t="s">
        <v>1093</v>
      </c>
      <c r="K1596" t="s">
        <v>1094</v>
      </c>
      <c r="L1596" s="21" t="s">
        <v>1095</v>
      </c>
      <c r="M1596" t="s">
        <v>1096</v>
      </c>
      <c r="N1596" t="s">
        <v>42</v>
      </c>
      <c r="O1596" t="s">
        <v>962</v>
      </c>
      <c r="R1596" t="s">
        <v>2862</v>
      </c>
      <c r="S1596" t="s">
        <v>1093</v>
      </c>
      <c r="T1596" t="s">
        <v>45</v>
      </c>
      <c r="U1596" t="s">
        <v>46</v>
      </c>
      <c r="V1596" t="s">
        <v>1099</v>
      </c>
      <c r="W1596" t="s">
        <v>1100</v>
      </c>
    </row>
    <row r="1597" spans="1:23" ht="15" customHeight="1" x14ac:dyDescent="0.3">
      <c r="A1597" t="s">
        <v>8</v>
      </c>
      <c r="B1597">
        <v>189</v>
      </c>
      <c r="C1597" t="s">
        <v>954</v>
      </c>
      <c r="D1597" t="s">
        <v>1091</v>
      </c>
      <c r="E1597" t="s">
        <v>34</v>
      </c>
      <c r="F1597" t="s">
        <v>1092</v>
      </c>
      <c r="G1597" t="s">
        <v>36</v>
      </c>
      <c r="H1597" t="s">
        <v>52</v>
      </c>
      <c r="I1597" t="s">
        <v>1091</v>
      </c>
      <c r="J1597" t="s">
        <v>2863</v>
      </c>
      <c r="K1597" s="21" t="s">
        <v>2864</v>
      </c>
      <c r="L1597" s="21" t="s">
        <v>1095</v>
      </c>
      <c r="M1597" t="s">
        <v>1096</v>
      </c>
      <c r="N1597" t="s">
        <v>42</v>
      </c>
      <c r="O1597" t="s">
        <v>962</v>
      </c>
      <c r="R1597" t="s">
        <v>1098</v>
      </c>
      <c r="S1597" t="s">
        <v>2863</v>
      </c>
      <c r="T1597" t="s">
        <v>45</v>
      </c>
      <c r="U1597" t="s">
        <v>1257</v>
      </c>
      <c r="V1597" t="s">
        <v>1099</v>
      </c>
      <c r="W1597" t="s">
        <v>2865</v>
      </c>
    </row>
    <row r="1598" spans="1:23" ht="15" customHeight="1" x14ac:dyDescent="0.3">
      <c r="A1598" t="s">
        <v>8</v>
      </c>
      <c r="B1598">
        <v>189</v>
      </c>
      <c r="C1598" t="s">
        <v>954</v>
      </c>
      <c r="D1598" t="s">
        <v>1091</v>
      </c>
      <c r="E1598" t="s">
        <v>34</v>
      </c>
      <c r="F1598" t="s">
        <v>1092</v>
      </c>
      <c r="G1598" t="s">
        <v>36</v>
      </c>
      <c r="H1598" t="s">
        <v>52</v>
      </c>
      <c r="I1598" t="s">
        <v>1091</v>
      </c>
      <c r="J1598" t="s">
        <v>2863</v>
      </c>
      <c r="K1598" s="21" t="s">
        <v>2864</v>
      </c>
      <c r="L1598" s="21" t="s">
        <v>1095</v>
      </c>
      <c r="M1598" t="s">
        <v>1096</v>
      </c>
      <c r="N1598" t="s">
        <v>42</v>
      </c>
      <c r="O1598" t="s">
        <v>962</v>
      </c>
      <c r="R1598" t="s">
        <v>1101</v>
      </c>
      <c r="S1598" t="s">
        <v>2863</v>
      </c>
      <c r="T1598" t="s">
        <v>45</v>
      </c>
      <c r="U1598" t="s">
        <v>1257</v>
      </c>
      <c r="V1598" t="s">
        <v>1099</v>
      </c>
      <c r="W1598" t="s">
        <v>2865</v>
      </c>
    </row>
    <row r="1599" spans="1:23" ht="15" customHeight="1" x14ac:dyDescent="0.3">
      <c r="A1599" t="s">
        <v>8</v>
      </c>
      <c r="B1599">
        <v>189</v>
      </c>
      <c r="C1599" t="s">
        <v>954</v>
      </c>
      <c r="D1599" t="s">
        <v>1091</v>
      </c>
      <c r="E1599" t="s">
        <v>34</v>
      </c>
      <c r="F1599" t="s">
        <v>1092</v>
      </c>
      <c r="G1599" t="s">
        <v>36</v>
      </c>
      <c r="H1599" t="s">
        <v>52</v>
      </c>
      <c r="I1599" t="s">
        <v>1091</v>
      </c>
      <c r="J1599" t="s">
        <v>2863</v>
      </c>
      <c r="K1599" s="21" t="s">
        <v>2864</v>
      </c>
      <c r="L1599" s="21" t="s">
        <v>1095</v>
      </c>
      <c r="M1599" t="s">
        <v>1096</v>
      </c>
      <c r="N1599" t="s">
        <v>42</v>
      </c>
      <c r="O1599" t="s">
        <v>962</v>
      </c>
      <c r="R1599" t="s">
        <v>2861</v>
      </c>
      <c r="S1599" t="s">
        <v>2863</v>
      </c>
      <c r="T1599" t="s">
        <v>45</v>
      </c>
      <c r="U1599" t="s">
        <v>1257</v>
      </c>
      <c r="V1599" t="s">
        <v>1099</v>
      </c>
      <c r="W1599" t="s">
        <v>2865</v>
      </c>
    </row>
    <row r="1600" spans="1:23" ht="15" customHeight="1" x14ac:dyDescent="0.3">
      <c r="A1600" t="s">
        <v>8</v>
      </c>
      <c r="B1600">
        <v>189</v>
      </c>
      <c r="C1600" t="s">
        <v>954</v>
      </c>
      <c r="D1600" t="s">
        <v>1091</v>
      </c>
      <c r="E1600" t="s">
        <v>34</v>
      </c>
      <c r="F1600" t="s">
        <v>1092</v>
      </c>
      <c r="G1600" t="s">
        <v>36</v>
      </c>
      <c r="H1600" t="s">
        <v>52</v>
      </c>
      <c r="I1600" t="s">
        <v>1091</v>
      </c>
      <c r="J1600" t="s">
        <v>2863</v>
      </c>
      <c r="K1600" s="21" t="s">
        <v>2864</v>
      </c>
      <c r="L1600" s="21" t="s">
        <v>1095</v>
      </c>
      <c r="M1600" t="s">
        <v>1096</v>
      </c>
      <c r="N1600" t="s">
        <v>42</v>
      </c>
      <c r="O1600" t="s">
        <v>962</v>
      </c>
      <c r="R1600" t="s">
        <v>2862</v>
      </c>
      <c r="S1600" t="s">
        <v>2863</v>
      </c>
      <c r="T1600" t="s">
        <v>45</v>
      </c>
      <c r="U1600" t="s">
        <v>1257</v>
      </c>
      <c r="V1600" t="s">
        <v>1099</v>
      </c>
      <c r="W1600" t="s">
        <v>2865</v>
      </c>
    </row>
    <row r="1601" spans="1:23" ht="15" customHeight="1" x14ac:dyDescent="0.3">
      <c r="A1601" t="s">
        <v>8</v>
      </c>
      <c r="B1601">
        <v>189</v>
      </c>
      <c r="C1601" t="s">
        <v>954</v>
      </c>
      <c r="D1601" t="s">
        <v>1091</v>
      </c>
      <c r="E1601" t="s">
        <v>34</v>
      </c>
      <c r="F1601" t="s">
        <v>1092</v>
      </c>
      <c r="G1601" t="s">
        <v>36</v>
      </c>
      <c r="H1601" t="s">
        <v>57</v>
      </c>
      <c r="I1601" t="s">
        <v>1091</v>
      </c>
      <c r="J1601" t="s">
        <v>1103</v>
      </c>
      <c r="K1601" s="21" t="s">
        <v>1104</v>
      </c>
      <c r="L1601" s="21" t="s">
        <v>1095</v>
      </c>
      <c r="M1601" t="s">
        <v>1096</v>
      </c>
      <c r="N1601" t="s">
        <v>42</v>
      </c>
      <c r="O1601" t="s">
        <v>962</v>
      </c>
      <c r="R1601" t="s">
        <v>1098</v>
      </c>
      <c r="S1601" t="s">
        <v>1103</v>
      </c>
      <c r="T1601" t="s">
        <v>45</v>
      </c>
      <c r="U1601" t="s">
        <v>90</v>
      </c>
      <c r="V1601" t="s">
        <v>1099</v>
      </c>
      <c r="W1601" t="s">
        <v>1105</v>
      </c>
    </row>
    <row r="1602" spans="1:23" ht="15" customHeight="1" x14ac:dyDescent="0.3">
      <c r="A1602" t="s">
        <v>8</v>
      </c>
      <c r="B1602">
        <v>189</v>
      </c>
      <c r="C1602" t="s">
        <v>954</v>
      </c>
      <c r="D1602" t="s">
        <v>1091</v>
      </c>
      <c r="E1602" t="s">
        <v>34</v>
      </c>
      <c r="F1602" t="s">
        <v>1092</v>
      </c>
      <c r="G1602" t="s">
        <v>36</v>
      </c>
      <c r="H1602" t="s">
        <v>57</v>
      </c>
      <c r="I1602" t="s">
        <v>1091</v>
      </c>
      <c r="J1602" t="s">
        <v>1103</v>
      </c>
      <c r="K1602" s="21" t="s">
        <v>1104</v>
      </c>
      <c r="L1602" s="21" t="s">
        <v>1095</v>
      </c>
      <c r="M1602" t="s">
        <v>1096</v>
      </c>
      <c r="N1602" t="s">
        <v>42</v>
      </c>
      <c r="O1602" t="s">
        <v>962</v>
      </c>
      <c r="R1602" t="s">
        <v>1101</v>
      </c>
      <c r="S1602" t="s">
        <v>1103</v>
      </c>
      <c r="T1602" t="s">
        <v>45</v>
      </c>
      <c r="U1602" t="s">
        <v>90</v>
      </c>
      <c r="V1602" t="s">
        <v>1099</v>
      </c>
      <c r="W1602" t="s">
        <v>1105</v>
      </c>
    </row>
    <row r="1603" spans="1:23" ht="15" customHeight="1" x14ac:dyDescent="0.3">
      <c r="A1603" t="s">
        <v>8</v>
      </c>
      <c r="B1603">
        <v>189</v>
      </c>
      <c r="C1603" t="s">
        <v>954</v>
      </c>
      <c r="D1603" t="s">
        <v>1091</v>
      </c>
      <c r="E1603" t="s">
        <v>34</v>
      </c>
      <c r="F1603" t="s">
        <v>1092</v>
      </c>
      <c r="G1603" t="s">
        <v>36</v>
      </c>
      <c r="H1603" t="s">
        <v>57</v>
      </c>
      <c r="I1603" t="s">
        <v>1091</v>
      </c>
      <c r="J1603" t="s">
        <v>1103</v>
      </c>
      <c r="K1603" s="21" t="s">
        <v>1104</v>
      </c>
      <c r="L1603" s="21" t="s">
        <v>1095</v>
      </c>
      <c r="M1603" t="s">
        <v>1096</v>
      </c>
      <c r="N1603" t="s">
        <v>42</v>
      </c>
      <c r="O1603" t="s">
        <v>962</v>
      </c>
      <c r="R1603" t="s">
        <v>2861</v>
      </c>
      <c r="S1603" t="s">
        <v>1103</v>
      </c>
      <c r="T1603" t="s">
        <v>45</v>
      </c>
      <c r="U1603" t="s">
        <v>90</v>
      </c>
      <c r="V1603" t="s">
        <v>1099</v>
      </c>
      <c r="W1603" t="s">
        <v>1105</v>
      </c>
    </row>
    <row r="1604" spans="1:23" ht="15" customHeight="1" x14ac:dyDescent="0.3">
      <c r="A1604" t="s">
        <v>8</v>
      </c>
      <c r="B1604">
        <v>189</v>
      </c>
      <c r="C1604" t="s">
        <v>954</v>
      </c>
      <c r="D1604" t="s">
        <v>1091</v>
      </c>
      <c r="E1604" t="s">
        <v>34</v>
      </c>
      <c r="F1604" t="s">
        <v>1092</v>
      </c>
      <c r="G1604" t="s">
        <v>36</v>
      </c>
      <c r="H1604" t="s">
        <v>57</v>
      </c>
      <c r="I1604" t="s">
        <v>1091</v>
      </c>
      <c r="J1604" t="s">
        <v>1103</v>
      </c>
      <c r="K1604" s="21" t="s">
        <v>1104</v>
      </c>
      <c r="L1604" s="21" t="s">
        <v>1095</v>
      </c>
      <c r="M1604" t="s">
        <v>1096</v>
      </c>
      <c r="N1604" t="s">
        <v>42</v>
      </c>
      <c r="O1604" t="s">
        <v>962</v>
      </c>
      <c r="R1604" t="s">
        <v>2862</v>
      </c>
      <c r="S1604" t="s">
        <v>1103</v>
      </c>
      <c r="T1604" t="s">
        <v>45</v>
      </c>
      <c r="U1604" t="s">
        <v>90</v>
      </c>
      <c r="V1604" t="s">
        <v>1099</v>
      </c>
      <c r="W1604" t="s">
        <v>1105</v>
      </c>
    </row>
    <row r="1605" spans="1:23" ht="15" customHeight="1" x14ac:dyDescent="0.3">
      <c r="A1605" t="s">
        <v>8</v>
      </c>
      <c r="B1605">
        <v>189</v>
      </c>
      <c r="C1605" t="s">
        <v>954</v>
      </c>
      <c r="D1605" t="s">
        <v>1091</v>
      </c>
      <c r="E1605" t="s">
        <v>34</v>
      </c>
      <c r="F1605" t="s">
        <v>1092</v>
      </c>
      <c r="G1605" t="s">
        <v>36</v>
      </c>
      <c r="H1605" t="s">
        <v>49</v>
      </c>
      <c r="I1605" t="s">
        <v>1091</v>
      </c>
      <c r="J1605" t="s">
        <v>2866</v>
      </c>
      <c r="K1605" s="21" t="s">
        <v>2867</v>
      </c>
      <c r="L1605" s="21" t="s">
        <v>1095</v>
      </c>
      <c r="M1605" t="s">
        <v>1096</v>
      </c>
      <c r="N1605" t="s">
        <v>42</v>
      </c>
      <c r="O1605" t="s">
        <v>962</v>
      </c>
      <c r="R1605" t="s">
        <v>1098</v>
      </c>
      <c r="S1605" t="s">
        <v>2866</v>
      </c>
      <c r="T1605" t="s">
        <v>1544</v>
      </c>
      <c r="U1605" t="s">
        <v>1691</v>
      </c>
      <c r="V1605" t="s">
        <v>1099</v>
      </c>
      <c r="W1605" t="s">
        <v>2868</v>
      </c>
    </row>
    <row r="1606" spans="1:23" ht="15" customHeight="1" x14ac:dyDescent="0.3">
      <c r="A1606" t="s">
        <v>8</v>
      </c>
      <c r="B1606">
        <v>189</v>
      </c>
      <c r="C1606" t="s">
        <v>954</v>
      </c>
      <c r="D1606" t="s">
        <v>1091</v>
      </c>
      <c r="E1606" t="s">
        <v>34</v>
      </c>
      <c r="F1606" t="s">
        <v>1092</v>
      </c>
      <c r="G1606" t="s">
        <v>36</v>
      </c>
      <c r="H1606" t="s">
        <v>49</v>
      </c>
      <c r="I1606" t="s">
        <v>1091</v>
      </c>
      <c r="J1606" t="s">
        <v>2866</v>
      </c>
      <c r="K1606" s="21" t="s">
        <v>2867</v>
      </c>
      <c r="L1606" s="21" t="s">
        <v>1095</v>
      </c>
      <c r="M1606" t="s">
        <v>1096</v>
      </c>
      <c r="N1606" t="s">
        <v>42</v>
      </c>
      <c r="O1606" t="s">
        <v>962</v>
      </c>
      <c r="R1606" t="s">
        <v>1101</v>
      </c>
      <c r="S1606" t="s">
        <v>2866</v>
      </c>
      <c r="T1606" t="s">
        <v>1544</v>
      </c>
      <c r="U1606" t="s">
        <v>1691</v>
      </c>
      <c r="V1606" t="s">
        <v>1099</v>
      </c>
      <c r="W1606" t="s">
        <v>2868</v>
      </c>
    </row>
    <row r="1607" spans="1:23" ht="15" customHeight="1" x14ac:dyDescent="0.3">
      <c r="A1607" t="s">
        <v>8</v>
      </c>
      <c r="B1607">
        <v>189</v>
      </c>
      <c r="C1607" t="s">
        <v>954</v>
      </c>
      <c r="D1607" t="s">
        <v>1091</v>
      </c>
      <c r="E1607" t="s">
        <v>34</v>
      </c>
      <c r="F1607" t="s">
        <v>1092</v>
      </c>
      <c r="G1607" t="s">
        <v>36</v>
      </c>
      <c r="H1607" t="s">
        <v>49</v>
      </c>
      <c r="I1607" t="s">
        <v>1091</v>
      </c>
      <c r="J1607" t="s">
        <v>2866</v>
      </c>
      <c r="K1607" s="21" t="s">
        <v>2867</v>
      </c>
      <c r="L1607" s="21" t="s">
        <v>1095</v>
      </c>
      <c r="M1607" t="s">
        <v>1096</v>
      </c>
      <c r="N1607" t="s">
        <v>42</v>
      </c>
      <c r="O1607" t="s">
        <v>962</v>
      </c>
      <c r="R1607" t="s">
        <v>2861</v>
      </c>
      <c r="S1607" t="s">
        <v>2866</v>
      </c>
      <c r="T1607" t="s">
        <v>1544</v>
      </c>
      <c r="U1607" t="s">
        <v>1691</v>
      </c>
      <c r="V1607" t="s">
        <v>1099</v>
      </c>
      <c r="W1607" t="s">
        <v>2868</v>
      </c>
    </row>
    <row r="1608" spans="1:23" ht="15" customHeight="1" x14ac:dyDescent="0.3">
      <c r="A1608" t="s">
        <v>8</v>
      </c>
      <c r="B1608">
        <v>189</v>
      </c>
      <c r="C1608" t="s">
        <v>954</v>
      </c>
      <c r="D1608" t="s">
        <v>1091</v>
      </c>
      <c r="E1608" t="s">
        <v>34</v>
      </c>
      <c r="F1608" t="s">
        <v>1092</v>
      </c>
      <c r="G1608" t="s">
        <v>36</v>
      </c>
      <c r="H1608" t="s">
        <v>49</v>
      </c>
      <c r="I1608" t="s">
        <v>1091</v>
      </c>
      <c r="J1608" t="s">
        <v>2866</v>
      </c>
      <c r="K1608" s="21" t="s">
        <v>2867</v>
      </c>
      <c r="L1608" s="21" t="s">
        <v>1095</v>
      </c>
      <c r="M1608" t="s">
        <v>1096</v>
      </c>
      <c r="N1608" t="s">
        <v>42</v>
      </c>
      <c r="O1608" t="s">
        <v>962</v>
      </c>
      <c r="R1608" t="s">
        <v>2862</v>
      </c>
      <c r="S1608" t="s">
        <v>2866</v>
      </c>
      <c r="T1608" t="s">
        <v>1544</v>
      </c>
      <c r="U1608" t="s">
        <v>1691</v>
      </c>
      <c r="V1608" t="s">
        <v>1099</v>
      </c>
      <c r="W1608" t="s">
        <v>2868</v>
      </c>
    </row>
    <row r="1609" spans="1:23" ht="15" customHeight="1" x14ac:dyDescent="0.3">
      <c r="A1609" t="s">
        <v>8</v>
      </c>
      <c r="B1609">
        <v>189</v>
      </c>
      <c r="C1609" t="s">
        <v>954</v>
      </c>
      <c r="D1609" t="s">
        <v>1091</v>
      </c>
      <c r="E1609" t="s">
        <v>34</v>
      </c>
      <c r="F1609" t="s">
        <v>1092</v>
      </c>
      <c r="G1609" t="s">
        <v>36</v>
      </c>
      <c r="H1609" t="s">
        <v>87</v>
      </c>
      <c r="I1609" t="s">
        <v>1091</v>
      </c>
      <c r="J1609" t="s">
        <v>2869</v>
      </c>
      <c r="K1609" s="21" t="s">
        <v>2870</v>
      </c>
      <c r="L1609" s="21" t="s">
        <v>1095</v>
      </c>
      <c r="M1609" t="s">
        <v>1096</v>
      </c>
      <c r="N1609" t="s">
        <v>42</v>
      </c>
      <c r="O1609" t="s">
        <v>962</v>
      </c>
      <c r="R1609" t="s">
        <v>1098</v>
      </c>
      <c r="S1609" t="s">
        <v>2869</v>
      </c>
      <c r="T1609" t="s">
        <v>1249</v>
      </c>
      <c r="U1609" t="s">
        <v>2456</v>
      </c>
      <c r="V1609" t="s">
        <v>2871</v>
      </c>
      <c r="W1609" t="s">
        <v>2872</v>
      </c>
    </row>
    <row r="1610" spans="1:23" ht="15" customHeight="1" x14ac:dyDescent="0.3">
      <c r="A1610" t="s">
        <v>8</v>
      </c>
      <c r="B1610">
        <v>189</v>
      </c>
      <c r="C1610" t="s">
        <v>954</v>
      </c>
      <c r="D1610" t="s">
        <v>1091</v>
      </c>
      <c r="E1610" t="s">
        <v>34</v>
      </c>
      <c r="F1610" t="s">
        <v>1092</v>
      </c>
      <c r="G1610" t="s">
        <v>36</v>
      </c>
      <c r="H1610" t="s">
        <v>87</v>
      </c>
      <c r="I1610" t="s">
        <v>1091</v>
      </c>
      <c r="J1610" t="s">
        <v>2869</v>
      </c>
      <c r="K1610" s="21" t="s">
        <v>2870</v>
      </c>
      <c r="L1610" s="21" t="s">
        <v>1095</v>
      </c>
      <c r="M1610" t="s">
        <v>1096</v>
      </c>
      <c r="N1610" t="s">
        <v>42</v>
      </c>
      <c r="O1610" t="s">
        <v>962</v>
      </c>
      <c r="R1610" t="s">
        <v>1101</v>
      </c>
      <c r="S1610" t="s">
        <v>2869</v>
      </c>
      <c r="T1610" t="s">
        <v>1249</v>
      </c>
      <c r="U1610" t="s">
        <v>2456</v>
      </c>
      <c r="V1610" t="s">
        <v>2871</v>
      </c>
      <c r="W1610" t="s">
        <v>2872</v>
      </c>
    </row>
    <row r="1611" spans="1:23" ht="15" customHeight="1" x14ac:dyDescent="0.3">
      <c r="A1611" t="s">
        <v>8</v>
      </c>
      <c r="B1611">
        <v>189</v>
      </c>
      <c r="C1611" t="s">
        <v>954</v>
      </c>
      <c r="D1611" t="s">
        <v>1091</v>
      </c>
      <c r="E1611" t="s">
        <v>34</v>
      </c>
      <c r="F1611" t="s">
        <v>1092</v>
      </c>
      <c r="G1611" t="s">
        <v>36</v>
      </c>
      <c r="H1611" t="s">
        <v>87</v>
      </c>
      <c r="I1611" t="s">
        <v>1091</v>
      </c>
      <c r="J1611" t="s">
        <v>2869</v>
      </c>
      <c r="K1611" s="21" t="s">
        <v>2870</v>
      </c>
      <c r="L1611" s="21" t="s">
        <v>1095</v>
      </c>
      <c r="M1611" t="s">
        <v>1096</v>
      </c>
      <c r="N1611" t="s">
        <v>42</v>
      </c>
      <c r="O1611" t="s">
        <v>962</v>
      </c>
      <c r="R1611" t="s">
        <v>2861</v>
      </c>
      <c r="S1611" t="s">
        <v>2869</v>
      </c>
      <c r="T1611" t="s">
        <v>1249</v>
      </c>
      <c r="U1611" t="s">
        <v>2456</v>
      </c>
      <c r="V1611" t="s">
        <v>2871</v>
      </c>
      <c r="W1611" t="s">
        <v>2872</v>
      </c>
    </row>
    <row r="1612" spans="1:23" ht="15" customHeight="1" x14ac:dyDescent="0.3">
      <c r="A1612" t="s">
        <v>8</v>
      </c>
      <c r="B1612">
        <v>189</v>
      </c>
      <c r="C1612" t="s">
        <v>954</v>
      </c>
      <c r="D1612" t="s">
        <v>1091</v>
      </c>
      <c r="E1612" t="s">
        <v>34</v>
      </c>
      <c r="F1612" t="s">
        <v>1092</v>
      </c>
      <c r="G1612" t="s">
        <v>36</v>
      </c>
      <c r="H1612" t="s">
        <v>87</v>
      </c>
      <c r="I1612" t="s">
        <v>1091</v>
      </c>
      <c r="J1612" t="s">
        <v>2869</v>
      </c>
      <c r="K1612" s="21" t="s">
        <v>2870</v>
      </c>
      <c r="L1612" s="21" t="s">
        <v>1095</v>
      </c>
      <c r="M1612" t="s">
        <v>1096</v>
      </c>
      <c r="N1612" t="s">
        <v>42</v>
      </c>
      <c r="O1612" t="s">
        <v>962</v>
      </c>
      <c r="R1612" t="s">
        <v>2862</v>
      </c>
      <c r="S1612" t="s">
        <v>2869</v>
      </c>
      <c r="T1612" t="s">
        <v>1249</v>
      </c>
      <c r="U1612" t="s">
        <v>2456</v>
      </c>
      <c r="V1612" t="s">
        <v>2871</v>
      </c>
      <c r="W1612" t="s">
        <v>2872</v>
      </c>
    </row>
    <row r="1613" spans="1:23" ht="15" customHeight="1" x14ac:dyDescent="0.3">
      <c r="A1613" t="s">
        <v>8</v>
      </c>
      <c r="B1613">
        <v>189</v>
      </c>
      <c r="C1613" t="s">
        <v>954</v>
      </c>
      <c r="D1613" t="s">
        <v>1091</v>
      </c>
      <c r="E1613" t="s">
        <v>34</v>
      </c>
      <c r="F1613" t="s">
        <v>1092</v>
      </c>
      <c r="G1613" t="s">
        <v>36</v>
      </c>
      <c r="H1613" t="s">
        <v>421</v>
      </c>
      <c r="I1613" t="s">
        <v>1091</v>
      </c>
      <c r="J1613" t="s">
        <v>2873</v>
      </c>
      <c r="K1613" s="21" t="s">
        <v>2874</v>
      </c>
      <c r="L1613" s="21" t="s">
        <v>1095</v>
      </c>
      <c r="M1613" t="s">
        <v>1096</v>
      </c>
      <c r="N1613" t="s">
        <v>42</v>
      </c>
      <c r="O1613" t="s">
        <v>962</v>
      </c>
      <c r="R1613" t="s">
        <v>1098</v>
      </c>
      <c r="S1613" t="s">
        <v>2873</v>
      </c>
      <c r="T1613" t="s">
        <v>1249</v>
      </c>
      <c r="U1613" t="s">
        <v>1444</v>
      </c>
      <c r="V1613" t="s">
        <v>2871</v>
      </c>
      <c r="W1613" t="s">
        <v>2872</v>
      </c>
    </row>
    <row r="1614" spans="1:23" ht="15" customHeight="1" x14ac:dyDescent="0.3">
      <c r="A1614" t="s">
        <v>8</v>
      </c>
      <c r="B1614">
        <v>189</v>
      </c>
      <c r="C1614" t="s">
        <v>954</v>
      </c>
      <c r="D1614" t="s">
        <v>1091</v>
      </c>
      <c r="E1614" t="s">
        <v>34</v>
      </c>
      <c r="F1614" t="s">
        <v>1092</v>
      </c>
      <c r="G1614" t="s">
        <v>36</v>
      </c>
      <c r="H1614" t="s">
        <v>421</v>
      </c>
      <c r="I1614" t="s">
        <v>1091</v>
      </c>
      <c r="J1614" t="s">
        <v>2873</v>
      </c>
      <c r="K1614" s="21" t="s">
        <v>2874</v>
      </c>
      <c r="L1614" s="21" t="s">
        <v>1095</v>
      </c>
      <c r="M1614" t="s">
        <v>1096</v>
      </c>
      <c r="N1614" t="s">
        <v>42</v>
      </c>
      <c r="O1614" t="s">
        <v>962</v>
      </c>
      <c r="R1614" t="s">
        <v>1101</v>
      </c>
      <c r="S1614" t="s">
        <v>2873</v>
      </c>
      <c r="T1614" t="s">
        <v>1249</v>
      </c>
      <c r="U1614" t="s">
        <v>1444</v>
      </c>
      <c r="V1614" t="s">
        <v>2871</v>
      </c>
      <c r="W1614" t="s">
        <v>2872</v>
      </c>
    </row>
    <row r="1615" spans="1:23" ht="15" customHeight="1" x14ac:dyDescent="0.3">
      <c r="A1615" t="s">
        <v>8</v>
      </c>
      <c r="B1615">
        <v>189</v>
      </c>
      <c r="C1615" t="s">
        <v>954</v>
      </c>
      <c r="D1615" t="s">
        <v>1091</v>
      </c>
      <c r="E1615" t="s">
        <v>34</v>
      </c>
      <c r="F1615" t="s">
        <v>1092</v>
      </c>
      <c r="G1615" t="s">
        <v>36</v>
      </c>
      <c r="H1615" t="s">
        <v>421</v>
      </c>
      <c r="I1615" t="s">
        <v>1091</v>
      </c>
      <c r="J1615" t="s">
        <v>2873</v>
      </c>
      <c r="K1615" s="21" t="s">
        <v>2874</v>
      </c>
      <c r="L1615" s="21" t="s">
        <v>1095</v>
      </c>
      <c r="M1615" t="s">
        <v>1096</v>
      </c>
      <c r="N1615" t="s">
        <v>42</v>
      </c>
      <c r="O1615" t="s">
        <v>962</v>
      </c>
      <c r="R1615" t="s">
        <v>2861</v>
      </c>
      <c r="S1615" t="s">
        <v>2873</v>
      </c>
      <c r="T1615" t="s">
        <v>1249</v>
      </c>
      <c r="U1615" t="s">
        <v>1444</v>
      </c>
      <c r="V1615" t="s">
        <v>2871</v>
      </c>
      <c r="W1615" t="s">
        <v>2872</v>
      </c>
    </row>
    <row r="1616" spans="1:23" ht="15" customHeight="1" x14ac:dyDescent="0.3">
      <c r="A1616" t="s">
        <v>8</v>
      </c>
      <c r="B1616">
        <v>189</v>
      </c>
      <c r="C1616" t="s">
        <v>954</v>
      </c>
      <c r="D1616" t="s">
        <v>1091</v>
      </c>
      <c r="E1616" t="s">
        <v>34</v>
      </c>
      <c r="F1616" t="s">
        <v>1092</v>
      </c>
      <c r="G1616" t="s">
        <v>36</v>
      </c>
      <c r="H1616" t="s">
        <v>421</v>
      </c>
      <c r="I1616" t="s">
        <v>1091</v>
      </c>
      <c r="J1616" t="s">
        <v>2873</v>
      </c>
      <c r="K1616" s="21" t="s">
        <v>2874</v>
      </c>
      <c r="L1616" s="21" t="s">
        <v>1095</v>
      </c>
      <c r="M1616" t="s">
        <v>1096</v>
      </c>
      <c r="N1616" t="s">
        <v>42</v>
      </c>
      <c r="O1616" t="s">
        <v>962</v>
      </c>
      <c r="R1616" t="s">
        <v>2862</v>
      </c>
      <c r="S1616" t="s">
        <v>2873</v>
      </c>
      <c r="T1616" t="s">
        <v>1249</v>
      </c>
      <c r="U1616" t="s">
        <v>1444</v>
      </c>
      <c r="V1616" t="s">
        <v>2871</v>
      </c>
      <c r="W1616" t="s">
        <v>2872</v>
      </c>
    </row>
    <row r="1617" spans="1:23" ht="15" customHeight="1" x14ac:dyDescent="0.3">
      <c r="A1617" t="s">
        <v>8</v>
      </c>
      <c r="B1617">
        <v>189</v>
      </c>
      <c r="C1617" t="s">
        <v>954</v>
      </c>
      <c r="D1617" t="s">
        <v>1091</v>
      </c>
      <c r="E1617" t="s">
        <v>34</v>
      </c>
      <c r="F1617" t="s">
        <v>1092</v>
      </c>
      <c r="G1617" t="s">
        <v>36</v>
      </c>
      <c r="H1617" t="s">
        <v>182</v>
      </c>
      <c r="I1617" t="s">
        <v>1091</v>
      </c>
      <c r="J1617" t="s">
        <v>2875</v>
      </c>
      <c r="K1617" s="21" t="s">
        <v>2876</v>
      </c>
      <c r="L1617" s="21" t="s">
        <v>1095</v>
      </c>
      <c r="M1617" t="s">
        <v>1096</v>
      </c>
      <c r="N1617" t="s">
        <v>42</v>
      </c>
      <c r="O1617" t="s">
        <v>962</v>
      </c>
      <c r="R1617" t="s">
        <v>1098</v>
      </c>
      <c r="S1617" t="s">
        <v>2875</v>
      </c>
      <c r="T1617" t="s">
        <v>1290</v>
      </c>
      <c r="U1617" t="s">
        <v>1291</v>
      </c>
      <c r="V1617" t="s">
        <v>1099</v>
      </c>
      <c r="W1617" t="s">
        <v>2877</v>
      </c>
    </row>
    <row r="1618" spans="1:23" ht="15" customHeight="1" x14ac:dyDescent="0.3">
      <c r="A1618" t="s">
        <v>8</v>
      </c>
      <c r="B1618">
        <v>189</v>
      </c>
      <c r="C1618" t="s">
        <v>954</v>
      </c>
      <c r="D1618" t="s">
        <v>1091</v>
      </c>
      <c r="E1618" t="s">
        <v>34</v>
      </c>
      <c r="F1618" t="s">
        <v>1092</v>
      </c>
      <c r="G1618" t="s">
        <v>36</v>
      </c>
      <c r="H1618" t="s">
        <v>182</v>
      </c>
      <c r="I1618" t="s">
        <v>1091</v>
      </c>
      <c r="J1618" t="s">
        <v>2875</v>
      </c>
      <c r="K1618" s="21" t="s">
        <v>2876</v>
      </c>
      <c r="L1618" s="21" t="s">
        <v>1095</v>
      </c>
      <c r="M1618" t="s">
        <v>1096</v>
      </c>
      <c r="N1618" t="s">
        <v>42</v>
      </c>
      <c r="O1618" t="s">
        <v>962</v>
      </c>
      <c r="R1618" t="s">
        <v>1101</v>
      </c>
      <c r="S1618" t="s">
        <v>2875</v>
      </c>
      <c r="T1618" t="s">
        <v>1290</v>
      </c>
      <c r="U1618" t="s">
        <v>1291</v>
      </c>
      <c r="V1618" t="s">
        <v>1099</v>
      </c>
      <c r="W1618" t="s">
        <v>2877</v>
      </c>
    </row>
    <row r="1619" spans="1:23" ht="15" customHeight="1" x14ac:dyDescent="0.3">
      <c r="A1619" t="s">
        <v>8</v>
      </c>
      <c r="B1619">
        <v>189</v>
      </c>
      <c r="C1619" t="s">
        <v>954</v>
      </c>
      <c r="D1619" t="s">
        <v>1091</v>
      </c>
      <c r="E1619" t="s">
        <v>34</v>
      </c>
      <c r="F1619" t="s">
        <v>1092</v>
      </c>
      <c r="G1619" t="s">
        <v>36</v>
      </c>
      <c r="H1619" t="s">
        <v>182</v>
      </c>
      <c r="I1619" t="s">
        <v>1091</v>
      </c>
      <c r="J1619" t="s">
        <v>2875</v>
      </c>
      <c r="K1619" s="21" t="s">
        <v>2876</v>
      </c>
      <c r="L1619" s="21" t="s">
        <v>1095</v>
      </c>
      <c r="M1619" t="s">
        <v>1096</v>
      </c>
      <c r="N1619" t="s">
        <v>42</v>
      </c>
      <c r="O1619" t="s">
        <v>962</v>
      </c>
      <c r="R1619" t="s">
        <v>2861</v>
      </c>
      <c r="S1619" t="s">
        <v>2875</v>
      </c>
      <c r="T1619" t="s">
        <v>1290</v>
      </c>
      <c r="U1619" t="s">
        <v>1291</v>
      </c>
      <c r="V1619" t="s">
        <v>1099</v>
      </c>
      <c r="W1619" t="s">
        <v>2877</v>
      </c>
    </row>
    <row r="1620" spans="1:23" ht="15" customHeight="1" x14ac:dyDescent="0.3">
      <c r="A1620" t="s">
        <v>8</v>
      </c>
      <c r="B1620">
        <v>189</v>
      </c>
      <c r="C1620" t="s">
        <v>954</v>
      </c>
      <c r="D1620" t="s">
        <v>1091</v>
      </c>
      <c r="E1620" t="s">
        <v>34</v>
      </c>
      <c r="F1620" t="s">
        <v>1092</v>
      </c>
      <c r="G1620" t="s">
        <v>36</v>
      </c>
      <c r="H1620" t="s">
        <v>182</v>
      </c>
      <c r="I1620" t="s">
        <v>1091</v>
      </c>
      <c r="J1620" t="s">
        <v>2875</v>
      </c>
      <c r="K1620" s="21" t="s">
        <v>2876</v>
      </c>
      <c r="L1620" s="21" t="s">
        <v>1095</v>
      </c>
      <c r="M1620" t="s">
        <v>1096</v>
      </c>
      <c r="N1620" t="s">
        <v>42</v>
      </c>
      <c r="O1620" t="s">
        <v>962</v>
      </c>
      <c r="R1620" t="s">
        <v>2862</v>
      </c>
      <c r="S1620" t="s">
        <v>2875</v>
      </c>
      <c r="T1620" t="s">
        <v>1290</v>
      </c>
      <c r="U1620" t="s">
        <v>1291</v>
      </c>
      <c r="V1620" t="s">
        <v>1099</v>
      </c>
      <c r="W1620" t="s">
        <v>2877</v>
      </c>
    </row>
    <row r="1621" spans="1:23" ht="15" customHeight="1" x14ac:dyDescent="0.3">
      <c r="A1621" t="s">
        <v>8</v>
      </c>
      <c r="B1621">
        <v>189</v>
      </c>
      <c r="C1621" t="s">
        <v>954</v>
      </c>
      <c r="D1621" t="s">
        <v>1091</v>
      </c>
      <c r="E1621" t="s">
        <v>34</v>
      </c>
      <c r="F1621" t="s">
        <v>1092</v>
      </c>
      <c r="G1621" t="s">
        <v>36</v>
      </c>
      <c r="H1621" t="s">
        <v>1242</v>
      </c>
      <c r="I1621" t="s">
        <v>1091</v>
      </c>
      <c r="J1621" t="s">
        <v>2878</v>
      </c>
      <c r="K1621" s="21" t="s">
        <v>2879</v>
      </c>
      <c r="L1621" s="21" t="s">
        <v>1095</v>
      </c>
      <c r="M1621" t="s">
        <v>1096</v>
      </c>
      <c r="N1621" t="s">
        <v>42</v>
      </c>
      <c r="O1621" t="s">
        <v>962</v>
      </c>
      <c r="R1621" t="s">
        <v>1098</v>
      </c>
      <c r="S1621" t="s">
        <v>2878</v>
      </c>
      <c r="T1621" t="s">
        <v>1290</v>
      </c>
      <c r="U1621" t="s">
        <v>2036</v>
      </c>
      <c r="V1621" t="s">
        <v>2880</v>
      </c>
      <c r="W1621" t="s">
        <v>2877</v>
      </c>
    </row>
    <row r="1622" spans="1:23" ht="15" customHeight="1" x14ac:dyDescent="0.3">
      <c r="A1622" t="s">
        <v>8</v>
      </c>
      <c r="B1622">
        <v>189</v>
      </c>
      <c r="C1622" t="s">
        <v>954</v>
      </c>
      <c r="D1622" t="s">
        <v>1091</v>
      </c>
      <c r="E1622" t="s">
        <v>34</v>
      </c>
      <c r="F1622" t="s">
        <v>1092</v>
      </c>
      <c r="G1622" t="s">
        <v>36</v>
      </c>
      <c r="H1622" t="s">
        <v>1242</v>
      </c>
      <c r="I1622" t="s">
        <v>1091</v>
      </c>
      <c r="J1622" t="s">
        <v>2878</v>
      </c>
      <c r="K1622" s="21" t="s">
        <v>2879</v>
      </c>
      <c r="L1622" s="21" t="s">
        <v>1095</v>
      </c>
      <c r="M1622" t="s">
        <v>1096</v>
      </c>
      <c r="N1622" t="s">
        <v>42</v>
      </c>
      <c r="O1622" t="s">
        <v>962</v>
      </c>
      <c r="R1622" t="s">
        <v>1101</v>
      </c>
      <c r="S1622" t="s">
        <v>2878</v>
      </c>
      <c r="T1622" t="s">
        <v>1290</v>
      </c>
      <c r="U1622" t="s">
        <v>2036</v>
      </c>
      <c r="V1622" t="s">
        <v>2880</v>
      </c>
      <c r="W1622" t="s">
        <v>2877</v>
      </c>
    </row>
    <row r="1623" spans="1:23" ht="15" customHeight="1" x14ac:dyDescent="0.3">
      <c r="A1623" t="s">
        <v>8</v>
      </c>
      <c r="B1623">
        <v>189</v>
      </c>
      <c r="C1623" t="s">
        <v>954</v>
      </c>
      <c r="D1623" t="s">
        <v>1091</v>
      </c>
      <c r="E1623" t="s">
        <v>34</v>
      </c>
      <c r="F1623" t="s">
        <v>1092</v>
      </c>
      <c r="G1623" t="s">
        <v>36</v>
      </c>
      <c r="H1623" t="s">
        <v>1242</v>
      </c>
      <c r="I1623" t="s">
        <v>1091</v>
      </c>
      <c r="J1623" t="s">
        <v>2878</v>
      </c>
      <c r="K1623" s="21" t="s">
        <v>2879</v>
      </c>
      <c r="L1623" s="21" t="s">
        <v>1095</v>
      </c>
      <c r="M1623" t="s">
        <v>1096</v>
      </c>
      <c r="N1623" t="s">
        <v>42</v>
      </c>
      <c r="O1623" t="s">
        <v>962</v>
      </c>
      <c r="R1623" t="s">
        <v>2861</v>
      </c>
      <c r="S1623" t="s">
        <v>2878</v>
      </c>
      <c r="T1623" t="s">
        <v>1290</v>
      </c>
      <c r="U1623" t="s">
        <v>2036</v>
      </c>
      <c r="V1623" t="s">
        <v>2880</v>
      </c>
      <c r="W1623" t="s">
        <v>2877</v>
      </c>
    </row>
    <row r="1624" spans="1:23" ht="15" customHeight="1" x14ac:dyDescent="0.3">
      <c r="A1624" t="s">
        <v>8</v>
      </c>
      <c r="B1624">
        <v>189</v>
      </c>
      <c r="C1624" t="s">
        <v>954</v>
      </c>
      <c r="D1624" t="s">
        <v>1091</v>
      </c>
      <c r="E1624" t="s">
        <v>34</v>
      </c>
      <c r="F1624" t="s">
        <v>1092</v>
      </c>
      <c r="G1624" t="s">
        <v>36</v>
      </c>
      <c r="H1624" t="s">
        <v>1242</v>
      </c>
      <c r="I1624" t="s">
        <v>1091</v>
      </c>
      <c r="J1624" t="s">
        <v>2878</v>
      </c>
      <c r="K1624" s="21" t="s">
        <v>2879</v>
      </c>
      <c r="L1624" s="21" t="s">
        <v>1095</v>
      </c>
      <c r="M1624" t="s">
        <v>1096</v>
      </c>
      <c r="N1624" t="s">
        <v>42</v>
      </c>
      <c r="O1624" t="s">
        <v>962</v>
      </c>
      <c r="R1624" t="s">
        <v>2862</v>
      </c>
      <c r="S1624" t="s">
        <v>2878</v>
      </c>
      <c r="T1624" t="s">
        <v>1290</v>
      </c>
      <c r="U1624" t="s">
        <v>2036</v>
      </c>
      <c r="V1624" t="s">
        <v>2880</v>
      </c>
      <c r="W1624" t="s">
        <v>2877</v>
      </c>
    </row>
    <row r="1625" spans="1:23" ht="15" customHeight="1" x14ac:dyDescent="0.3">
      <c r="A1625" t="s">
        <v>8</v>
      </c>
      <c r="B1625">
        <v>189</v>
      </c>
      <c r="C1625" t="s">
        <v>954</v>
      </c>
      <c r="D1625" t="s">
        <v>1091</v>
      </c>
      <c r="E1625" t="s">
        <v>34</v>
      </c>
      <c r="F1625" t="s">
        <v>1092</v>
      </c>
      <c r="G1625" t="s">
        <v>36</v>
      </c>
      <c r="H1625" t="s">
        <v>425</v>
      </c>
      <c r="I1625" t="s">
        <v>1091</v>
      </c>
      <c r="J1625" t="s">
        <v>2881</v>
      </c>
      <c r="K1625" s="21" t="s">
        <v>2882</v>
      </c>
      <c r="L1625" s="21" t="s">
        <v>1095</v>
      </c>
      <c r="M1625" t="s">
        <v>1096</v>
      </c>
      <c r="N1625" t="s">
        <v>42</v>
      </c>
      <c r="O1625" t="s">
        <v>962</v>
      </c>
      <c r="R1625" t="s">
        <v>1098</v>
      </c>
      <c r="S1625" t="s">
        <v>2881</v>
      </c>
      <c r="T1625" t="s">
        <v>1290</v>
      </c>
      <c r="U1625" t="s">
        <v>1296</v>
      </c>
      <c r="V1625" t="s">
        <v>1099</v>
      </c>
      <c r="W1625" t="s">
        <v>2877</v>
      </c>
    </row>
    <row r="1626" spans="1:23" ht="15" customHeight="1" x14ac:dyDescent="0.3">
      <c r="A1626" t="s">
        <v>8</v>
      </c>
      <c r="B1626">
        <v>189</v>
      </c>
      <c r="C1626" t="s">
        <v>954</v>
      </c>
      <c r="D1626" t="s">
        <v>1091</v>
      </c>
      <c r="E1626" t="s">
        <v>34</v>
      </c>
      <c r="F1626" t="s">
        <v>1092</v>
      </c>
      <c r="G1626" t="s">
        <v>36</v>
      </c>
      <c r="H1626" t="s">
        <v>425</v>
      </c>
      <c r="I1626" t="s">
        <v>1091</v>
      </c>
      <c r="J1626" t="s">
        <v>2881</v>
      </c>
      <c r="K1626" s="21" t="s">
        <v>2882</v>
      </c>
      <c r="L1626" s="21" t="s">
        <v>1095</v>
      </c>
      <c r="M1626" t="s">
        <v>1096</v>
      </c>
      <c r="N1626" t="s">
        <v>42</v>
      </c>
      <c r="O1626" t="s">
        <v>962</v>
      </c>
      <c r="R1626" t="s">
        <v>1101</v>
      </c>
      <c r="S1626" t="s">
        <v>2881</v>
      </c>
      <c r="T1626" t="s">
        <v>1290</v>
      </c>
      <c r="U1626" t="s">
        <v>1296</v>
      </c>
      <c r="V1626" t="s">
        <v>1099</v>
      </c>
      <c r="W1626" t="s">
        <v>2877</v>
      </c>
    </row>
    <row r="1627" spans="1:23" ht="15" customHeight="1" x14ac:dyDescent="0.3">
      <c r="A1627" t="s">
        <v>8</v>
      </c>
      <c r="B1627">
        <v>189</v>
      </c>
      <c r="C1627" t="s">
        <v>954</v>
      </c>
      <c r="D1627" t="s">
        <v>1091</v>
      </c>
      <c r="E1627" t="s">
        <v>34</v>
      </c>
      <c r="F1627" t="s">
        <v>1092</v>
      </c>
      <c r="G1627" t="s">
        <v>36</v>
      </c>
      <c r="H1627" t="s">
        <v>425</v>
      </c>
      <c r="I1627" t="s">
        <v>1091</v>
      </c>
      <c r="J1627" t="s">
        <v>2881</v>
      </c>
      <c r="K1627" s="21" t="s">
        <v>2882</v>
      </c>
      <c r="L1627" s="21" t="s">
        <v>1095</v>
      </c>
      <c r="M1627" t="s">
        <v>1096</v>
      </c>
      <c r="N1627" t="s">
        <v>42</v>
      </c>
      <c r="O1627" t="s">
        <v>962</v>
      </c>
      <c r="R1627" t="s">
        <v>2861</v>
      </c>
      <c r="S1627" t="s">
        <v>2881</v>
      </c>
      <c r="T1627" t="s">
        <v>1290</v>
      </c>
      <c r="U1627" t="s">
        <v>1296</v>
      </c>
      <c r="V1627" t="s">
        <v>1099</v>
      </c>
      <c r="W1627" t="s">
        <v>2877</v>
      </c>
    </row>
    <row r="1628" spans="1:23" ht="15" customHeight="1" x14ac:dyDescent="0.3">
      <c r="A1628" t="s">
        <v>8</v>
      </c>
      <c r="B1628">
        <v>189</v>
      </c>
      <c r="C1628" t="s">
        <v>954</v>
      </c>
      <c r="D1628" t="s">
        <v>1091</v>
      </c>
      <c r="E1628" t="s">
        <v>34</v>
      </c>
      <c r="F1628" t="s">
        <v>1092</v>
      </c>
      <c r="G1628" t="s">
        <v>36</v>
      </c>
      <c r="H1628" t="s">
        <v>425</v>
      </c>
      <c r="I1628" t="s">
        <v>1091</v>
      </c>
      <c r="J1628" t="s">
        <v>2881</v>
      </c>
      <c r="K1628" s="21" t="s">
        <v>2882</v>
      </c>
      <c r="L1628" s="21" t="s">
        <v>1095</v>
      </c>
      <c r="M1628" t="s">
        <v>1096</v>
      </c>
      <c r="N1628" t="s">
        <v>42</v>
      </c>
      <c r="O1628" t="s">
        <v>962</v>
      </c>
      <c r="R1628" t="s">
        <v>2862</v>
      </c>
      <c r="S1628" t="s">
        <v>2881</v>
      </c>
      <c r="T1628" t="s">
        <v>1290</v>
      </c>
      <c r="U1628" t="s">
        <v>1296</v>
      </c>
      <c r="V1628" t="s">
        <v>1099</v>
      </c>
      <c r="W1628" t="s">
        <v>2877</v>
      </c>
    </row>
    <row r="1629" spans="1:23" ht="15" customHeight="1" x14ac:dyDescent="0.3">
      <c r="A1629" t="s">
        <v>8</v>
      </c>
      <c r="B1629">
        <v>192</v>
      </c>
      <c r="C1629" t="s">
        <v>954</v>
      </c>
      <c r="D1629" t="s">
        <v>2883</v>
      </c>
      <c r="E1629" t="s">
        <v>34</v>
      </c>
      <c r="F1629" t="s">
        <v>2884</v>
      </c>
      <c r="G1629" t="s">
        <v>440</v>
      </c>
      <c r="H1629" t="s">
        <v>37</v>
      </c>
      <c r="I1629" t="s">
        <v>2883</v>
      </c>
      <c r="J1629" t="s">
        <v>2885</v>
      </c>
      <c r="K1629" t="s">
        <v>2886</v>
      </c>
      <c r="L1629" s="21" t="s">
        <v>2887</v>
      </c>
      <c r="M1629" t="s">
        <v>2888</v>
      </c>
      <c r="N1629" t="s">
        <v>961</v>
      </c>
      <c r="R1629" t="s">
        <v>2889</v>
      </c>
      <c r="S1629" t="s">
        <v>2885</v>
      </c>
      <c r="T1629" t="s">
        <v>1231</v>
      </c>
      <c r="U1629" t="s">
        <v>1232</v>
      </c>
      <c r="V1629" t="s">
        <v>2890</v>
      </c>
      <c r="W1629" t="s">
        <v>2891</v>
      </c>
    </row>
    <row r="1630" spans="1:23" ht="15" customHeight="1" x14ac:dyDescent="0.3">
      <c r="A1630" t="s">
        <v>8</v>
      </c>
      <c r="B1630">
        <v>192</v>
      </c>
      <c r="C1630" t="s">
        <v>954</v>
      </c>
      <c r="D1630" t="s">
        <v>2883</v>
      </c>
      <c r="E1630" t="s">
        <v>34</v>
      </c>
      <c r="F1630" t="s">
        <v>2884</v>
      </c>
      <c r="G1630" t="s">
        <v>440</v>
      </c>
      <c r="H1630" t="s">
        <v>52</v>
      </c>
      <c r="I1630" t="s">
        <v>2883</v>
      </c>
      <c r="J1630" t="s">
        <v>2892</v>
      </c>
      <c r="K1630" s="21" t="s">
        <v>2893</v>
      </c>
      <c r="L1630" s="21" t="s">
        <v>2887</v>
      </c>
      <c r="M1630" t="s">
        <v>2888</v>
      </c>
      <c r="N1630" t="s">
        <v>961</v>
      </c>
      <c r="R1630" t="s">
        <v>2889</v>
      </c>
      <c r="S1630" t="s">
        <v>2892</v>
      </c>
      <c r="T1630" t="s">
        <v>1249</v>
      </c>
      <c r="U1630" t="s">
        <v>1449</v>
      </c>
      <c r="V1630" t="s">
        <v>2894</v>
      </c>
      <c r="W1630" t="s">
        <v>2895</v>
      </c>
    </row>
    <row r="1631" spans="1:23" ht="15" customHeight="1" x14ac:dyDescent="0.3">
      <c r="A1631" t="s">
        <v>8</v>
      </c>
      <c r="B1631">
        <v>192</v>
      </c>
      <c r="C1631" t="s">
        <v>954</v>
      </c>
      <c r="D1631" t="s">
        <v>2883</v>
      </c>
      <c r="E1631" t="s">
        <v>34</v>
      </c>
      <c r="F1631" t="s">
        <v>2884</v>
      </c>
      <c r="G1631" t="s">
        <v>440</v>
      </c>
      <c r="H1631" t="s">
        <v>57</v>
      </c>
      <c r="I1631" t="s">
        <v>2883</v>
      </c>
      <c r="J1631" t="s">
        <v>2896</v>
      </c>
      <c r="K1631" s="21" t="s">
        <v>2897</v>
      </c>
      <c r="L1631" s="21" t="s">
        <v>2887</v>
      </c>
      <c r="M1631" t="s">
        <v>2888</v>
      </c>
      <c r="N1631" t="s">
        <v>961</v>
      </c>
      <c r="R1631" t="s">
        <v>2889</v>
      </c>
      <c r="S1631" t="s">
        <v>2896</v>
      </c>
      <c r="T1631" t="s">
        <v>1249</v>
      </c>
      <c r="U1631" t="s">
        <v>1449</v>
      </c>
      <c r="V1631" t="s">
        <v>2898</v>
      </c>
      <c r="W1631" t="s">
        <v>2899</v>
      </c>
    </row>
    <row r="1632" spans="1:23" ht="15" customHeight="1" x14ac:dyDescent="0.3">
      <c r="A1632" t="s">
        <v>8</v>
      </c>
      <c r="B1632">
        <v>190</v>
      </c>
      <c r="C1632" t="s">
        <v>954</v>
      </c>
      <c r="D1632" t="s">
        <v>2900</v>
      </c>
      <c r="E1632" t="s">
        <v>34</v>
      </c>
      <c r="F1632" t="s">
        <v>2901</v>
      </c>
      <c r="G1632" t="s">
        <v>440</v>
      </c>
      <c r="H1632" t="s">
        <v>2900</v>
      </c>
      <c r="I1632" t="s">
        <v>2900</v>
      </c>
      <c r="J1632" t="s">
        <v>2902</v>
      </c>
      <c r="K1632" t="s">
        <v>2903</v>
      </c>
      <c r="L1632" t="s">
        <v>2903</v>
      </c>
      <c r="M1632" t="s">
        <v>2904</v>
      </c>
      <c r="N1632" t="s">
        <v>42</v>
      </c>
      <c r="R1632" t="s">
        <v>2905</v>
      </c>
      <c r="S1632" t="s">
        <v>2902</v>
      </c>
      <c r="T1632" t="s">
        <v>1249</v>
      </c>
      <c r="U1632" t="s">
        <v>2456</v>
      </c>
      <c r="V1632" t="s">
        <v>2906</v>
      </c>
      <c r="W1632" t="s">
        <v>2907</v>
      </c>
    </row>
    <row r="1633" spans="1:23" ht="15" customHeight="1" x14ac:dyDescent="0.3">
      <c r="A1633" t="s">
        <v>8</v>
      </c>
      <c r="B1633">
        <v>190</v>
      </c>
      <c r="C1633" t="s">
        <v>954</v>
      </c>
      <c r="D1633" t="s">
        <v>2900</v>
      </c>
      <c r="E1633" t="s">
        <v>34</v>
      </c>
      <c r="F1633" t="s">
        <v>2901</v>
      </c>
      <c r="G1633" t="s">
        <v>440</v>
      </c>
      <c r="H1633" t="s">
        <v>2900</v>
      </c>
      <c r="I1633" t="s">
        <v>2900</v>
      </c>
      <c r="J1633" t="s">
        <v>2902</v>
      </c>
      <c r="K1633" t="s">
        <v>2903</v>
      </c>
      <c r="L1633" t="s">
        <v>2903</v>
      </c>
      <c r="M1633" t="s">
        <v>2904</v>
      </c>
      <c r="N1633" t="s">
        <v>42</v>
      </c>
      <c r="R1633" t="s">
        <v>2908</v>
      </c>
      <c r="S1633" t="s">
        <v>2902</v>
      </c>
      <c r="T1633" t="s">
        <v>1249</v>
      </c>
      <c r="U1633" t="s">
        <v>2456</v>
      </c>
      <c r="V1633" t="s">
        <v>2906</v>
      </c>
      <c r="W1633" t="s">
        <v>2907</v>
      </c>
    </row>
    <row r="1634" spans="1:23" ht="15" customHeight="1" x14ac:dyDescent="0.3">
      <c r="A1634" t="s">
        <v>8</v>
      </c>
      <c r="B1634">
        <v>190</v>
      </c>
      <c r="C1634" t="s">
        <v>954</v>
      </c>
      <c r="D1634" t="s">
        <v>2900</v>
      </c>
      <c r="E1634" t="s">
        <v>34</v>
      </c>
      <c r="F1634" t="s">
        <v>2901</v>
      </c>
      <c r="G1634" t="s">
        <v>440</v>
      </c>
      <c r="H1634" t="s">
        <v>2900</v>
      </c>
      <c r="I1634" t="s">
        <v>2900</v>
      </c>
      <c r="J1634" t="s">
        <v>2902</v>
      </c>
      <c r="K1634" t="s">
        <v>2903</v>
      </c>
      <c r="L1634" t="s">
        <v>2903</v>
      </c>
      <c r="M1634" t="s">
        <v>2904</v>
      </c>
      <c r="N1634" t="s">
        <v>42</v>
      </c>
      <c r="R1634" t="s">
        <v>2909</v>
      </c>
      <c r="S1634" t="s">
        <v>2902</v>
      </c>
      <c r="T1634" t="s">
        <v>1249</v>
      </c>
      <c r="U1634" t="s">
        <v>2456</v>
      </c>
      <c r="V1634" t="s">
        <v>2906</v>
      </c>
      <c r="W1634" t="s">
        <v>2907</v>
      </c>
    </row>
    <row r="1635" spans="1:23" ht="15" customHeight="1" x14ac:dyDescent="0.3">
      <c r="A1635" t="s">
        <v>8</v>
      </c>
      <c r="B1635">
        <v>190</v>
      </c>
      <c r="C1635" t="s">
        <v>954</v>
      </c>
      <c r="D1635" t="s">
        <v>2900</v>
      </c>
      <c r="E1635" t="s">
        <v>34</v>
      </c>
      <c r="F1635" t="s">
        <v>2901</v>
      </c>
      <c r="G1635" t="s">
        <v>440</v>
      </c>
      <c r="H1635" t="s">
        <v>2900</v>
      </c>
      <c r="I1635" t="s">
        <v>2900</v>
      </c>
      <c r="J1635" t="s">
        <v>2902</v>
      </c>
      <c r="K1635" t="s">
        <v>2903</v>
      </c>
      <c r="L1635" t="s">
        <v>2903</v>
      </c>
      <c r="M1635" t="s">
        <v>2904</v>
      </c>
      <c r="N1635" t="s">
        <v>42</v>
      </c>
      <c r="R1635" t="s">
        <v>2910</v>
      </c>
      <c r="S1635" t="s">
        <v>2902</v>
      </c>
      <c r="T1635" t="s">
        <v>1249</v>
      </c>
      <c r="U1635" t="s">
        <v>2456</v>
      </c>
      <c r="V1635" t="s">
        <v>2906</v>
      </c>
      <c r="W1635" t="s">
        <v>2907</v>
      </c>
    </row>
    <row r="1636" spans="1:23" ht="15" customHeight="1" x14ac:dyDescent="0.3">
      <c r="A1636" t="s">
        <v>8</v>
      </c>
      <c r="B1636">
        <v>198</v>
      </c>
      <c r="C1636" t="s">
        <v>1106</v>
      </c>
      <c r="D1636" t="s">
        <v>1107</v>
      </c>
      <c r="E1636" t="s">
        <v>34</v>
      </c>
      <c r="F1636" t="s">
        <v>1108</v>
      </c>
      <c r="G1636" t="s">
        <v>36</v>
      </c>
      <c r="H1636" t="s">
        <v>37</v>
      </c>
      <c r="I1636" t="s">
        <v>1107</v>
      </c>
      <c r="J1636" t="s">
        <v>1109</v>
      </c>
      <c r="K1636" t="s">
        <v>1110</v>
      </c>
      <c r="L1636" s="21" t="s">
        <v>1111</v>
      </c>
      <c r="M1636" t="s">
        <v>1112</v>
      </c>
      <c r="N1636" t="s">
        <v>42</v>
      </c>
      <c r="R1636" t="s">
        <v>1114</v>
      </c>
      <c r="S1636" t="s">
        <v>1109</v>
      </c>
      <c r="T1636" t="s">
        <v>45</v>
      </c>
      <c r="U1636" t="s">
        <v>90</v>
      </c>
      <c r="V1636" t="s">
        <v>1115</v>
      </c>
      <c r="W1636" t="s">
        <v>1116</v>
      </c>
    </row>
    <row r="1637" spans="1:23" ht="15" customHeight="1" x14ac:dyDescent="0.3">
      <c r="A1637" t="s">
        <v>8</v>
      </c>
      <c r="B1637">
        <v>198</v>
      </c>
      <c r="C1637" t="s">
        <v>1106</v>
      </c>
      <c r="D1637" t="s">
        <v>1107</v>
      </c>
      <c r="E1637" t="s">
        <v>34</v>
      </c>
      <c r="F1637" t="s">
        <v>1108</v>
      </c>
      <c r="G1637" t="s">
        <v>36</v>
      </c>
      <c r="H1637" t="s">
        <v>52</v>
      </c>
      <c r="I1637" t="s">
        <v>1107</v>
      </c>
      <c r="J1637" t="s">
        <v>2911</v>
      </c>
      <c r="K1637" s="21" t="s">
        <v>2912</v>
      </c>
      <c r="L1637" s="21" t="s">
        <v>1111</v>
      </c>
      <c r="M1637" t="s">
        <v>1112</v>
      </c>
      <c r="N1637" t="s">
        <v>42</v>
      </c>
      <c r="R1637" t="s">
        <v>1114</v>
      </c>
      <c r="S1637" t="s">
        <v>2911</v>
      </c>
      <c r="T1637" t="s">
        <v>45</v>
      </c>
      <c r="U1637" t="s">
        <v>1416</v>
      </c>
      <c r="V1637" t="s">
        <v>2913</v>
      </c>
      <c r="W1637" t="s">
        <v>2914</v>
      </c>
    </row>
    <row r="1638" spans="1:23" ht="15" customHeight="1" x14ac:dyDescent="0.3">
      <c r="A1638" t="s">
        <v>8</v>
      </c>
      <c r="B1638">
        <v>200</v>
      </c>
      <c r="C1638" t="s">
        <v>1106</v>
      </c>
      <c r="D1638" t="s">
        <v>2915</v>
      </c>
      <c r="E1638" t="s">
        <v>34</v>
      </c>
      <c r="F1638" t="s">
        <v>2916</v>
      </c>
      <c r="G1638" t="s">
        <v>36</v>
      </c>
      <c r="H1638" t="s">
        <v>2915</v>
      </c>
      <c r="I1638" t="s">
        <v>2915</v>
      </c>
      <c r="J1638" t="s">
        <v>2917</v>
      </c>
      <c r="K1638" t="s">
        <v>2918</v>
      </c>
      <c r="L1638" t="s">
        <v>2918</v>
      </c>
      <c r="M1638" t="s">
        <v>2919</v>
      </c>
      <c r="N1638" t="s">
        <v>2920</v>
      </c>
      <c r="R1638" t="s">
        <v>2921</v>
      </c>
      <c r="S1638" t="s">
        <v>2917</v>
      </c>
      <c r="T1638" t="s">
        <v>1544</v>
      </c>
      <c r="U1638" t="s">
        <v>1501</v>
      </c>
      <c r="V1638" t="s">
        <v>2922</v>
      </c>
      <c r="W1638" t="s">
        <v>2923</v>
      </c>
    </row>
    <row r="1639" spans="1:23" ht="15" customHeight="1" x14ac:dyDescent="0.3">
      <c r="A1639" t="s">
        <v>8</v>
      </c>
      <c r="B1639">
        <v>199</v>
      </c>
      <c r="C1639" t="s">
        <v>1106</v>
      </c>
      <c r="D1639" t="s">
        <v>1117</v>
      </c>
      <c r="E1639" t="s">
        <v>399</v>
      </c>
      <c r="F1639" t="s">
        <v>1118</v>
      </c>
      <c r="G1639" t="s">
        <v>36</v>
      </c>
      <c r="H1639" t="s">
        <v>37</v>
      </c>
      <c r="I1639" t="s">
        <v>1117</v>
      </c>
      <c r="J1639" t="s">
        <v>1119</v>
      </c>
      <c r="K1639" t="s">
        <v>1120</v>
      </c>
      <c r="L1639" s="21" t="s">
        <v>1121</v>
      </c>
      <c r="M1639" t="s">
        <v>404</v>
      </c>
      <c r="N1639" t="s">
        <v>405</v>
      </c>
      <c r="R1639" t="s">
        <v>1123</v>
      </c>
      <c r="S1639" t="s">
        <v>1119</v>
      </c>
      <c r="T1639" t="s">
        <v>45</v>
      </c>
      <c r="U1639" t="s">
        <v>90</v>
      </c>
      <c r="V1639" t="s">
        <v>1124</v>
      </c>
      <c r="W1639" t="s">
        <v>1125</v>
      </c>
    </row>
    <row r="1640" spans="1:23" ht="15" customHeight="1" x14ac:dyDescent="0.3">
      <c r="A1640" t="s">
        <v>8</v>
      </c>
      <c r="B1640">
        <v>199</v>
      </c>
      <c r="C1640" t="s">
        <v>1106</v>
      </c>
      <c r="D1640" t="s">
        <v>1117</v>
      </c>
      <c r="E1640" t="s">
        <v>399</v>
      </c>
      <c r="F1640" t="s">
        <v>1118</v>
      </c>
      <c r="G1640" t="s">
        <v>36</v>
      </c>
      <c r="H1640" t="s">
        <v>52</v>
      </c>
      <c r="I1640" t="s">
        <v>1117</v>
      </c>
      <c r="J1640" t="s">
        <v>1126</v>
      </c>
      <c r="K1640" s="21" t="s">
        <v>1127</v>
      </c>
      <c r="L1640" s="21" t="s">
        <v>1121</v>
      </c>
      <c r="M1640" t="s">
        <v>404</v>
      </c>
      <c r="N1640" t="s">
        <v>405</v>
      </c>
      <c r="R1640" t="s">
        <v>1123</v>
      </c>
      <c r="S1640" t="s">
        <v>1126</v>
      </c>
      <c r="T1640" t="s">
        <v>45</v>
      </c>
      <c r="U1640" t="s">
        <v>90</v>
      </c>
      <c r="V1640" t="s">
        <v>1128</v>
      </c>
      <c r="W1640" t="s">
        <v>1129</v>
      </c>
    </row>
    <row r="1641" spans="1:23" ht="15" customHeight="1" x14ac:dyDescent="0.3">
      <c r="A1641" t="s">
        <v>8</v>
      </c>
      <c r="B1641">
        <v>199</v>
      </c>
      <c r="C1641" t="s">
        <v>1106</v>
      </c>
      <c r="D1641" t="s">
        <v>1117</v>
      </c>
      <c r="E1641" t="s">
        <v>399</v>
      </c>
      <c r="F1641" t="s">
        <v>1118</v>
      </c>
      <c r="G1641" t="s">
        <v>36</v>
      </c>
      <c r="H1641" t="s">
        <v>57</v>
      </c>
      <c r="I1641" t="s">
        <v>1117</v>
      </c>
      <c r="J1641" t="s">
        <v>1130</v>
      </c>
      <c r="K1641" s="21" t="s">
        <v>1131</v>
      </c>
      <c r="L1641" s="21" t="s">
        <v>1121</v>
      </c>
      <c r="M1641" t="s">
        <v>404</v>
      </c>
      <c r="N1641" t="s">
        <v>405</v>
      </c>
      <c r="R1641" t="s">
        <v>1123</v>
      </c>
      <c r="S1641" t="s">
        <v>1130</v>
      </c>
      <c r="T1641" t="s">
        <v>45</v>
      </c>
      <c r="U1641" t="s">
        <v>90</v>
      </c>
      <c r="V1641" t="s">
        <v>1132</v>
      </c>
      <c r="W1641" t="s">
        <v>1133</v>
      </c>
    </row>
    <row r="1642" spans="1:23" ht="15" customHeight="1" x14ac:dyDescent="0.3">
      <c r="A1642" t="s">
        <v>8</v>
      </c>
      <c r="B1642">
        <v>199</v>
      </c>
      <c r="C1642" t="s">
        <v>1106</v>
      </c>
      <c r="D1642" t="s">
        <v>1117</v>
      </c>
      <c r="E1642" t="s">
        <v>399</v>
      </c>
      <c r="F1642" t="s">
        <v>1118</v>
      </c>
      <c r="G1642" t="s">
        <v>36</v>
      </c>
      <c r="H1642" t="s">
        <v>49</v>
      </c>
      <c r="I1642" t="s">
        <v>1117</v>
      </c>
      <c r="J1642" t="s">
        <v>2924</v>
      </c>
      <c r="K1642" s="21" t="s">
        <v>2925</v>
      </c>
      <c r="L1642" s="21" t="s">
        <v>1121</v>
      </c>
      <c r="M1642" t="s">
        <v>404</v>
      </c>
      <c r="N1642" t="s">
        <v>405</v>
      </c>
      <c r="R1642" t="s">
        <v>1123</v>
      </c>
      <c r="S1642" t="s">
        <v>2924</v>
      </c>
      <c r="T1642" t="s">
        <v>45</v>
      </c>
      <c r="U1642" t="s">
        <v>1416</v>
      </c>
      <c r="V1642" t="s">
        <v>1124</v>
      </c>
      <c r="W1642" t="s">
        <v>2926</v>
      </c>
    </row>
    <row r="1643" spans="1:23" ht="15" customHeight="1" x14ac:dyDescent="0.3">
      <c r="A1643" t="s">
        <v>8</v>
      </c>
      <c r="B1643">
        <v>199</v>
      </c>
      <c r="C1643" t="s">
        <v>1106</v>
      </c>
      <c r="D1643" t="s">
        <v>1117</v>
      </c>
      <c r="E1643" t="s">
        <v>399</v>
      </c>
      <c r="F1643" t="s">
        <v>1118</v>
      </c>
      <c r="G1643" t="s">
        <v>36</v>
      </c>
      <c r="H1643" t="s">
        <v>87</v>
      </c>
      <c r="I1643" t="s">
        <v>1117</v>
      </c>
      <c r="J1643" t="s">
        <v>2927</v>
      </c>
      <c r="K1643" s="21" t="s">
        <v>2928</v>
      </c>
      <c r="L1643" s="21" t="s">
        <v>1121</v>
      </c>
      <c r="M1643" t="s">
        <v>404</v>
      </c>
      <c r="N1643" t="s">
        <v>405</v>
      </c>
      <c r="R1643" t="s">
        <v>1123</v>
      </c>
      <c r="S1643" t="s">
        <v>2927</v>
      </c>
      <c r="T1643" t="s">
        <v>45</v>
      </c>
      <c r="U1643" t="s">
        <v>1420</v>
      </c>
      <c r="V1643" t="s">
        <v>2929</v>
      </c>
      <c r="W1643" t="s">
        <v>2930</v>
      </c>
    </row>
    <row r="1644" spans="1:23" ht="15" customHeight="1" x14ac:dyDescent="0.3">
      <c r="A1644" t="s">
        <v>8</v>
      </c>
      <c r="B1644">
        <v>199</v>
      </c>
      <c r="C1644" t="s">
        <v>1106</v>
      </c>
      <c r="D1644" t="s">
        <v>1117</v>
      </c>
      <c r="E1644" t="s">
        <v>399</v>
      </c>
      <c r="F1644" t="s">
        <v>1118</v>
      </c>
      <c r="G1644" t="s">
        <v>36</v>
      </c>
      <c r="H1644" t="s">
        <v>421</v>
      </c>
      <c r="I1644" t="s">
        <v>1117</v>
      </c>
      <c r="J1644" t="s">
        <v>2931</v>
      </c>
      <c r="K1644" s="21" t="s">
        <v>2932</v>
      </c>
      <c r="L1644" s="21" t="s">
        <v>1121</v>
      </c>
      <c r="M1644" t="s">
        <v>404</v>
      </c>
      <c r="N1644" t="s">
        <v>405</v>
      </c>
      <c r="R1644" t="s">
        <v>1123</v>
      </c>
      <c r="S1644" t="s">
        <v>2931</v>
      </c>
      <c r="T1644" t="s">
        <v>1249</v>
      </c>
      <c r="U1644" t="s">
        <v>1470</v>
      </c>
      <c r="V1644" t="s">
        <v>1124</v>
      </c>
      <c r="W1644" t="s">
        <v>2933</v>
      </c>
    </row>
    <row r="1645" spans="1:23" ht="15" customHeight="1" x14ac:dyDescent="0.3">
      <c r="A1645" t="s">
        <v>8</v>
      </c>
      <c r="B1645">
        <v>199</v>
      </c>
      <c r="C1645" t="s">
        <v>1106</v>
      </c>
      <c r="D1645" t="s">
        <v>1117</v>
      </c>
      <c r="E1645" t="s">
        <v>399</v>
      </c>
      <c r="F1645" t="s">
        <v>1118</v>
      </c>
      <c r="G1645" t="s">
        <v>36</v>
      </c>
      <c r="H1645" t="s">
        <v>182</v>
      </c>
      <c r="I1645" t="s">
        <v>1117</v>
      </c>
      <c r="J1645" t="s">
        <v>2934</v>
      </c>
      <c r="K1645" s="21" t="s">
        <v>2935</v>
      </c>
      <c r="L1645" s="21" t="s">
        <v>1121</v>
      </c>
      <c r="M1645" t="s">
        <v>404</v>
      </c>
      <c r="N1645" t="s">
        <v>405</v>
      </c>
      <c r="R1645" t="s">
        <v>1123</v>
      </c>
      <c r="S1645" t="s">
        <v>2934</v>
      </c>
      <c r="T1645" t="s">
        <v>1290</v>
      </c>
      <c r="U1645" t="s">
        <v>1291</v>
      </c>
      <c r="V1645" t="s">
        <v>1124</v>
      </c>
      <c r="W1645" t="s">
        <v>2936</v>
      </c>
    </row>
    <row r="1646" spans="1:23" ht="15" customHeight="1" x14ac:dyDescent="0.3">
      <c r="A1646" t="s">
        <v>8</v>
      </c>
      <c r="B1646">
        <v>197</v>
      </c>
      <c r="C1646" t="s">
        <v>1106</v>
      </c>
      <c r="D1646" t="s">
        <v>1134</v>
      </c>
      <c r="E1646" t="s">
        <v>399</v>
      </c>
      <c r="F1646" t="s">
        <v>1135</v>
      </c>
      <c r="G1646" t="s">
        <v>36</v>
      </c>
      <c r="H1646" t="s">
        <v>1134</v>
      </c>
      <c r="I1646" t="s">
        <v>1134</v>
      </c>
      <c r="J1646" t="s">
        <v>1136</v>
      </c>
      <c r="K1646" t="s">
        <v>1137</v>
      </c>
      <c r="L1646" t="s">
        <v>1137</v>
      </c>
      <c r="M1646" t="s">
        <v>404</v>
      </c>
      <c r="N1646" t="s">
        <v>405</v>
      </c>
      <c r="R1646" t="s">
        <v>1139</v>
      </c>
      <c r="S1646" t="s">
        <v>1136</v>
      </c>
      <c r="T1646" t="s">
        <v>45</v>
      </c>
      <c r="U1646" t="s">
        <v>90</v>
      </c>
      <c r="V1646" t="s">
        <v>1140</v>
      </c>
      <c r="W1646" t="s">
        <v>1141</v>
      </c>
    </row>
    <row r="1647" spans="1:23" ht="15" customHeight="1" x14ac:dyDescent="0.3">
      <c r="A1647" t="s">
        <v>8</v>
      </c>
      <c r="B1647">
        <v>18</v>
      </c>
      <c r="C1647" t="s">
        <v>1142</v>
      </c>
      <c r="D1647" t="s">
        <v>2937</v>
      </c>
      <c r="E1647" t="s">
        <v>34</v>
      </c>
      <c r="F1647" t="s">
        <v>1192</v>
      </c>
      <c r="G1647" t="s">
        <v>440</v>
      </c>
      <c r="H1647" t="s">
        <v>2937</v>
      </c>
      <c r="I1647" t="s">
        <v>2937</v>
      </c>
      <c r="J1647" t="s">
        <v>2938</v>
      </c>
      <c r="K1647" t="s">
        <v>2939</v>
      </c>
      <c r="L1647" t="s">
        <v>2939</v>
      </c>
      <c r="M1647" t="s">
        <v>2940</v>
      </c>
      <c r="N1647" t="s">
        <v>42</v>
      </c>
      <c r="R1647" t="s">
        <v>2941</v>
      </c>
      <c r="S1647" t="s">
        <v>2938</v>
      </c>
      <c r="T1647" t="s">
        <v>1290</v>
      </c>
      <c r="U1647" t="s">
        <v>2036</v>
      </c>
      <c r="V1647" t="s">
        <v>2942</v>
      </c>
      <c r="W1647" t="s">
        <v>2943</v>
      </c>
    </row>
    <row r="1648" spans="1:23" ht="15" customHeight="1" x14ac:dyDescent="0.3">
      <c r="A1648" t="s">
        <v>8</v>
      </c>
      <c r="B1648">
        <v>19</v>
      </c>
      <c r="C1648" t="s">
        <v>1142</v>
      </c>
      <c r="D1648" t="s">
        <v>1143</v>
      </c>
      <c r="E1648" t="s">
        <v>34</v>
      </c>
      <c r="F1648" t="s">
        <v>1144</v>
      </c>
      <c r="G1648" t="s">
        <v>440</v>
      </c>
      <c r="H1648" t="s">
        <v>37</v>
      </c>
      <c r="I1648" t="s">
        <v>1143</v>
      </c>
      <c r="J1648" t="s">
        <v>1145</v>
      </c>
      <c r="K1648" t="s">
        <v>1146</v>
      </c>
      <c r="L1648" s="21" t="s">
        <v>1147</v>
      </c>
      <c r="M1648" t="s">
        <v>375</v>
      </c>
      <c r="N1648" t="s">
        <v>159</v>
      </c>
      <c r="R1648" t="s">
        <v>2944</v>
      </c>
      <c r="S1648" t="s">
        <v>1145</v>
      </c>
      <c r="T1648" t="s">
        <v>45</v>
      </c>
      <c r="U1648" t="s">
        <v>46</v>
      </c>
      <c r="V1648" t="s">
        <v>1150</v>
      </c>
      <c r="W1648" t="s">
        <v>1151</v>
      </c>
    </row>
    <row r="1649" spans="1:23" ht="15" customHeight="1" x14ac:dyDescent="0.3">
      <c r="A1649" t="s">
        <v>8</v>
      </c>
      <c r="B1649">
        <v>19</v>
      </c>
      <c r="C1649" t="s">
        <v>1142</v>
      </c>
      <c r="D1649" t="s">
        <v>1143</v>
      </c>
      <c r="E1649" t="s">
        <v>34</v>
      </c>
      <c r="F1649" t="s">
        <v>1144</v>
      </c>
      <c r="G1649" t="s">
        <v>440</v>
      </c>
      <c r="H1649" t="s">
        <v>37</v>
      </c>
      <c r="I1649" t="s">
        <v>1143</v>
      </c>
      <c r="J1649" t="s">
        <v>1145</v>
      </c>
      <c r="K1649" t="s">
        <v>1146</v>
      </c>
      <c r="L1649" s="21" t="s">
        <v>1147</v>
      </c>
      <c r="M1649" t="s">
        <v>375</v>
      </c>
      <c r="N1649" t="s">
        <v>159</v>
      </c>
      <c r="R1649" t="s">
        <v>2945</v>
      </c>
      <c r="S1649" t="s">
        <v>1145</v>
      </c>
      <c r="T1649" t="s">
        <v>45</v>
      </c>
      <c r="U1649" t="s">
        <v>46</v>
      </c>
      <c r="V1649" t="s">
        <v>1150</v>
      </c>
      <c r="W1649" t="s">
        <v>1151</v>
      </c>
    </row>
    <row r="1650" spans="1:23" ht="15" customHeight="1" x14ac:dyDescent="0.3">
      <c r="A1650" t="s">
        <v>8</v>
      </c>
      <c r="B1650">
        <v>19</v>
      </c>
      <c r="C1650" t="s">
        <v>1142</v>
      </c>
      <c r="D1650" t="s">
        <v>1143</v>
      </c>
      <c r="E1650" t="s">
        <v>34</v>
      </c>
      <c r="F1650" t="s">
        <v>1144</v>
      </c>
      <c r="G1650" t="s">
        <v>440</v>
      </c>
      <c r="H1650" t="s">
        <v>37</v>
      </c>
      <c r="I1650" t="s">
        <v>1143</v>
      </c>
      <c r="J1650" t="s">
        <v>1145</v>
      </c>
      <c r="K1650" t="s">
        <v>1146</v>
      </c>
      <c r="L1650" s="21" t="s">
        <v>1147</v>
      </c>
      <c r="M1650" t="s">
        <v>375</v>
      </c>
      <c r="N1650" t="s">
        <v>159</v>
      </c>
      <c r="R1650" t="s">
        <v>2946</v>
      </c>
      <c r="S1650" t="s">
        <v>1145</v>
      </c>
      <c r="T1650" t="s">
        <v>45</v>
      </c>
      <c r="U1650" t="s">
        <v>46</v>
      </c>
      <c r="V1650" t="s">
        <v>1150</v>
      </c>
      <c r="W1650" t="s">
        <v>1151</v>
      </c>
    </row>
    <row r="1651" spans="1:23" ht="15" customHeight="1" x14ac:dyDescent="0.3">
      <c r="A1651" t="s">
        <v>8</v>
      </c>
      <c r="B1651">
        <v>19</v>
      </c>
      <c r="C1651" t="s">
        <v>1142</v>
      </c>
      <c r="D1651" t="s">
        <v>1143</v>
      </c>
      <c r="E1651" t="s">
        <v>34</v>
      </c>
      <c r="F1651" t="s">
        <v>1144</v>
      </c>
      <c r="G1651" t="s">
        <v>440</v>
      </c>
      <c r="H1651" t="s">
        <v>37</v>
      </c>
      <c r="I1651" t="s">
        <v>1143</v>
      </c>
      <c r="J1651" t="s">
        <v>1145</v>
      </c>
      <c r="K1651" t="s">
        <v>1146</v>
      </c>
      <c r="L1651" s="21" t="s">
        <v>1147</v>
      </c>
      <c r="M1651" t="s">
        <v>375</v>
      </c>
      <c r="N1651" t="s">
        <v>159</v>
      </c>
      <c r="R1651" t="s">
        <v>2947</v>
      </c>
      <c r="S1651" t="s">
        <v>1145</v>
      </c>
      <c r="T1651" t="s">
        <v>45</v>
      </c>
      <c r="U1651" t="s">
        <v>46</v>
      </c>
      <c r="V1651" t="s">
        <v>1150</v>
      </c>
      <c r="W1651" t="s">
        <v>1151</v>
      </c>
    </row>
    <row r="1652" spans="1:23" ht="15" customHeight="1" x14ac:dyDescent="0.3">
      <c r="A1652" t="s">
        <v>8</v>
      </c>
      <c r="B1652">
        <v>19</v>
      </c>
      <c r="C1652" t="s">
        <v>1142</v>
      </c>
      <c r="D1652" t="s">
        <v>1143</v>
      </c>
      <c r="E1652" t="s">
        <v>34</v>
      </c>
      <c r="F1652" t="s">
        <v>1144</v>
      </c>
      <c r="G1652" t="s">
        <v>440</v>
      </c>
      <c r="H1652" t="s">
        <v>37</v>
      </c>
      <c r="I1652" t="s">
        <v>1143</v>
      </c>
      <c r="J1652" t="s">
        <v>1145</v>
      </c>
      <c r="K1652" t="s">
        <v>1146</v>
      </c>
      <c r="L1652" s="21" t="s">
        <v>1147</v>
      </c>
      <c r="M1652" t="s">
        <v>375</v>
      </c>
      <c r="N1652" t="s">
        <v>159</v>
      </c>
      <c r="R1652" t="s">
        <v>2948</v>
      </c>
      <c r="S1652" t="s">
        <v>1145</v>
      </c>
      <c r="T1652" t="s">
        <v>45</v>
      </c>
      <c r="U1652" t="s">
        <v>46</v>
      </c>
      <c r="V1652" t="s">
        <v>1150</v>
      </c>
      <c r="W1652" t="s">
        <v>1151</v>
      </c>
    </row>
    <row r="1653" spans="1:23" ht="15" customHeight="1" x14ac:dyDescent="0.3">
      <c r="A1653" t="s">
        <v>8</v>
      </c>
      <c r="B1653">
        <v>19</v>
      </c>
      <c r="C1653" t="s">
        <v>1142</v>
      </c>
      <c r="D1653" t="s">
        <v>1143</v>
      </c>
      <c r="E1653" t="s">
        <v>34</v>
      </c>
      <c r="F1653" t="s">
        <v>1144</v>
      </c>
      <c r="G1653" t="s">
        <v>440</v>
      </c>
      <c r="H1653" t="s">
        <v>37</v>
      </c>
      <c r="I1653" t="s">
        <v>1143</v>
      </c>
      <c r="J1653" t="s">
        <v>1145</v>
      </c>
      <c r="K1653" t="s">
        <v>1146</v>
      </c>
      <c r="L1653" s="21" t="s">
        <v>1147</v>
      </c>
      <c r="M1653" t="s">
        <v>375</v>
      </c>
      <c r="N1653" t="s">
        <v>159</v>
      </c>
      <c r="R1653" t="s">
        <v>2949</v>
      </c>
      <c r="S1653" t="s">
        <v>1145</v>
      </c>
      <c r="T1653" t="s">
        <v>45</v>
      </c>
      <c r="U1653" t="s">
        <v>46</v>
      </c>
      <c r="V1653" t="s">
        <v>1150</v>
      </c>
      <c r="W1653" t="s">
        <v>1151</v>
      </c>
    </row>
    <row r="1654" spans="1:23" ht="15" customHeight="1" x14ac:dyDescent="0.3">
      <c r="A1654" t="s">
        <v>8</v>
      </c>
      <c r="B1654">
        <v>19</v>
      </c>
      <c r="C1654" t="s">
        <v>1142</v>
      </c>
      <c r="D1654" t="s">
        <v>1143</v>
      </c>
      <c r="E1654" t="s">
        <v>34</v>
      </c>
      <c r="F1654" t="s">
        <v>1144</v>
      </c>
      <c r="G1654" t="s">
        <v>440</v>
      </c>
      <c r="H1654" t="s">
        <v>52</v>
      </c>
      <c r="I1654" t="s">
        <v>1143</v>
      </c>
      <c r="J1654" t="s">
        <v>1152</v>
      </c>
      <c r="K1654" s="21" t="s">
        <v>1153</v>
      </c>
      <c r="L1654" s="21" t="s">
        <v>1147</v>
      </c>
      <c r="M1654" t="s">
        <v>375</v>
      </c>
      <c r="N1654" t="s">
        <v>159</v>
      </c>
      <c r="R1654" t="s">
        <v>2944</v>
      </c>
      <c r="S1654" t="s">
        <v>1152</v>
      </c>
      <c r="T1654" t="s">
        <v>45</v>
      </c>
      <c r="U1654" t="s">
        <v>46</v>
      </c>
      <c r="V1654" t="s">
        <v>1150</v>
      </c>
      <c r="W1654" t="s">
        <v>1154</v>
      </c>
    </row>
    <row r="1655" spans="1:23" ht="15" customHeight="1" x14ac:dyDescent="0.3">
      <c r="A1655" t="s">
        <v>8</v>
      </c>
      <c r="B1655">
        <v>19</v>
      </c>
      <c r="C1655" t="s">
        <v>1142</v>
      </c>
      <c r="D1655" t="s">
        <v>1143</v>
      </c>
      <c r="E1655" t="s">
        <v>34</v>
      </c>
      <c r="F1655" t="s">
        <v>1144</v>
      </c>
      <c r="G1655" t="s">
        <v>440</v>
      </c>
      <c r="H1655" t="s">
        <v>52</v>
      </c>
      <c r="I1655" t="s">
        <v>1143</v>
      </c>
      <c r="J1655" t="s">
        <v>1152</v>
      </c>
      <c r="K1655" s="21" t="s">
        <v>1153</v>
      </c>
      <c r="L1655" s="21" t="s">
        <v>1147</v>
      </c>
      <c r="M1655" t="s">
        <v>375</v>
      </c>
      <c r="N1655" t="s">
        <v>159</v>
      </c>
      <c r="R1655" t="s">
        <v>2945</v>
      </c>
      <c r="S1655" t="s">
        <v>1152</v>
      </c>
      <c r="T1655" t="s">
        <v>45</v>
      </c>
      <c r="U1655" t="s">
        <v>46</v>
      </c>
      <c r="V1655" t="s">
        <v>1150</v>
      </c>
      <c r="W1655" t="s">
        <v>1154</v>
      </c>
    </row>
    <row r="1656" spans="1:23" ht="15" customHeight="1" x14ac:dyDescent="0.3">
      <c r="A1656" t="s">
        <v>8</v>
      </c>
      <c r="B1656">
        <v>19</v>
      </c>
      <c r="C1656" t="s">
        <v>1142</v>
      </c>
      <c r="D1656" t="s">
        <v>1143</v>
      </c>
      <c r="E1656" t="s">
        <v>34</v>
      </c>
      <c r="F1656" t="s">
        <v>1144</v>
      </c>
      <c r="G1656" t="s">
        <v>440</v>
      </c>
      <c r="H1656" t="s">
        <v>52</v>
      </c>
      <c r="I1656" t="s">
        <v>1143</v>
      </c>
      <c r="J1656" t="s">
        <v>1152</v>
      </c>
      <c r="K1656" s="21" t="s">
        <v>1153</v>
      </c>
      <c r="L1656" s="21" t="s">
        <v>1147</v>
      </c>
      <c r="M1656" t="s">
        <v>375</v>
      </c>
      <c r="N1656" t="s">
        <v>159</v>
      </c>
      <c r="R1656" t="s">
        <v>2946</v>
      </c>
      <c r="S1656" t="s">
        <v>1152</v>
      </c>
      <c r="T1656" t="s">
        <v>45</v>
      </c>
      <c r="U1656" t="s">
        <v>46</v>
      </c>
      <c r="V1656" t="s">
        <v>1150</v>
      </c>
      <c r="W1656" t="s">
        <v>1154</v>
      </c>
    </row>
    <row r="1657" spans="1:23" ht="15" customHeight="1" x14ac:dyDescent="0.3">
      <c r="A1657" t="s">
        <v>8</v>
      </c>
      <c r="B1657">
        <v>19</v>
      </c>
      <c r="C1657" t="s">
        <v>1142</v>
      </c>
      <c r="D1657" t="s">
        <v>1143</v>
      </c>
      <c r="E1657" t="s">
        <v>34</v>
      </c>
      <c r="F1657" t="s">
        <v>1144</v>
      </c>
      <c r="G1657" t="s">
        <v>440</v>
      </c>
      <c r="H1657" t="s">
        <v>52</v>
      </c>
      <c r="I1657" t="s">
        <v>1143</v>
      </c>
      <c r="J1657" t="s">
        <v>1152</v>
      </c>
      <c r="K1657" s="21" t="s">
        <v>1153</v>
      </c>
      <c r="L1657" s="21" t="s">
        <v>1147</v>
      </c>
      <c r="M1657" t="s">
        <v>375</v>
      </c>
      <c r="N1657" t="s">
        <v>159</v>
      </c>
      <c r="R1657" t="s">
        <v>2947</v>
      </c>
      <c r="S1657" t="s">
        <v>1152</v>
      </c>
      <c r="T1657" t="s">
        <v>45</v>
      </c>
      <c r="U1657" t="s">
        <v>46</v>
      </c>
      <c r="V1657" t="s">
        <v>1150</v>
      </c>
      <c r="W1657" t="s">
        <v>1154</v>
      </c>
    </row>
    <row r="1658" spans="1:23" ht="15" customHeight="1" x14ac:dyDescent="0.3">
      <c r="A1658" t="s">
        <v>8</v>
      </c>
      <c r="B1658">
        <v>19</v>
      </c>
      <c r="C1658" t="s">
        <v>1142</v>
      </c>
      <c r="D1658" t="s">
        <v>1143</v>
      </c>
      <c r="E1658" t="s">
        <v>34</v>
      </c>
      <c r="F1658" t="s">
        <v>1144</v>
      </c>
      <c r="G1658" t="s">
        <v>440</v>
      </c>
      <c r="H1658" t="s">
        <v>52</v>
      </c>
      <c r="I1658" t="s">
        <v>1143</v>
      </c>
      <c r="J1658" t="s">
        <v>1152</v>
      </c>
      <c r="K1658" s="21" t="s">
        <v>1153</v>
      </c>
      <c r="L1658" s="21" t="s">
        <v>1147</v>
      </c>
      <c r="M1658" t="s">
        <v>375</v>
      </c>
      <c r="N1658" t="s">
        <v>159</v>
      </c>
      <c r="R1658" t="s">
        <v>2948</v>
      </c>
      <c r="S1658" t="s">
        <v>1152</v>
      </c>
      <c r="T1658" t="s">
        <v>45</v>
      </c>
      <c r="U1658" t="s">
        <v>46</v>
      </c>
      <c r="V1658" t="s">
        <v>1150</v>
      </c>
      <c r="W1658" t="s">
        <v>1154</v>
      </c>
    </row>
    <row r="1659" spans="1:23" ht="15" customHeight="1" x14ac:dyDescent="0.3">
      <c r="A1659" t="s">
        <v>8</v>
      </c>
      <c r="B1659">
        <v>19</v>
      </c>
      <c r="C1659" t="s">
        <v>1142</v>
      </c>
      <c r="D1659" t="s">
        <v>1143</v>
      </c>
      <c r="E1659" t="s">
        <v>34</v>
      </c>
      <c r="F1659" t="s">
        <v>1144</v>
      </c>
      <c r="G1659" t="s">
        <v>440</v>
      </c>
      <c r="H1659" t="s">
        <v>52</v>
      </c>
      <c r="I1659" t="s">
        <v>1143</v>
      </c>
      <c r="J1659" t="s">
        <v>1152</v>
      </c>
      <c r="K1659" s="21" t="s">
        <v>1153</v>
      </c>
      <c r="L1659" s="21" t="s">
        <v>1147</v>
      </c>
      <c r="M1659" t="s">
        <v>375</v>
      </c>
      <c r="N1659" t="s">
        <v>159</v>
      </c>
      <c r="R1659" t="s">
        <v>2949</v>
      </c>
      <c r="S1659" t="s">
        <v>1152</v>
      </c>
      <c r="T1659" t="s">
        <v>45</v>
      </c>
      <c r="U1659" t="s">
        <v>46</v>
      </c>
      <c r="V1659" t="s">
        <v>1150</v>
      </c>
      <c r="W1659" t="s">
        <v>1154</v>
      </c>
    </row>
    <row r="1660" spans="1:23" ht="15" customHeight="1" x14ac:dyDescent="0.3">
      <c r="A1660" t="s">
        <v>8</v>
      </c>
      <c r="B1660">
        <v>19</v>
      </c>
      <c r="C1660" t="s">
        <v>1142</v>
      </c>
      <c r="D1660" t="s">
        <v>1143</v>
      </c>
      <c r="E1660" t="s">
        <v>34</v>
      </c>
      <c r="F1660" t="s">
        <v>1144</v>
      </c>
      <c r="G1660" t="s">
        <v>440</v>
      </c>
      <c r="H1660" t="s">
        <v>57</v>
      </c>
      <c r="I1660" t="s">
        <v>1143</v>
      </c>
      <c r="J1660" t="s">
        <v>1155</v>
      </c>
      <c r="K1660" s="21" t="s">
        <v>1156</v>
      </c>
      <c r="L1660" s="21" t="s">
        <v>1147</v>
      </c>
      <c r="M1660" t="s">
        <v>375</v>
      </c>
      <c r="N1660" t="s">
        <v>159</v>
      </c>
      <c r="R1660" t="s">
        <v>2944</v>
      </c>
      <c r="S1660" t="s">
        <v>1155</v>
      </c>
      <c r="T1660" t="s">
        <v>45</v>
      </c>
      <c r="U1660" t="s">
        <v>46</v>
      </c>
      <c r="V1660" t="s">
        <v>1150</v>
      </c>
      <c r="W1660" t="s">
        <v>1157</v>
      </c>
    </row>
    <row r="1661" spans="1:23" ht="15" customHeight="1" x14ac:dyDescent="0.3">
      <c r="A1661" t="s">
        <v>8</v>
      </c>
      <c r="B1661">
        <v>19</v>
      </c>
      <c r="C1661" t="s">
        <v>1142</v>
      </c>
      <c r="D1661" t="s">
        <v>1143</v>
      </c>
      <c r="E1661" t="s">
        <v>34</v>
      </c>
      <c r="F1661" t="s">
        <v>1144</v>
      </c>
      <c r="G1661" t="s">
        <v>440</v>
      </c>
      <c r="H1661" t="s">
        <v>57</v>
      </c>
      <c r="I1661" t="s">
        <v>1143</v>
      </c>
      <c r="J1661" t="s">
        <v>1155</v>
      </c>
      <c r="K1661" s="21" t="s">
        <v>1156</v>
      </c>
      <c r="L1661" s="21" t="s">
        <v>1147</v>
      </c>
      <c r="M1661" t="s">
        <v>375</v>
      </c>
      <c r="N1661" t="s">
        <v>159</v>
      </c>
      <c r="R1661" t="s">
        <v>2945</v>
      </c>
      <c r="S1661" t="s">
        <v>1155</v>
      </c>
      <c r="T1661" t="s">
        <v>45</v>
      </c>
      <c r="U1661" t="s">
        <v>46</v>
      </c>
      <c r="V1661" t="s">
        <v>1150</v>
      </c>
      <c r="W1661" t="s">
        <v>1157</v>
      </c>
    </row>
    <row r="1662" spans="1:23" ht="15" customHeight="1" x14ac:dyDescent="0.3">
      <c r="A1662" t="s">
        <v>8</v>
      </c>
      <c r="B1662">
        <v>19</v>
      </c>
      <c r="C1662" t="s">
        <v>1142</v>
      </c>
      <c r="D1662" t="s">
        <v>1143</v>
      </c>
      <c r="E1662" t="s">
        <v>34</v>
      </c>
      <c r="F1662" t="s">
        <v>1144</v>
      </c>
      <c r="G1662" t="s">
        <v>440</v>
      </c>
      <c r="H1662" t="s">
        <v>57</v>
      </c>
      <c r="I1662" t="s">
        <v>1143</v>
      </c>
      <c r="J1662" t="s">
        <v>1155</v>
      </c>
      <c r="K1662" s="21" t="s">
        <v>1156</v>
      </c>
      <c r="L1662" s="21" t="s">
        <v>1147</v>
      </c>
      <c r="M1662" t="s">
        <v>375</v>
      </c>
      <c r="N1662" t="s">
        <v>159</v>
      </c>
      <c r="R1662" t="s">
        <v>2946</v>
      </c>
      <c r="S1662" t="s">
        <v>1155</v>
      </c>
      <c r="T1662" t="s">
        <v>45</v>
      </c>
      <c r="U1662" t="s">
        <v>46</v>
      </c>
      <c r="V1662" t="s">
        <v>1150</v>
      </c>
      <c r="W1662" t="s">
        <v>1157</v>
      </c>
    </row>
    <row r="1663" spans="1:23" ht="15" customHeight="1" x14ac:dyDescent="0.3">
      <c r="A1663" t="s">
        <v>8</v>
      </c>
      <c r="B1663">
        <v>19</v>
      </c>
      <c r="C1663" t="s">
        <v>1142</v>
      </c>
      <c r="D1663" t="s">
        <v>1143</v>
      </c>
      <c r="E1663" t="s">
        <v>34</v>
      </c>
      <c r="F1663" t="s">
        <v>1144</v>
      </c>
      <c r="G1663" t="s">
        <v>440</v>
      </c>
      <c r="H1663" t="s">
        <v>57</v>
      </c>
      <c r="I1663" t="s">
        <v>1143</v>
      </c>
      <c r="J1663" t="s">
        <v>1155</v>
      </c>
      <c r="K1663" s="21" t="s">
        <v>1156</v>
      </c>
      <c r="L1663" s="21" t="s">
        <v>1147</v>
      </c>
      <c r="M1663" t="s">
        <v>375</v>
      </c>
      <c r="N1663" t="s">
        <v>159</v>
      </c>
      <c r="R1663" t="s">
        <v>2947</v>
      </c>
      <c r="S1663" t="s">
        <v>1155</v>
      </c>
      <c r="T1663" t="s">
        <v>45</v>
      </c>
      <c r="U1663" t="s">
        <v>46</v>
      </c>
      <c r="V1663" t="s">
        <v>1150</v>
      </c>
      <c r="W1663" t="s">
        <v>1157</v>
      </c>
    </row>
    <row r="1664" spans="1:23" ht="15" customHeight="1" x14ac:dyDescent="0.3">
      <c r="A1664" t="s">
        <v>8</v>
      </c>
      <c r="B1664">
        <v>19</v>
      </c>
      <c r="C1664" t="s">
        <v>1142</v>
      </c>
      <c r="D1664" t="s">
        <v>1143</v>
      </c>
      <c r="E1664" t="s">
        <v>34</v>
      </c>
      <c r="F1664" t="s">
        <v>1144</v>
      </c>
      <c r="G1664" t="s">
        <v>440</v>
      </c>
      <c r="H1664" t="s">
        <v>57</v>
      </c>
      <c r="I1664" t="s">
        <v>1143</v>
      </c>
      <c r="J1664" t="s">
        <v>1155</v>
      </c>
      <c r="K1664" s="21" t="s">
        <v>1156</v>
      </c>
      <c r="L1664" s="21" t="s">
        <v>1147</v>
      </c>
      <c r="M1664" t="s">
        <v>375</v>
      </c>
      <c r="N1664" t="s">
        <v>159</v>
      </c>
      <c r="R1664" t="s">
        <v>2948</v>
      </c>
      <c r="S1664" t="s">
        <v>1155</v>
      </c>
      <c r="T1664" t="s">
        <v>45</v>
      </c>
      <c r="U1664" t="s">
        <v>46</v>
      </c>
      <c r="V1664" t="s">
        <v>1150</v>
      </c>
      <c r="W1664" t="s">
        <v>1157</v>
      </c>
    </row>
    <row r="1665" spans="1:23" ht="15" customHeight="1" x14ac:dyDescent="0.3">
      <c r="A1665" t="s">
        <v>8</v>
      </c>
      <c r="B1665">
        <v>19</v>
      </c>
      <c r="C1665" t="s">
        <v>1142</v>
      </c>
      <c r="D1665" t="s">
        <v>1143</v>
      </c>
      <c r="E1665" t="s">
        <v>34</v>
      </c>
      <c r="F1665" t="s">
        <v>1144</v>
      </c>
      <c r="G1665" t="s">
        <v>440</v>
      </c>
      <c r="H1665" t="s">
        <v>57</v>
      </c>
      <c r="I1665" t="s">
        <v>1143</v>
      </c>
      <c r="J1665" t="s">
        <v>1155</v>
      </c>
      <c r="K1665" s="21" t="s">
        <v>1156</v>
      </c>
      <c r="L1665" s="21" t="s">
        <v>1147</v>
      </c>
      <c r="M1665" t="s">
        <v>375</v>
      </c>
      <c r="N1665" t="s">
        <v>159</v>
      </c>
      <c r="R1665" t="s">
        <v>2949</v>
      </c>
      <c r="S1665" t="s">
        <v>1155</v>
      </c>
      <c r="T1665" t="s">
        <v>45</v>
      </c>
      <c r="U1665" t="s">
        <v>46</v>
      </c>
      <c r="V1665" t="s">
        <v>1150</v>
      </c>
      <c r="W1665" t="s">
        <v>1157</v>
      </c>
    </row>
    <row r="1666" spans="1:23" ht="15" customHeight="1" x14ac:dyDescent="0.3">
      <c r="A1666" t="s">
        <v>8</v>
      </c>
      <c r="B1666">
        <v>19</v>
      </c>
      <c r="C1666" t="s">
        <v>1142</v>
      </c>
      <c r="D1666" t="s">
        <v>1143</v>
      </c>
      <c r="E1666" t="s">
        <v>34</v>
      </c>
      <c r="F1666" t="s">
        <v>1144</v>
      </c>
      <c r="G1666" t="s">
        <v>440</v>
      </c>
      <c r="H1666" t="s">
        <v>49</v>
      </c>
      <c r="I1666" t="s">
        <v>1143</v>
      </c>
      <c r="J1666" t="s">
        <v>1158</v>
      </c>
      <c r="K1666" s="21" t="s">
        <v>1159</v>
      </c>
      <c r="L1666" s="21" t="s">
        <v>1147</v>
      </c>
      <c r="M1666" t="s">
        <v>375</v>
      </c>
      <c r="N1666" t="s">
        <v>159</v>
      </c>
      <c r="R1666" t="s">
        <v>2944</v>
      </c>
      <c r="S1666" t="s">
        <v>1158</v>
      </c>
      <c r="T1666" t="s">
        <v>45</v>
      </c>
      <c r="U1666" t="s">
        <v>46</v>
      </c>
      <c r="V1666" t="s">
        <v>1150</v>
      </c>
      <c r="W1666" t="s">
        <v>1160</v>
      </c>
    </row>
    <row r="1667" spans="1:23" ht="15" customHeight="1" x14ac:dyDescent="0.3">
      <c r="A1667" t="s">
        <v>8</v>
      </c>
      <c r="B1667">
        <v>19</v>
      </c>
      <c r="C1667" t="s">
        <v>1142</v>
      </c>
      <c r="D1667" t="s">
        <v>1143</v>
      </c>
      <c r="E1667" t="s">
        <v>34</v>
      </c>
      <c r="F1667" t="s">
        <v>1144</v>
      </c>
      <c r="G1667" t="s">
        <v>440</v>
      </c>
      <c r="H1667" t="s">
        <v>49</v>
      </c>
      <c r="I1667" t="s">
        <v>1143</v>
      </c>
      <c r="J1667" t="s">
        <v>1158</v>
      </c>
      <c r="K1667" s="21" t="s">
        <v>1159</v>
      </c>
      <c r="L1667" s="21" t="s">
        <v>1147</v>
      </c>
      <c r="M1667" t="s">
        <v>375</v>
      </c>
      <c r="N1667" t="s">
        <v>159</v>
      </c>
      <c r="R1667" t="s">
        <v>2945</v>
      </c>
      <c r="S1667" t="s">
        <v>1158</v>
      </c>
      <c r="T1667" t="s">
        <v>45</v>
      </c>
      <c r="U1667" t="s">
        <v>46</v>
      </c>
      <c r="V1667" t="s">
        <v>1150</v>
      </c>
      <c r="W1667" t="s">
        <v>1160</v>
      </c>
    </row>
    <row r="1668" spans="1:23" ht="15" customHeight="1" x14ac:dyDescent="0.3">
      <c r="A1668" t="s">
        <v>8</v>
      </c>
      <c r="B1668">
        <v>19</v>
      </c>
      <c r="C1668" t="s">
        <v>1142</v>
      </c>
      <c r="D1668" t="s">
        <v>1143</v>
      </c>
      <c r="E1668" t="s">
        <v>34</v>
      </c>
      <c r="F1668" t="s">
        <v>1144</v>
      </c>
      <c r="G1668" t="s">
        <v>440</v>
      </c>
      <c r="H1668" t="s">
        <v>49</v>
      </c>
      <c r="I1668" t="s">
        <v>1143</v>
      </c>
      <c r="J1668" t="s">
        <v>1158</v>
      </c>
      <c r="K1668" s="21" t="s">
        <v>1159</v>
      </c>
      <c r="L1668" s="21" t="s">
        <v>1147</v>
      </c>
      <c r="M1668" t="s">
        <v>375</v>
      </c>
      <c r="N1668" t="s">
        <v>159</v>
      </c>
      <c r="R1668" t="s">
        <v>2946</v>
      </c>
      <c r="S1668" t="s">
        <v>1158</v>
      </c>
      <c r="T1668" t="s">
        <v>45</v>
      </c>
      <c r="U1668" t="s">
        <v>46</v>
      </c>
      <c r="V1668" t="s">
        <v>1150</v>
      </c>
      <c r="W1668" t="s">
        <v>1160</v>
      </c>
    </row>
    <row r="1669" spans="1:23" ht="15" customHeight="1" x14ac:dyDescent="0.3">
      <c r="A1669" t="s">
        <v>8</v>
      </c>
      <c r="B1669">
        <v>19</v>
      </c>
      <c r="C1669" t="s">
        <v>1142</v>
      </c>
      <c r="D1669" t="s">
        <v>1143</v>
      </c>
      <c r="E1669" t="s">
        <v>34</v>
      </c>
      <c r="F1669" t="s">
        <v>1144</v>
      </c>
      <c r="G1669" t="s">
        <v>440</v>
      </c>
      <c r="H1669" t="s">
        <v>49</v>
      </c>
      <c r="I1669" t="s">
        <v>1143</v>
      </c>
      <c r="J1669" t="s">
        <v>1158</v>
      </c>
      <c r="K1669" s="21" t="s">
        <v>1159</v>
      </c>
      <c r="L1669" s="21" t="s">
        <v>1147</v>
      </c>
      <c r="M1669" t="s">
        <v>375</v>
      </c>
      <c r="N1669" t="s">
        <v>159</v>
      </c>
      <c r="R1669" t="s">
        <v>2947</v>
      </c>
      <c r="S1669" t="s">
        <v>1158</v>
      </c>
      <c r="T1669" t="s">
        <v>45</v>
      </c>
      <c r="U1669" t="s">
        <v>46</v>
      </c>
      <c r="V1669" t="s">
        <v>1150</v>
      </c>
      <c r="W1669" t="s">
        <v>1160</v>
      </c>
    </row>
    <row r="1670" spans="1:23" ht="15" customHeight="1" x14ac:dyDescent="0.3">
      <c r="A1670" t="s">
        <v>8</v>
      </c>
      <c r="B1670">
        <v>19</v>
      </c>
      <c r="C1670" t="s">
        <v>1142</v>
      </c>
      <c r="D1670" t="s">
        <v>1143</v>
      </c>
      <c r="E1670" t="s">
        <v>34</v>
      </c>
      <c r="F1670" t="s">
        <v>1144</v>
      </c>
      <c r="G1670" t="s">
        <v>440</v>
      </c>
      <c r="H1670" t="s">
        <v>49</v>
      </c>
      <c r="I1670" t="s">
        <v>1143</v>
      </c>
      <c r="J1670" t="s">
        <v>1158</v>
      </c>
      <c r="K1670" s="21" t="s">
        <v>1159</v>
      </c>
      <c r="L1670" s="21" t="s">
        <v>1147</v>
      </c>
      <c r="M1670" t="s">
        <v>375</v>
      </c>
      <c r="N1670" t="s">
        <v>159</v>
      </c>
      <c r="R1670" t="s">
        <v>2948</v>
      </c>
      <c r="S1670" t="s">
        <v>1158</v>
      </c>
      <c r="T1670" t="s">
        <v>45</v>
      </c>
      <c r="U1670" t="s">
        <v>46</v>
      </c>
      <c r="V1670" t="s">
        <v>1150</v>
      </c>
      <c r="W1670" t="s">
        <v>1160</v>
      </c>
    </row>
    <row r="1671" spans="1:23" ht="15" customHeight="1" x14ac:dyDescent="0.3">
      <c r="A1671" t="s">
        <v>8</v>
      </c>
      <c r="B1671">
        <v>19</v>
      </c>
      <c r="C1671" t="s">
        <v>1142</v>
      </c>
      <c r="D1671" t="s">
        <v>1143</v>
      </c>
      <c r="E1671" t="s">
        <v>34</v>
      </c>
      <c r="F1671" t="s">
        <v>1144</v>
      </c>
      <c r="G1671" t="s">
        <v>440</v>
      </c>
      <c r="H1671" t="s">
        <v>49</v>
      </c>
      <c r="I1671" t="s">
        <v>1143</v>
      </c>
      <c r="J1671" t="s">
        <v>1158</v>
      </c>
      <c r="K1671" s="21" t="s">
        <v>1159</v>
      </c>
      <c r="L1671" s="21" t="s">
        <v>1147</v>
      </c>
      <c r="M1671" t="s">
        <v>375</v>
      </c>
      <c r="N1671" t="s">
        <v>159</v>
      </c>
      <c r="R1671" t="s">
        <v>2949</v>
      </c>
      <c r="S1671" t="s">
        <v>1158</v>
      </c>
      <c r="T1671" t="s">
        <v>45</v>
      </c>
      <c r="U1671" t="s">
        <v>46</v>
      </c>
      <c r="V1671" t="s">
        <v>1150</v>
      </c>
      <c r="W1671" t="s">
        <v>1160</v>
      </c>
    </row>
    <row r="1672" spans="1:23" ht="15" customHeight="1" x14ac:dyDescent="0.3">
      <c r="A1672" t="s">
        <v>8</v>
      </c>
      <c r="B1672">
        <v>19</v>
      </c>
      <c r="C1672" t="s">
        <v>1142</v>
      </c>
      <c r="D1672" t="s">
        <v>1143</v>
      </c>
      <c r="E1672" t="s">
        <v>34</v>
      </c>
      <c r="F1672" t="s">
        <v>1144</v>
      </c>
      <c r="G1672" t="s">
        <v>440</v>
      </c>
      <c r="H1672" t="s">
        <v>87</v>
      </c>
      <c r="I1672" t="s">
        <v>1143</v>
      </c>
      <c r="J1672" t="s">
        <v>1161</v>
      </c>
      <c r="K1672" s="21" t="s">
        <v>1162</v>
      </c>
      <c r="L1672" s="21" t="s">
        <v>1147</v>
      </c>
      <c r="M1672" t="s">
        <v>375</v>
      </c>
      <c r="N1672" t="s">
        <v>159</v>
      </c>
      <c r="R1672" t="s">
        <v>2944</v>
      </c>
      <c r="S1672" t="s">
        <v>1161</v>
      </c>
      <c r="T1672" t="s">
        <v>45</v>
      </c>
      <c r="U1672" t="s">
        <v>46</v>
      </c>
      <c r="V1672" t="s">
        <v>1150</v>
      </c>
      <c r="W1672" t="s">
        <v>1163</v>
      </c>
    </row>
    <row r="1673" spans="1:23" ht="15" customHeight="1" x14ac:dyDescent="0.3">
      <c r="A1673" t="s">
        <v>8</v>
      </c>
      <c r="B1673">
        <v>19</v>
      </c>
      <c r="C1673" t="s">
        <v>1142</v>
      </c>
      <c r="D1673" t="s">
        <v>1143</v>
      </c>
      <c r="E1673" t="s">
        <v>34</v>
      </c>
      <c r="F1673" t="s">
        <v>1144</v>
      </c>
      <c r="G1673" t="s">
        <v>440</v>
      </c>
      <c r="H1673" t="s">
        <v>87</v>
      </c>
      <c r="I1673" t="s">
        <v>1143</v>
      </c>
      <c r="J1673" t="s">
        <v>1161</v>
      </c>
      <c r="K1673" s="21" t="s">
        <v>1162</v>
      </c>
      <c r="L1673" s="21" t="s">
        <v>1147</v>
      </c>
      <c r="M1673" t="s">
        <v>375</v>
      </c>
      <c r="N1673" t="s">
        <v>159</v>
      </c>
      <c r="R1673" t="s">
        <v>2945</v>
      </c>
      <c r="S1673" t="s">
        <v>1161</v>
      </c>
      <c r="T1673" t="s">
        <v>45</v>
      </c>
      <c r="U1673" t="s">
        <v>46</v>
      </c>
      <c r="V1673" t="s">
        <v>1150</v>
      </c>
      <c r="W1673" t="s">
        <v>1163</v>
      </c>
    </row>
    <row r="1674" spans="1:23" ht="15" customHeight="1" x14ac:dyDescent="0.3">
      <c r="A1674" t="s">
        <v>8</v>
      </c>
      <c r="B1674">
        <v>19</v>
      </c>
      <c r="C1674" t="s">
        <v>1142</v>
      </c>
      <c r="D1674" t="s">
        <v>1143</v>
      </c>
      <c r="E1674" t="s">
        <v>34</v>
      </c>
      <c r="F1674" t="s">
        <v>1144</v>
      </c>
      <c r="G1674" t="s">
        <v>440</v>
      </c>
      <c r="H1674" t="s">
        <v>87</v>
      </c>
      <c r="I1674" t="s">
        <v>1143</v>
      </c>
      <c r="J1674" t="s">
        <v>1161</v>
      </c>
      <c r="K1674" s="21" t="s">
        <v>1162</v>
      </c>
      <c r="L1674" s="21" t="s">
        <v>1147</v>
      </c>
      <c r="M1674" t="s">
        <v>375</v>
      </c>
      <c r="N1674" t="s">
        <v>159</v>
      </c>
      <c r="R1674" t="s">
        <v>2946</v>
      </c>
      <c r="S1674" t="s">
        <v>1161</v>
      </c>
      <c r="T1674" t="s">
        <v>45</v>
      </c>
      <c r="U1674" t="s">
        <v>46</v>
      </c>
      <c r="V1674" t="s">
        <v>1150</v>
      </c>
      <c r="W1674" t="s">
        <v>1163</v>
      </c>
    </row>
    <row r="1675" spans="1:23" ht="15" customHeight="1" x14ac:dyDescent="0.3">
      <c r="A1675" t="s">
        <v>8</v>
      </c>
      <c r="B1675">
        <v>19</v>
      </c>
      <c r="C1675" t="s">
        <v>1142</v>
      </c>
      <c r="D1675" t="s">
        <v>1143</v>
      </c>
      <c r="E1675" t="s">
        <v>34</v>
      </c>
      <c r="F1675" t="s">
        <v>1144</v>
      </c>
      <c r="G1675" t="s">
        <v>440</v>
      </c>
      <c r="H1675" t="s">
        <v>87</v>
      </c>
      <c r="I1675" t="s">
        <v>1143</v>
      </c>
      <c r="J1675" t="s">
        <v>1161</v>
      </c>
      <c r="K1675" s="21" t="s">
        <v>1162</v>
      </c>
      <c r="L1675" s="21" t="s">
        <v>1147</v>
      </c>
      <c r="M1675" t="s">
        <v>375</v>
      </c>
      <c r="N1675" t="s">
        <v>159</v>
      </c>
      <c r="R1675" t="s">
        <v>2947</v>
      </c>
      <c r="S1675" t="s">
        <v>1161</v>
      </c>
      <c r="T1675" t="s">
        <v>45</v>
      </c>
      <c r="U1675" t="s">
        <v>46</v>
      </c>
      <c r="V1675" t="s">
        <v>1150</v>
      </c>
      <c r="W1675" t="s">
        <v>1163</v>
      </c>
    </row>
    <row r="1676" spans="1:23" ht="15" customHeight="1" x14ac:dyDescent="0.3">
      <c r="A1676" t="s">
        <v>8</v>
      </c>
      <c r="B1676">
        <v>19</v>
      </c>
      <c r="C1676" t="s">
        <v>1142</v>
      </c>
      <c r="D1676" t="s">
        <v>1143</v>
      </c>
      <c r="E1676" t="s">
        <v>34</v>
      </c>
      <c r="F1676" t="s">
        <v>1144</v>
      </c>
      <c r="G1676" t="s">
        <v>440</v>
      </c>
      <c r="H1676" t="s">
        <v>87</v>
      </c>
      <c r="I1676" t="s">
        <v>1143</v>
      </c>
      <c r="J1676" t="s">
        <v>1161</v>
      </c>
      <c r="K1676" s="21" t="s">
        <v>1162</v>
      </c>
      <c r="L1676" s="21" t="s">
        <v>1147</v>
      </c>
      <c r="M1676" t="s">
        <v>375</v>
      </c>
      <c r="N1676" t="s">
        <v>159</v>
      </c>
      <c r="R1676" t="s">
        <v>2948</v>
      </c>
      <c r="S1676" t="s">
        <v>1161</v>
      </c>
      <c r="T1676" t="s">
        <v>45</v>
      </c>
      <c r="U1676" t="s">
        <v>46</v>
      </c>
      <c r="V1676" t="s">
        <v>1150</v>
      </c>
      <c r="W1676" t="s">
        <v>1163</v>
      </c>
    </row>
    <row r="1677" spans="1:23" ht="15" customHeight="1" x14ac:dyDescent="0.3">
      <c r="A1677" t="s">
        <v>8</v>
      </c>
      <c r="B1677">
        <v>19</v>
      </c>
      <c r="C1677" t="s">
        <v>1142</v>
      </c>
      <c r="D1677" t="s">
        <v>1143</v>
      </c>
      <c r="E1677" t="s">
        <v>34</v>
      </c>
      <c r="F1677" t="s">
        <v>1144</v>
      </c>
      <c r="G1677" t="s">
        <v>440</v>
      </c>
      <c r="H1677" t="s">
        <v>87</v>
      </c>
      <c r="I1677" t="s">
        <v>1143</v>
      </c>
      <c r="J1677" t="s">
        <v>1161</v>
      </c>
      <c r="K1677" s="21" t="s">
        <v>1162</v>
      </c>
      <c r="L1677" s="21" t="s">
        <v>1147</v>
      </c>
      <c r="M1677" t="s">
        <v>375</v>
      </c>
      <c r="N1677" t="s">
        <v>159</v>
      </c>
      <c r="R1677" t="s">
        <v>2949</v>
      </c>
      <c r="S1677" t="s">
        <v>1161</v>
      </c>
      <c r="T1677" t="s">
        <v>45</v>
      </c>
      <c r="U1677" t="s">
        <v>46</v>
      </c>
      <c r="V1677" t="s">
        <v>1150</v>
      </c>
      <c r="W1677" t="s">
        <v>1163</v>
      </c>
    </row>
    <row r="1678" spans="1:23" ht="15" customHeight="1" x14ac:dyDescent="0.3">
      <c r="A1678" t="s">
        <v>8</v>
      </c>
      <c r="B1678">
        <v>19</v>
      </c>
      <c r="C1678" t="s">
        <v>1142</v>
      </c>
      <c r="D1678" t="s">
        <v>1143</v>
      </c>
      <c r="E1678" t="s">
        <v>34</v>
      </c>
      <c r="F1678" t="s">
        <v>1144</v>
      </c>
      <c r="G1678" t="s">
        <v>440</v>
      </c>
      <c r="H1678" t="s">
        <v>421</v>
      </c>
      <c r="I1678" t="s">
        <v>1143</v>
      </c>
      <c r="J1678" t="s">
        <v>1164</v>
      </c>
      <c r="K1678" s="21" t="s">
        <v>1165</v>
      </c>
      <c r="L1678" s="21" t="s">
        <v>1147</v>
      </c>
      <c r="M1678" t="s">
        <v>375</v>
      </c>
      <c r="N1678" t="s">
        <v>159</v>
      </c>
      <c r="R1678" t="s">
        <v>2944</v>
      </c>
      <c r="S1678" t="s">
        <v>1164</v>
      </c>
      <c r="T1678" t="s">
        <v>45</v>
      </c>
      <c r="U1678" t="s">
        <v>46</v>
      </c>
      <c r="V1678" t="s">
        <v>1150</v>
      </c>
      <c r="W1678" t="s">
        <v>1166</v>
      </c>
    </row>
    <row r="1679" spans="1:23" ht="15" customHeight="1" x14ac:dyDescent="0.3">
      <c r="A1679" t="s">
        <v>8</v>
      </c>
      <c r="B1679">
        <v>19</v>
      </c>
      <c r="C1679" t="s">
        <v>1142</v>
      </c>
      <c r="D1679" t="s">
        <v>1143</v>
      </c>
      <c r="E1679" t="s">
        <v>34</v>
      </c>
      <c r="F1679" t="s">
        <v>1144</v>
      </c>
      <c r="G1679" t="s">
        <v>440</v>
      </c>
      <c r="H1679" t="s">
        <v>421</v>
      </c>
      <c r="I1679" t="s">
        <v>1143</v>
      </c>
      <c r="J1679" t="s">
        <v>1164</v>
      </c>
      <c r="K1679" s="21" t="s">
        <v>1165</v>
      </c>
      <c r="L1679" s="21" t="s">
        <v>1147</v>
      </c>
      <c r="M1679" t="s">
        <v>375</v>
      </c>
      <c r="N1679" t="s">
        <v>159</v>
      </c>
      <c r="R1679" t="s">
        <v>2945</v>
      </c>
      <c r="S1679" t="s">
        <v>1164</v>
      </c>
      <c r="T1679" t="s">
        <v>45</v>
      </c>
      <c r="U1679" t="s">
        <v>46</v>
      </c>
      <c r="V1679" t="s">
        <v>1150</v>
      </c>
      <c r="W1679" t="s">
        <v>1166</v>
      </c>
    </row>
    <row r="1680" spans="1:23" ht="15" customHeight="1" x14ac:dyDescent="0.3">
      <c r="A1680" t="s">
        <v>8</v>
      </c>
      <c r="B1680">
        <v>19</v>
      </c>
      <c r="C1680" t="s">
        <v>1142</v>
      </c>
      <c r="D1680" t="s">
        <v>1143</v>
      </c>
      <c r="E1680" t="s">
        <v>34</v>
      </c>
      <c r="F1680" t="s">
        <v>1144</v>
      </c>
      <c r="G1680" t="s">
        <v>440</v>
      </c>
      <c r="H1680" t="s">
        <v>421</v>
      </c>
      <c r="I1680" t="s">
        <v>1143</v>
      </c>
      <c r="J1680" t="s">
        <v>1164</v>
      </c>
      <c r="K1680" s="21" t="s">
        <v>1165</v>
      </c>
      <c r="L1680" s="21" t="s">
        <v>1147</v>
      </c>
      <c r="M1680" t="s">
        <v>375</v>
      </c>
      <c r="N1680" t="s">
        <v>159</v>
      </c>
      <c r="R1680" t="s">
        <v>2946</v>
      </c>
      <c r="S1680" t="s">
        <v>1164</v>
      </c>
      <c r="T1680" t="s">
        <v>45</v>
      </c>
      <c r="U1680" t="s">
        <v>46</v>
      </c>
      <c r="V1680" t="s">
        <v>1150</v>
      </c>
      <c r="W1680" t="s">
        <v>1166</v>
      </c>
    </row>
    <row r="1681" spans="1:23" ht="15" customHeight="1" x14ac:dyDescent="0.3">
      <c r="A1681" t="s">
        <v>8</v>
      </c>
      <c r="B1681">
        <v>19</v>
      </c>
      <c r="C1681" t="s">
        <v>1142</v>
      </c>
      <c r="D1681" t="s">
        <v>1143</v>
      </c>
      <c r="E1681" t="s">
        <v>34</v>
      </c>
      <c r="F1681" t="s">
        <v>1144</v>
      </c>
      <c r="G1681" t="s">
        <v>440</v>
      </c>
      <c r="H1681" t="s">
        <v>421</v>
      </c>
      <c r="I1681" t="s">
        <v>1143</v>
      </c>
      <c r="J1681" t="s">
        <v>1164</v>
      </c>
      <c r="K1681" s="21" t="s">
        <v>1165</v>
      </c>
      <c r="L1681" s="21" t="s">
        <v>1147</v>
      </c>
      <c r="M1681" t="s">
        <v>375</v>
      </c>
      <c r="N1681" t="s">
        <v>159</v>
      </c>
      <c r="R1681" t="s">
        <v>2947</v>
      </c>
      <c r="S1681" t="s">
        <v>1164</v>
      </c>
      <c r="T1681" t="s">
        <v>45</v>
      </c>
      <c r="U1681" t="s">
        <v>46</v>
      </c>
      <c r="V1681" t="s">
        <v>1150</v>
      </c>
      <c r="W1681" t="s">
        <v>1166</v>
      </c>
    </row>
    <row r="1682" spans="1:23" ht="15" customHeight="1" x14ac:dyDescent="0.3">
      <c r="A1682" t="s">
        <v>8</v>
      </c>
      <c r="B1682">
        <v>19</v>
      </c>
      <c r="C1682" t="s">
        <v>1142</v>
      </c>
      <c r="D1682" t="s">
        <v>1143</v>
      </c>
      <c r="E1682" t="s">
        <v>34</v>
      </c>
      <c r="F1682" t="s">
        <v>1144</v>
      </c>
      <c r="G1682" t="s">
        <v>440</v>
      </c>
      <c r="H1682" t="s">
        <v>421</v>
      </c>
      <c r="I1682" t="s">
        <v>1143</v>
      </c>
      <c r="J1682" t="s">
        <v>1164</v>
      </c>
      <c r="K1682" s="21" t="s">
        <v>1165</v>
      </c>
      <c r="L1682" s="21" t="s">
        <v>1147</v>
      </c>
      <c r="M1682" t="s">
        <v>375</v>
      </c>
      <c r="N1682" t="s">
        <v>159</v>
      </c>
      <c r="R1682" t="s">
        <v>2948</v>
      </c>
      <c r="S1682" t="s">
        <v>1164</v>
      </c>
      <c r="T1682" t="s">
        <v>45</v>
      </c>
      <c r="U1682" t="s">
        <v>46</v>
      </c>
      <c r="V1682" t="s">
        <v>1150</v>
      </c>
      <c r="W1682" t="s">
        <v>1166</v>
      </c>
    </row>
    <row r="1683" spans="1:23" ht="15" customHeight="1" x14ac:dyDescent="0.3">
      <c r="A1683" t="s">
        <v>8</v>
      </c>
      <c r="B1683">
        <v>19</v>
      </c>
      <c r="C1683" t="s">
        <v>1142</v>
      </c>
      <c r="D1683" t="s">
        <v>1143</v>
      </c>
      <c r="E1683" t="s">
        <v>34</v>
      </c>
      <c r="F1683" t="s">
        <v>1144</v>
      </c>
      <c r="G1683" t="s">
        <v>440</v>
      </c>
      <c r="H1683" t="s">
        <v>421</v>
      </c>
      <c r="I1683" t="s">
        <v>1143</v>
      </c>
      <c r="J1683" t="s">
        <v>1164</v>
      </c>
      <c r="K1683" s="21" t="s">
        <v>1165</v>
      </c>
      <c r="L1683" s="21" t="s">
        <v>1147</v>
      </c>
      <c r="M1683" t="s">
        <v>375</v>
      </c>
      <c r="N1683" t="s">
        <v>159</v>
      </c>
      <c r="R1683" t="s">
        <v>2949</v>
      </c>
      <c r="S1683" t="s">
        <v>1164</v>
      </c>
      <c r="T1683" t="s">
        <v>45</v>
      </c>
      <c r="U1683" t="s">
        <v>46</v>
      </c>
      <c r="V1683" t="s">
        <v>1150</v>
      </c>
      <c r="W1683" t="s">
        <v>1166</v>
      </c>
    </row>
    <row r="1684" spans="1:23" ht="15" customHeight="1" x14ac:dyDescent="0.3">
      <c r="A1684" t="s">
        <v>8</v>
      </c>
      <c r="B1684">
        <v>19</v>
      </c>
      <c r="C1684" t="s">
        <v>1142</v>
      </c>
      <c r="D1684" t="s">
        <v>1143</v>
      </c>
      <c r="E1684" t="s">
        <v>34</v>
      </c>
      <c r="F1684" t="s">
        <v>1144</v>
      </c>
      <c r="G1684" t="s">
        <v>440</v>
      </c>
      <c r="H1684" t="s">
        <v>182</v>
      </c>
      <c r="I1684" t="s">
        <v>1143</v>
      </c>
      <c r="J1684" t="s">
        <v>2950</v>
      </c>
      <c r="K1684" s="21" t="s">
        <v>2951</v>
      </c>
      <c r="L1684" s="21" t="s">
        <v>1147</v>
      </c>
      <c r="M1684" t="s">
        <v>375</v>
      </c>
      <c r="N1684" t="s">
        <v>159</v>
      </c>
      <c r="R1684" t="s">
        <v>2944</v>
      </c>
      <c r="S1684" t="s">
        <v>2950</v>
      </c>
      <c r="T1684" t="s">
        <v>45</v>
      </c>
      <c r="U1684" t="s">
        <v>1437</v>
      </c>
      <c r="V1684" t="s">
        <v>1150</v>
      </c>
      <c r="W1684" t="s">
        <v>2952</v>
      </c>
    </row>
    <row r="1685" spans="1:23" ht="15" customHeight="1" x14ac:dyDescent="0.3">
      <c r="A1685" t="s">
        <v>8</v>
      </c>
      <c r="B1685">
        <v>19</v>
      </c>
      <c r="C1685" t="s">
        <v>1142</v>
      </c>
      <c r="D1685" t="s">
        <v>1143</v>
      </c>
      <c r="E1685" t="s">
        <v>34</v>
      </c>
      <c r="F1685" t="s">
        <v>1144</v>
      </c>
      <c r="G1685" t="s">
        <v>440</v>
      </c>
      <c r="H1685" t="s">
        <v>182</v>
      </c>
      <c r="I1685" t="s">
        <v>1143</v>
      </c>
      <c r="J1685" t="s">
        <v>2950</v>
      </c>
      <c r="K1685" s="21" t="s">
        <v>2951</v>
      </c>
      <c r="L1685" s="21" t="s">
        <v>1147</v>
      </c>
      <c r="M1685" t="s">
        <v>375</v>
      </c>
      <c r="N1685" t="s">
        <v>159</v>
      </c>
      <c r="R1685" t="s">
        <v>2945</v>
      </c>
      <c r="S1685" t="s">
        <v>2950</v>
      </c>
      <c r="T1685" t="s">
        <v>45</v>
      </c>
      <c r="U1685" t="s">
        <v>1437</v>
      </c>
      <c r="V1685" t="s">
        <v>1150</v>
      </c>
      <c r="W1685" t="s">
        <v>2952</v>
      </c>
    </row>
    <row r="1686" spans="1:23" ht="15" customHeight="1" x14ac:dyDescent="0.3">
      <c r="A1686" t="s">
        <v>8</v>
      </c>
      <c r="B1686">
        <v>19</v>
      </c>
      <c r="C1686" t="s">
        <v>1142</v>
      </c>
      <c r="D1686" t="s">
        <v>1143</v>
      </c>
      <c r="E1686" t="s">
        <v>34</v>
      </c>
      <c r="F1686" t="s">
        <v>1144</v>
      </c>
      <c r="G1686" t="s">
        <v>440</v>
      </c>
      <c r="H1686" t="s">
        <v>182</v>
      </c>
      <c r="I1686" t="s">
        <v>1143</v>
      </c>
      <c r="J1686" t="s">
        <v>2950</v>
      </c>
      <c r="K1686" s="21" t="s">
        <v>2951</v>
      </c>
      <c r="L1686" s="21" t="s">
        <v>1147</v>
      </c>
      <c r="M1686" t="s">
        <v>375</v>
      </c>
      <c r="N1686" t="s">
        <v>159</v>
      </c>
      <c r="R1686" t="s">
        <v>2946</v>
      </c>
      <c r="S1686" t="s">
        <v>2950</v>
      </c>
      <c r="T1686" t="s">
        <v>45</v>
      </c>
      <c r="U1686" t="s">
        <v>1437</v>
      </c>
      <c r="V1686" t="s">
        <v>1150</v>
      </c>
      <c r="W1686" t="s">
        <v>2952</v>
      </c>
    </row>
    <row r="1687" spans="1:23" ht="15" customHeight="1" x14ac:dyDescent="0.3">
      <c r="A1687" t="s">
        <v>8</v>
      </c>
      <c r="B1687">
        <v>19</v>
      </c>
      <c r="C1687" t="s">
        <v>1142</v>
      </c>
      <c r="D1687" t="s">
        <v>1143</v>
      </c>
      <c r="E1687" t="s">
        <v>34</v>
      </c>
      <c r="F1687" t="s">
        <v>1144</v>
      </c>
      <c r="G1687" t="s">
        <v>440</v>
      </c>
      <c r="H1687" t="s">
        <v>182</v>
      </c>
      <c r="I1687" t="s">
        <v>1143</v>
      </c>
      <c r="J1687" t="s">
        <v>2950</v>
      </c>
      <c r="K1687" s="21" t="s">
        <v>2951</v>
      </c>
      <c r="L1687" s="21" t="s">
        <v>1147</v>
      </c>
      <c r="M1687" t="s">
        <v>375</v>
      </c>
      <c r="N1687" t="s">
        <v>159</v>
      </c>
      <c r="R1687" t="s">
        <v>2947</v>
      </c>
      <c r="S1687" t="s">
        <v>2950</v>
      </c>
      <c r="T1687" t="s">
        <v>45</v>
      </c>
      <c r="U1687" t="s">
        <v>1437</v>
      </c>
      <c r="V1687" t="s">
        <v>1150</v>
      </c>
      <c r="W1687" t="s">
        <v>2952</v>
      </c>
    </row>
    <row r="1688" spans="1:23" ht="15" customHeight="1" x14ac:dyDescent="0.3">
      <c r="A1688" t="s">
        <v>8</v>
      </c>
      <c r="B1688">
        <v>19</v>
      </c>
      <c r="C1688" t="s">
        <v>1142</v>
      </c>
      <c r="D1688" t="s">
        <v>1143</v>
      </c>
      <c r="E1688" t="s">
        <v>34</v>
      </c>
      <c r="F1688" t="s">
        <v>1144</v>
      </c>
      <c r="G1688" t="s">
        <v>440</v>
      </c>
      <c r="H1688" t="s">
        <v>182</v>
      </c>
      <c r="I1688" t="s">
        <v>1143</v>
      </c>
      <c r="J1688" t="s">
        <v>2950</v>
      </c>
      <c r="K1688" s="21" t="s">
        <v>2951</v>
      </c>
      <c r="L1688" s="21" t="s">
        <v>1147</v>
      </c>
      <c r="M1688" t="s">
        <v>375</v>
      </c>
      <c r="N1688" t="s">
        <v>159</v>
      </c>
      <c r="R1688" t="s">
        <v>2948</v>
      </c>
      <c r="S1688" t="s">
        <v>2950</v>
      </c>
      <c r="T1688" t="s">
        <v>45</v>
      </c>
      <c r="U1688" t="s">
        <v>1437</v>
      </c>
      <c r="V1688" t="s">
        <v>1150</v>
      </c>
      <c r="W1688" t="s">
        <v>2952</v>
      </c>
    </row>
    <row r="1689" spans="1:23" ht="15" customHeight="1" x14ac:dyDescent="0.3">
      <c r="A1689" t="s">
        <v>8</v>
      </c>
      <c r="B1689">
        <v>19</v>
      </c>
      <c r="C1689" t="s">
        <v>1142</v>
      </c>
      <c r="D1689" t="s">
        <v>1143</v>
      </c>
      <c r="E1689" t="s">
        <v>34</v>
      </c>
      <c r="F1689" t="s">
        <v>1144</v>
      </c>
      <c r="G1689" t="s">
        <v>440</v>
      </c>
      <c r="H1689" t="s">
        <v>182</v>
      </c>
      <c r="I1689" t="s">
        <v>1143</v>
      </c>
      <c r="J1689" t="s">
        <v>2950</v>
      </c>
      <c r="K1689" s="21" t="s">
        <v>2951</v>
      </c>
      <c r="L1689" s="21" t="s">
        <v>1147</v>
      </c>
      <c r="M1689" t="s">
        <v>375</v>
      </c>
      <c r="N1689" t="s">
        <v>159</v>
      </c>
      <c r="R1689" t="s">
        <v>2949</v>
      </c>
      <c r="S1689" t="s">
        <v>2950</v>
      </c>
      <c r="T1689" t="s">
        <v>45</v>
      </c>
      <c r="U1689" t="s">
        <v>1437</v>
      </c>
      <c r="V1689" t="s">
        <v>1150</v>
      </c>
      <c r="W1689" t="s">
        <v>2952</v>
      </c>
    </row>
    <row r="1690" spans="1:23" ht="15" customHeight="1" x14ac:dyDescent="0.3">
      <c r="A1690" t="s">
        <v>8</v>
      </c>
      <c r="B1690">
        <v>19</v>
      </c>
      <c r="C1690" t="s">
        <v>1142</v>
      </c>
      <c r="D1690" t="s">
        <v>1143</v>
      </c>
      <c r="E1690" t="s">
        <v>34</v>
      </c>
      <c r="F1690" t="s">
        <v>1144</v>
      </c>
      <c r="G1690" t="s">
        <v>440</v>
      </c>
      <c r="H1690" t="s">
        <v>1242</v>
      </c>
      <c r="I1690" t="s">
        <v>1143</v>
      </c>
      <c r="J1690" t="s">
        <v>2953</v>
      </c>
      <c r="K1690" s="21" t="s">
        <v>2954</v>
      </c>
      <c r="L1690" s="21" t="s">
        <v>1147</v>
      </c>
      <c r="M1690" t="s">
        <v>375</v>
      </c>
      <c r="N1690" t="s">
        <v>159</v>
      </c>
      <c r="R1690" t="s">
        <v>2944</v>
      </c>
      <c r="S1690" t="s">
        <v>2953</v>
      </c>
      <c r="T1690" t="s">
        <v>1544</v>
      </c>
      <c r="U1690" t="s">
        <v>1501</v>
      </c>
      <c r="V1690" t="s">
        <v>1150</v>
      </c>
      <c r="W1690" t="s">
        <v>2955</v>
      </c>
    </row>
    <row r="1691" spans="1:23" ht="15" customHeight="1" x14ac:dyDescent="0.3">
      <c r="A1691" t="s">
        <v>8</v>
      </c>
      <c r="B1691">
        <v>19</v>
      </c>
      <c r="C1691" t="s">
        <v>1142</v>
      </c>
      <c r="D1691" t="s">
        <v>1143</v>
      </c>
      <c r="E1691" t="s">
        <v>34</v>
      </c>
      <c r="F1691" t="s">
        <v>1144</v>
      </c>
      <c r="G1691" t="s">
        <v>440</v>
      </c>
      <c r="H1691" t="s">
        <v>1242</v>
      </c>
      <c r="I1691" t="s">
        <v>1143</v>
      </c>
      <c r="J1691" t="s">
        <v>2953</v>
      </c>
      <c r="K1691" s="21" t="s">
        <v>2954</v>
      </c>
      <c r="L1691" s="21" t="s">
        <v>1147</v>
      </c>
      <c r="M1691" t="s">
        <v>375</v>
      </c>
      <c r="N1691" t="s">
        <v>159</v>
      </c>
      <c r="R1691" t="s">
        <v>2945</v>
      </c>
      <c r="S1691" t="s">
        <v>2953</v>
      </c>
      <c r="T1691" t="s">
        <v>1544</v>
      </c>
      <c r="U1691" t="s">
        <v>1501</v>
      </c>
      <c r="V1691" t="s">
        <v>1150</v>
      </c>
      <c r="W1691" t="s">
        <v>2955</v>
      </c>
    </row>
    <row r="1692" spans="1:23" ht="15" customHeight="1" x14ac:dyDescent="0.3">
      <c r="A1692" t="s">
        <v>8</v>
      </c>
      <c r="B1692">
        <v>19</v>
      </c>
      <c r="C1692" t="s">
        <v>1142</v>
      </c>
      <c r="D1692" t="s">
        <v>1143</v>
      </c>
      <c r="E1692" t="s">
        <v>34</v>
      </c>
      <c r="F1692" t="s">
        <v>1144</v>
      </c>
      <c r="G1692" t="s">
        <v>440</v>
      </c>
      <c r="H1692" t="s">
        <v>1242</v>
      </c>
      <c r="I1692" t="s">
        <v>1143</v>
      </c>
      <c r="J1692" t="s">
        <v>2953</v>
      </c>
      <c r="K1692" s="21" t="s">
        <v>2954</v>
      </c>
      <c r="L1692" s="21" t="s">
        <v>1147</v>
      </c>
      <c r="M1692" t="s">
        <v>375</v>
      </c>
      <c r="N1692" t="s">
        <v>159</v>
      </c>
      <c r="R1692" t="s">
        <v>2946</v>
      </c>
      <c r="S1692" t="s">
        <v>2953</v>
      </c>
      <c r="T1692" t="s">
        <v>1544</v>
      </c>
      <c r="U1692" t="s">
        <v>1501</v>
      </c>
      <c r="V1692" t="s">
        <v>1150</v>
      </c>
      <c r="W1692" t="s">
        <v>2955</v>
      </c>
    </row>
    <row r="1693" spans="1:23" ht="15" customHeight="1" x14ac:dyDescent="0.3">
      <c r="A1693" t="s">
        <v>8</v>
      </c>
      <c r="B1693">
        <v>19</v>
      </c>
      <c r="C1693" t="s">
        <v>1142</v>
      </c>
      <c r="D1693" t="s">
        <v>1143</v>
      </c>
      <c r="E1693" t="s">
        <v>34</v>
      </c>
      <c r="F1693" t="s">
        <v>1144</v>
      </c>
      <c r="G1693" t="s">
        <v>440</v>
      </c>
      <c r="H1693" t="s">
        <v>1242</v>
      </c>
      <c r="I1693" t="s">
        <v>1143</v>
      </c>
      <c r="J1693" t="s">
        <v>2953</v>
      </c>
      <c r="K1693" s="21" t="s">
        <v>2954</v>
      </c>
      <c r="L1693" s="21" t="s">
        <v>1147</v>
      </c>
      <c r="M1693" t="s">
        <v>375</v>
      </c>
      <c r="N1693" t="s">
        <v>159</v>
      </c>
      <c r="R1693" t="s">
        <v>2947</v>
      </c>
      <c r="S1693" t="s">
        <v>2953</v>
      </c>
      <c r="T1693" t="s">
        <v>1544</v>
      </c>
      <c r="U1693" t="s">
        <v>1501</v>
      </c>
      <c r="V1693" t="s">
        <v>1150</v>
      </c>
      <c r="W1693" t="s">
        <v>2955</v>
      </c>
    </row>
    <row r="1694" spans="1:23" ht="15" customHeight="1" x14ac:dyDescent="0.3">
      <c r="A1694" t="s">
        <v>8</v>
      </c>
      <c r="B1694">
        <v>19</v>
      </c>
      <c r="C1694" t="s">
        <v>1142</v>
      </c>
      <c r="D1694" t="s">
        <v>1143</v>
      </c>
      <c r="E1694" t="s">
        <v>34</v>
      </c>
      <c r="F1694" t="s">
        <v>1144</v>
      </c>
      <c r="G1694" t="s">
        <v>440</v>
      </c>
      <c r="H1694" t="s">
        <v>1242</v>
      </c>
      <c r="I1694" t="s">
        <v>1143</v>
      </c>
      <c r="J1694" t="s">
        <v>2953</v>
      </c>
      <c r="K1694" s="21" t="s">
        <v>2954</v>
      </c>
      <c r="L1694" s="21" t="s">
        <v>1147</v>
      </c>
      <c r="M1694" t="s">
        <v>375</v>
      </c>
      <c r="N1694" t="s">
        <v>159</v>
      </c>
      <c r="R1694" t="s">
        <v>2948</v>
      </c>
      <c r="S1694" t="s">
        <v>2953</v>
      </c>
      <c r="T1694" t="s">
        <v>1544</v>
      </c>
      <c r="U1694" t="s">
        <v>1501</v>
      </c>
      <c r="V1694" t="s">
        <v>1150</v>
      </c>
      <c r="W1694" t="s">
        <v>2955</v>
      </c>
    </row>
    <row r="1695" spans="1:23" ht="15" customHeight="1" x14ac:dyDescent="0.3">
      <c r="A1695" t="s">
        <v>8</v>
      </c>
      <c r="B1695">
        <v>19</v>
      </c>
      <c r="C1695" t="s">
        <v>1142</v>
      </c>
      <c r="D1695" t="s">
        <v>1143</v>
      </c>
      <c r="E1695" t="s">
        <v>34</v>
      </c>
      <c r="F1695" t="s">
        <v>1144</v>
      </c>
      <c r="G1695" t="s">
        <v>440</v>
      </c>
      <c r="H1695" t="s">
        <v>1242</v>
      </c>
      <c r="I1695" t="s">
        <v>1143</v>
      </c>
      <c r="J1695" t="s">
        <v>2953</v>
      </c>
      <c r="K1695" s="21" t="s">
        <v>2954</v>
      </c>
      <c r="L1695" s="21" t="s">
        <v>1147</v>
      </c>
      <c r="M1695" t="s">
        <v>375</v>
      </c>
      <c r="N1695" t="s">
        <v>159</v>
      </c>
      <c r="R1695" t="s">
        <v>2949</v>
      </c>
      <c r="S1695" t="s">
        <v>2953</v>
      </c>
      <c r="T1695" t="s">
        <v>1544</v>
      </c>
      <c r="U1695" t="s">
        <v>1501</v>
      </c>
      <c r="V1695" t="s">
        <v>1150</v>
      </c>
      <c r="W1695" t="s">
        <v>2955</v>
      </c>
    </row>
    <row r="1696" spans="1:23" ht="15" customHeight="1" x14ac:dyDescent="0.3">
      <c r="A1696" t="s">
        <v>8</v>
      </c>
      <c r="B1696">
        <v>19</v>
      </c>
      <c r="C1696" t="s">
        <v>1142</v>
      </c>
      <c r="D1696" t="s">
        <v>1143</v>
      </c>
      <c r="E1696" t="s">
        <v>34</v>
      </c>
      <c r="F1696" t="s">
        <v>1144</v>
      </c>
      <c r="G1696" t="s">
        <v>440</v>
      </c>
      <c r="H1696" t="s">
        <v>425</v>
      </c>
      <c r="I1696" t="s">
        <v>1143</v>
      </c>
      <c r="J1696" t="s">
        <v>2956</v>
      </c>
      <c r="K1696" s="21" t="s">
        <v>2957</v>
      </c>
      <c r="L1696" s="21" t="s">
        <v>1147</v>
      </c>
      <c r="M1696" t="s">
        <v>375</v>
      </c>
      <c r="N1696" t="s">
        <v>159</v>
      </c>
      <c r="R1696" t="s">
        <v>2944</v>
      </c>
      <c r="S1696" t="s">
        <v>2956</v>
      </c>
      <c r="T1696" t="s">
        <v>1544</v>
      </c>
      <c r="U1696" t="s">
        <v>1511</v>
      </c>
      <c r="V1696" t="s">
        <v>2958</v>
      </c>
      <c r="W1696" t="s">
        <v>2959</v>
      </c>
    </row>
    <row r="1697" spans="1:23" ht="15" customHeight="1" x14ac:dyDescent="0.3">
      <c r="A1697" t="s">
        <v>8</v>
      </c>
      <c r="B1697">
        <v>19</v>
      </c>
      <c r="C1697" t="s">
        <v>1142</v>
      </c>
      <c r="D1697" t="s">
        <v>1143</v>
      </c>
      <c r="E1697" t="s">
        <v>34</v>
      </c>
      <c r="F1697" t="s">
        <v>1144</v>
      </c>
      <c r="G1697" t="s">
        <v>440</v>
      </c>
      <c r="H1697" t="s">
        <v>425</v>
      </c>
      <c r="I1697" t="s">
        <v>1143</v>
      </c>
      <c r="J1697" t="s">
        <v>2956</v>
      </c>
      <c r="K1697" s="21" t="s">
        <v>2957</v>
      </c>
      <c r="L1697" s="21" t="s">
        <v>1147</v>
      </c>
      <c r="M1697" t="s">
        <v>375</v>
      </c>
      <c r="N1697" t="s">
        <v>159</v>
      </c>
      <c r="R1697" t="s">
        <v>2945</v>
      </c>
      <c r="S1697" t="s">
        <v>2956</v>
      </c>
      <c r="T1697" t="s">
        <v>1544</v>
      </c>
      <c r="U1697" t="s">
        <v>1511</v>
      </c>
      <c r="V1697" t="s">
        <v>2958</v>
      </c>
      <c r="W1697" t="s">
        <v>2959</v>
      </c>
    </row>
    <row r="1698" spans="1:23" ht="15" customHeight="1" x14ac:dyDescent="0.3">
      <c r="A1698" t="s">
        <v>8</v>
      </c>
      <c r="B1698">
        <v>19</v>
      </c>
      <c r="C1698" t="s">
        <v>1142</v>
      </c>
      <c r="D1698" t="s">
        <v>1143</v>
      </c>
      <c r="E1698" t="s">
        <v>34</v>
      </c>
      <c r="F1698" t="s">
        <v>1144</v>
      </c>
      <c r="G1698" t="s">
        <v>440</v>
      </c>
      <c r="H1698" t="s">
        <v>425</v>
      </c>
      <c r="I1698" t="s">
        <v>1143</v>
      </c>
      <c r="J1698" t="s">
        <v>2956</v>
      </c>
      <c r="K1698" s="21" t="s">
        <v>2957</v>
      </c>
      <c r="L1698" s="21" t="s">
        <v>1147</v>
      </c>
      <c r="M1698" t="s">
        <v>375</v>
      </c>
      <c r="N1698" t="s">
        <v>159</v>
      </c>
      <c r="R1698" t="s">
        <v>2946</v>
      </c>
      <c r="S1698" t="s">
        <v>2956</v>
      </c>
      <c r="T1698" t="s">
        <v>1544</v>
      </c>
      <c r="U1698" t="s">
        <v>1511</v>
      </c>
      <c r="V1698" t="s">
        <v>2958</v>
      </c>
      <c r="W1698" t="s">
        <v>2959</v>
      </c>
    </row>
    <row r="1699" spans="1:23" ht="15" customHeight="1" x14ac:dyDescent="0.3">
      <c r="A1699" t="s">
        <v>8</v>
      </c>
      <c r="B1699">
        <v>19</v>
      </c>
      <c r="C1699" t="s">
        <v>1142</v>
      </c>
      <c r="D1699" t="s">
        <v>1143</v>
      </c>
      <c r="E1699" t="s">
        <v>34</v>
      </c>
      <c r="F1699" t="s">
        <v>1144</v>
      </c>
      <c r="G1699" t="s">
        <v>440</v>
      </c>
      <c r="H1699" t="s">
        <v>425</v>
      </c>
      <c r="I1699" t="s">
        <v>1143</v>
      </c>
      <c r="J1699" t="s">
        <v>2956</v>
      </c>
      <c r="K1699" s="21" t="s">
        <v>2957</v>
      </c>
      <c r="L1699" s="21" t="s">
        <v>1147</v>
      </c>
      <c r="M1699" t="s">
        <v>375</v>
      </c>
      <c r="N1699" t="s">
        <v>159</v>
      </c>
      <c r="R1699" t="s">
        <v>2947</v>
      </c>
      <c r="S1699" t="s">
        <v>2956</v>
      </c>
      <c r="T1699" t="s">
        <v>1544</v>
      </c>
      <c r="U1699" t="s">
        <v>1511</v>
      </c>
      <c r="V1699" t="s">
        <v>2958</v>
      </c>
      <c r="W1699" t="s">
        <v>2959</v>
      </c>
    </row>
    <row r="1700" spans="1:23" ht="15" customHeight="1" x14ac:dyDescent="0.3">
      <c r="A1700" t="s">
        <v>8</v>
      </c>
      <c r="B1700">
        <v>19</v>
      </c>
      <c r="C1700" t="s">
        <v>1142</v>
      </c>
      <c r="D1700" t="s">
        <v>1143</v>
      </c>
      <c r="E1700" t="s">
        <v>34</v>
      </c>
      <c r="F1700" t="s">
        <v>1144</v>
      </c>
      <c r="G1700" t="s">
        <v>440</v>
      </c>
      <c r="H1700" t="s">
        <v>425</v>
      </c>
      <c r="I1700" t="s">
        <v>1143</v>
      </c>
      <c r="J1700" t="s">
        <v>2956</v>
      </c>
      <c r="K1700" s="21" t="s">
        <v>2957</v>
      </c>
      <c r="L1700" s="21" t="s">
        <v>1147</v>
      </c>
      <c r="M1700" t="s">
        <v>375</v>
      </c>
      <c r="N1700" t="s">
        <v>159</v>
      </c>
      <c r="R1700" t="s">
        <v>2948</v>
      </c>
      <c r="S1700" t="s">
        <v>2956</v>
      </c>
      <c r="T1700" t="s">
        <v>1544</v>
      </c>
      <c r="U1700" t="s">
        <v>1511</v>
      </c>
      <c r="V1700" t="s">
        <v>2958</v>
      </c>
      <c r="W1700" t="s">
        <v>2959</v>
      </c>
    </row>
    <row r="1701" spans="1:23" ht="15" customHeight="1" x14ac:dyDescent="0.3">
      <c r="A1701" t="s">
        <v>8</v>
      </c>
      <c r="B1701">
        <v>19</v>
      </c>
      <c r="C1701" t="s">
        <v>1142</v>
      </c>
      <c r="D1701" t="s">
        <v>1143</v>
      </c>
      <c r="E1701" t="s">
        <v>34</v>
      </c>
      <c r="F1701" t="s">
        <v>1144</v>
      </c>
      <c r="G1701" t="s">
        <v>440</v>
      </c>
      <c r="H1701" t="s">
        <v>425</v>
      </c>
      <c r="I1701" t="s">
        <v>1143</v>
      </c>
      <c r="J1701" t="s">
        <v>2956</v>
      </c>
      <c r="K1701" s="21" t="s">
        <v>2957</v>
      </c>
      <c r="L1701" s="21" t="s">
        <v>1147</v>
      </c>
      <c r="M1701" t="s">
        <v>375</v>
      </c>
      <c r="N1701" t="s">
        <v>159</v>
      </c>
      <c r="R1701" t="s">
        <v>2949</v>
      </c>
      <c r="S1701" t="s">
        <v>2956</v>
      </c>
      <c r="T1701" t="s">
        <v>1544</v>
      </c>
      <c r="U1701" t="s">
        <v>1511</v>
      </c>
      <c r="V1701" t="s">
        <v>2958</v>
      </c>
      <c r="W1701" t="s">
        <v>2959</v>
      </c>
    </row>
    <row r="1702" spans="1:23" ht="15" customHeight="1" x14ac:dyDescent="0.3">
      <c r="A1702" t="s">
        <v>8</v>
      </c>
      <c r="B1702">
        <v>19</v>
      </c>
      <c r="C1702" t="s">
        <v>1142</v>
      </c>
      <c r="D1702" t="s">
        <v>1143</v>
      </c>
      <c r="E1702" t="s">
        <v>34</v>
      </c>
      <c r="F1702" t="s">
        <v>1144</v>
      </c>
      <c r="G1702" t="s">
        <v>440</v>
      </c>
      <c r="H1702" t="s">
        <v>996</v>
      </c>
      <c r="I1702" t="s">
        <v>1143</v>
      </c>
      <c r="J1702" t="s">
        <v>2960</v>
      </c>
      <c r="K1702" s="21" t="s">
        <v>2961</v>
      </c>
      <c r="L1702" s="21" t="s">
        <v>1147</v>
      </c>
      <c r="M1702" t="s">
        <v>375</v>
      </c>
      <c r="N1702" t="s">
        <v>159</v>
      </c>
      <c r="R1702" t="s">
        <v>2944</v>
      </c>
      <c r="S1702" t="s">
        <v>2960</v>
      </c>
      <c r="T1702" t="s">
        <v>1249</v>
      </c>
      <c r="U1702" t="s">
        <v>1473</v>
      </c>
      <c r="V1702" t="s">
        <v>2962</v>
      </c>
      <c r="W1702" t="s">
        <v>2963</v>
      </c>
    </row>
    <row r="1703" spans="1:23" ht="15" customHeight="1" x14ac:dyDescent="0.3">
      <c r="A1703" t="s">
        <v>8</v>
      </c>
      <c r="B1703">
        <v>19</v>
      </c>
      <c r="C1703" t="s">
        <v>1142</v>
      </c>
      <c r="D1703" t="s">
        <v>1143</v>
      </c>
      <c r="E1703" t="s">
        <v>34</v>
      </c>
      <c r="F1703" t="s">
        <v>1144</v>
      </c>
      <c r="G1703" t="s">
        <v>440</v>
      </c>
      <c r="H1703" t="s">
        <v>996</v>
      </c>
      <c r="I1703" t="s">
        <v>1143</v>
      </c>
      <c r="J1703" t="s">
        <v>2960</v>
      </c>
      <c r="K1703" s="21" t="s">
        <v>2961</v>
      </c>
      <c r="L1703" s="21" t="s">
        <v>1147</v>
      </c>
      <c r="M1703" t="s">
        <v>375</v>
      </c>
      <c r="N1703" t="s">
        <v>159</v>
      </c>
      <c r="R1703" t="s">
        <v>2945</v>
      </c>
      <c r="S1703" t="s">
        <v>2960</v>
      </c>
      <c r="T1703" t="s">
        <v>1249</v>
      </c>
      <c r="U1703" t="s">
        <v>1473</v>
      </c>
      <c r="V1703" t="s">
        <v>2962</v>
      </c>
      <c r="W1703" t="s">
        <v>2963</v>
      </c>
    </row>
    <row r="1704" spans="1:23" ht="15" customHeight="1" x14ac:dyDescent="0.3">
      <c r="A1704" t="s">
        <v>8</v>
      </c>
      <c r="B1704">
        <v>19</v>
      </c>
      <c r="C1704" t="s">
        <v>1142</v>
      </c>
      <c r="D1704" t="s">
        <v>1143</v>
      </c>
      <c r="E1704" t="s">
        <v>34</v>
      </c>
      <c r="F1704" t="s">
        <v>1144</v>
      </c>
      <c r="G1704" t="s">
        <v>440</v>
      </c>
      <c r="H1704" t="s">
        <v>996</v>
      </c>
      <c r="I1704" t="s">
        <v>1143</v>
      </c>
      <c r="J1704" t="s">
        <v>2960</v>
      </c>
      <c r="K1704" s="21" t="s">
        <v>2961</v>
      </c>
      <c r="L1704" s="21" t="s">
        <v>1147</v>
      </c>
      <c r="M1704" t="s">
        <v>375</v>
      </c>
      <c r="N1704" t="s">
        <v>159</v>
      </c>
      <c r="R1704" t="s">
        <v>2946</v>
      </c>
      <c r="S1704" t="s">
        <v>2960</v>
      </c>
      <c r="T1704" t="s">
        <v>1249</v>
      </c>
      <c r="U1704" t="s">
        <v>1473</v>
      </c>
      <c r="V1704" t="s">
        <v>2962</v>
      </c>
      <c r="W1704" t="s">
        <v>2963</v>
      </c>
    </row>
    <row r="1705" spans="1:23" ht="15" customHeight="1" x14ac:dyDescent="0.3">
      <c r="A1705" t="s">
        <v>8</v>
      </c>
      <c r="B1705">
        <v>19</v>
      </c>
      <c r="C1705" t="s">
        <v>1142</v>
      </c>
      <c r="D1705" t="s">
        <v>1143</v>
      </c>
      <c r="E1705" t="s">
        <v>34</v>
      </c>
      <c r="F1705" t="s">
        <v>1144</v>
      </c>
      <c r="G1705" t="s">
        <v>440</v>
      </c>
      <c r="H1705" t="s">
        <v>996</v>
      </c>
      <c r="I1705" t="s">
        <v>1143</v>
      </c>
      <c r="J1705" t="s">
        <v>2960</v>
      </c>
      <c r="K1705" s="21" t="s">
        <v>2961</v>
      </c>
      <c r="L1705" s="21" t="s">
        <v>1147</v>
      </c>
      <c r="M1705" t="s">
        <v>375</v>
      </c>
      <c r="N1705" t="s">
        <v>159</v>
      </c>
      <c r="R1705" t="s">
        <v>2947</v>
      </c>
      <c r="S1705" t="s">
        <v>2960</v>
      </c>
      <c r="T1705" t="s">
        <v>1249</v>
      </c>
      <c r="U1705" t="s">
        <v>1473</v>
      </c>
      <c r="V1705" t="s">
        <v>2962</v>
      </c>
      <c r="W1705" t="s">
        <v>2963</v>
      </c>
    </row>
    <row r="1706" spans="1:23" ht="15" customHeight="1" x14ac:dyDescent="0.3">
      <c r="A1706" t="s">
        <v>8</v>
      </c>
      <c r="B1706">
        <v>19</v>
      </c>
      <c r="C1706" t="s">
        <v>1142</v>
      </c>
      <c r="D1706" t="s">
        <v>1143</v>
      </c>
      <c r="E1706" t="s">
        <v>34</v>
      </c>
      <c r="F1706" t="s">
        <v>1144</v>
      </c>
      <c r="G1706" t="s">
        <v>440</v>
      </c>
      <c r="H1706" t="s">
        <v>996</v>
      </c>
      <c r="I1706" t="s">
        <v>1143</v>
      </c>
      <c r="J1706" t="s">
        <v>2960</v>
      </c>
      <c r="K1706" s="21" t="s">
        <v>2961</v>
      </c>
      <c r="L1706" s="21" t="s">
        <v>1147</v>
      </c>
      <c r="M1706" t="s">
        <v>375</v>
      </c>
      <c r="N1706" t="s">
        <v>159</v>
      </c>
      <c r="R1706" t="s">
        <v>2948</v>
      </c>
      <c r="S1706" t="s">
        <v>2960</v>
      </c>
      <c r="T1706" t="s">
        <v>1249</v>
      </c>
      <c r="U1706" t="s">
        <v>1473</v>
      </c>
      <c r="V1706" t="s">
        <v>2962</v>
      </c>
      <c r="W1706" t="s">
        <v>2963</v>
      </c>
    </row>
    <row r="1707" spans="1:23" ht="15" customHeight="1" x14ac:dyDescent="0.3">
      <c r="A1707" t="s">
        <v>8</v>
      </c>
      <c r="B1707">
        <v>19</v>
      </c>
      <c r="C1707" t="s">
        <v>1142</v>
      </c>
      <c r="D1707" t="s">
        <v>1143</v>
      </c>
      <c r="E1707" t="s">
        <v>34</v>
      </c>
      <c r="F1707" t="s">
        <v>1144</v>
      </c>
      <c r="G1707" t="s">
        <v>440</v>
      </c>
      <c r="H1707" t="s">
        <v>996</v>
      </c>
      <c r="I1707" t="s">
        <v>1143</v>
      </c>
      <c r="J1707" t="s">
        <v>2960</v>
      </c>
      <c r="K1707" s="21" t="s">
        <v>2961</v>
      </c>
      <c r="L1707" s="21" t="s">
        <v>1147</v>
      </c>
      <c r="M1707" t="s">
        <v>375</v>
      </c>
      <c r="N1707" t="s">
        <v>159</v>
      </c>
      <c r="R1707" t="s">
        <v>2949</v>
      </c>
      <c r="S1707" t="s">
        <v>2960</v>
      </c>
      <c r="T1707" t="s">
        <v>1249</v>
      </c>
      <c r="U1707" t="s">
        <v>1473</v>
      </c>
      <c r="V1707" t="s">
        <v>2962</v>
      </c>
      <c r="W1707" t="s">
        <v>2963</v>
      </c>
    </row>
    <row r="1708" spans="1:23" ht="15" customHeight="1" x14ac:dyDescent="0.3">
      <c r="A1708" t="s">
        <v>8</v>
      </c>
      <c r="B1708">
        <v>19</v>
      </c>
      <c r="C1708" t="s">
        <v>1142</v>
      </c>
      <c r="D1708" t="s">
        <v>1143</v>
      </c>
      <c r="E1708" t="s">
        <v>34</v>
      </c>
      <c r="F1708" t="s">
        <v>1144</v>
      </c>
      <c r="G1708" t="s">
        <v>440</v>
      </c>
      <c r="H1708" t="s">
        <v>1000</v>
      </c>
      <c r="I1708" t="s">
        <v>1143</v>
      </c>
      <c r="J1708" t="s">
        <v>2964</v>
      </c>
      <c r="K1708" s="21" t="s">
        <v>2965</v>
      </c>
      <c r="L1708" s="21" t="s">
        <v>1147</v>
      </c>
      <c r="M1708" t="s">
        <v>375</v>
      </c>
      <c r="N1708" t="s">
        <v>159</v>
      </c>
      <c r="R1708" t="s">
        <v>2944</v>
      </c>
      <c r="S1708" t="s">
        <v>2964</v>
      </c>
      <c r="T1708" t="s">
        <v>1249</v>
      </c>
      <c r="U1708" t="s">
        <v>1467</v>
      </c>
      <c r="V1708" t="s">
        <v>2962</v>
      </c>
      <c r="W1708" t="s">
        <v>2963</v>
      </c>
    </row>
    <row r="1709" spans="1:23" ht="15" customHeight="1" x14ac:dyDescent="0.3">
      <c r="A1709" t="s">
        <v>8</v>
      </c>
      <c r="B1709">
        <v>19</v>
      </c>
      <c r="C1709" t="s">
        <v>1142</v>
      </c>
      <c r="D1709" t="s">
        <v>1143</v>
      </c>
      <c r="E1709" t="s">
        <v>34</v>
      </c>
      <c r="F1709" t="s">
        <v>1144</v>
      </c>
      <c r="G1709" t="s">
        <v>440</v>
      </c>
      <c r="H1709" t="s">
        <v>1000</v>
      </c>
      <c r="I1709" t="s">
        <v>1143</v>
      </c>
      <c r="J1709" t="s">
        <v>2964</v>
      </c>
      <c r="K1709" s="21" t="s">
        <v>2965</v>
      </c>
      <c r="L1709" s="21" t="s">
        <v>1147</v>
      </c>
      <c r="M1709" t="s">
        <v>375</v>
      </c>
      <c r="N1709" t="s">
        <v>159</v>
      </c>
      <c r="R1709" t="s">
        <v>2945</v>
      </c>
      <c r="S1709" t="s">
        <v>2964</v>
      </c>
      <c r="T1709" t="s">
        <v>1249</v>
      </c>
      <c r="U1709" t="s">
        <v>1467</v>
      </c>
      <c r="V1709" t="s">
        <v>2962</v>
      </c>
      <c r="W1709" t="s">
        <v>2963</v>
      </c>
    </row>
    <row r="1710" spans="1:23" ht="15" customHeight="1" x14ac:dyDescent="0.3">
      <c r="A1710" t="s">
        <v>8</v>
      </c>
      <c r="B1710">
        <v>19</v>
      </c>
      <c r="C1710" t="s">
        <v>1142</v>
      </c>
      <c r="D1710" t="s">
        <v>1143</v>
      </c>
      <c r="E1710" t="s">
        <v>34</v>
      </c>
      <c r="F1710" t="s">
        <v>1144</v>
      </c>
      <c r="G1710" t="s">
        <v>440</v>
      </c>
      <c r="H1710" t="s">
        <v>1000</v>
      </c>
      <c r="I1710" t="s">
        <v>1143</v>
      </c>
      <c r="J1710" t="s">
        <v>2964</v>
      </c>
      <c r="K1710" s="21" t="s">
        <v>2965</v>
      </c>
      <c r="L1710" s="21" t="s">
        <v>1147</v>
      </c>
      <c r="M1710" t="s">
        <v>375</v>
      </c>
      <c r="N1710" t="s">
        <v>159</v>
      </c>
      <c r="R1710" t="s">
        <v>2946</v>
      </c>
      <c r="S1710" t="s">
        <v>2964</v>
      </c>
      <c r="T1710" t="s">
        <v>1249</v>
      </c>
      <c r="U1710" t="s">
        <v>1467</v>
      </c>
      <c r="V1710" t="s">
        <v>2962</v>
      </c>
      <c r="W1710" t="s">
        <v>2963</v>
      </c>
    </row>
    <row r="1711" spans="1:23" ht="15" customHeight="1" x14ac:dyDescent="0.3">
      <c r="A1711" t="s">
        <v>8</v>
      </c>
      <c r="B1711">
        <v>19</v>
      </c>
      <c r="C1711" t="s">
        <v>1142</v>
      </c>
      <c r="D1711" t="s">
        <v>1143</v>
      </c>
      <c r="E1711" t="s">
        <v>34</v>
      </c>
      <c r="F1711" t="s">
        <v>1144</v>
      </c>
      <c r="G1711" t="s">
        <v>440</v>
      </c>
      <c r="H1711" t="s">
        <v>1000</v>
      </c>
      <c r="I1711" t="s">
        <v>1143</v>
      </c>
      <c r="J1711" t="s">
        <v>2964</v>
      </c>
      <c r="K1711" s="21" t="s">
        <v>2965</v>
      </c>
      <c r="L1711" s="21" t="s">
        <v>1147</v>
      </c>
      <c r="M1711" t="s">
        <v>375</v>
      </c>
      <c r="N1711" t="s">
        <v>159</v>
      </c>
      <c r="R1711" t="s">
        <v>2947</v>
      </c>
      <c r="S1711" t="s">
        <v>2964</v>
      </c>
      <c r="T1711" t="s">
        <v>1249</v>
      </c>
      <c r="U1711" t="s">
        <v>1467</v>
      </c>
      <c r="V1711" t="s">
        <v>2962</v>
      </c>
      <c r="W1711" t="s">
        <v>2963</v>
      </c>
    </row>
    <row r="1712" spans="1:23" ht="15" customHeight="1" x14ac:dyDescent="0.3">
      <c r="A1712" t="s">
        <v>8</v>
      </c>
      <c r="B1712">
        <v>19</v>
      </c>
      <c r="C1712" t="s">
        <v>1142</v>
      </c>
      <c r="D1712" t="s">
        <v>1143</v>
      </c>
      <c r="E1712" t="s">
        <v>34</v>
      </c>
      <c r="F1712" t="s">
        <v>1144</v>
      </c>
      <c r="G1712" t="s">
        <v>440</v>
      </c>
      <c r="H1712" t="s">
        <v>1000</v>
      </c>
      <c r="I1712" t="s">
        <v>1143</v>
      </c>
      <c r="J1712" t="s">
        <v>2964</v>
      </c>
      <c r="K1712" s="21" t="s">
        <v>2965</v>
      </c>
      <c r="L1712" s="21" t="s">
        <v>1147</v>
      </c>
      <c r="M1712" t="s">
        <v>375</v>
      </c>
      <c r="N1712" t="s">
        <v>159</v>
      </c>
      <c r="R1712" t="s">
        <v>2948</v>
      </c>
      <c r="S1712" t="s">
        <v>2964</v>
      </c>
      <c r="T1712" t="s">
        <v>1249</v>
      </c>
      <c r="U1712" t="s">
        <v>1467</v>
      </c>
      <c r="V1712" t="s">
        <v>2962</v>
      </c>
      <c r="W1712" t="s">
        <v>2963</v>
      </c>
    </row>
    <row r="1713" spans="1:23" ht="15" customHeight="1" x14ac:dyDescent="0.3">
      <c r="A1713" t="s">
        <v>8</v>
      </c>
      <c r="B1713">
        <v>19</v>
      </c>
      <c r="C1713" t="s">
        <v>1142</v>
      </c>
      <c r="D1713" t="s">
        <v>1143</v>
      </c>
      <c r="E1713" t="s">
        <v>34</v>
      </c>
      <c r="F1713" t="s">
        <v>1144</v>
      </c>
      <c r="G1713" t="s">
        <v>440</v>
      </c>
      <c r="H1713" t="s">
        <v>1000</v>
      </c>
      <c r="I1713" t="s">
        <v>1143</v>
      </c>
      <c r="J1713" t="s">
        <v>2964</v>
      </c>
      <c r="K1713" s="21" t="s">
        <v>2965</v>
      </c>
      <c r="L1713" s="21" t="s">
        <v>1147</v>
      </c>
      <c r="M1713" t="s">
        <v>375</v>
      </c>
      <c r="N1713" t="s">
        <v>159</v>
      </c>
      <c r="R1713" t="s">
        <v>2949</v>
      </c>
      <c r="S1713" t="s">
        <v>2964</v>
      </c>
      <c r="T1713" t="s">
        <v>1249</v>
      </c>
      <c r="U1713" t="s">
        <v>1467</v>
      </c>
      <c r="V1713" t="s">
        <v>2962</v>
      </c>
      <c r="W1713" t="s">
        <v>2963</v>
      </c>
    </row>
    <row r="1714" spans="1:23" ht="15" customHeight="1" x14ac:dyDescent="0.3">
      <c r="A1714" t="s">
        <v>8</v>
      </c>
      <c r="B1714">
        <v>19</v>
      </c>
      <c r="C1714" t="s">
        <v>1142</v>
      </c>
      <c r="D1714" t="s">
        <v>1143</v>
      </c>
      <c r="E1714" t="s">
        <v>34</v>
      </c>
      <c r="F1714" t="s">
        <v>1144</v>
      </c>
      <c r="G1714" t="s">
        <v>440</v>
      </c>
      <c r="H1714" t="s">
        <v>1272</v>
      </c>
      <c r="I1714" t="s">
        <v>1143</v>
      </c>
      <c r="J1714" t="s">
        <v>2966</v>
      </c>
      <c r="K1714" s="21" t="s">
        <v>2967</v>
      </c>
      <c r="L1714" s="21" t="s">
        <v>1147</v>
      </c>
      <c r="M1714" t="s">
        <v>375</v>
      </c>
      <c r="N1714" t="s">
        <v>159</v>
      </c>
      <c r="R1714" t="s">
        <v>2944</v>
      </c>
      <c r="S1714" t="s">
        <v>2966</v>
      </c>
      <c r="T1714" t="s">
        <v>1249</v>
      </c>
      <c r="U1714" t="s">
        <v>1473</v>
      </c>
      <c r="V1714" t="s">
        <v>2968</v>
      </c>
      <c r="W1714" t="s">
        <v>2969</v>
      </c>
    </row>
    <row r="1715" spans="1:23" ht="15" customHeight="1" x14ac:dyDescent="0.3">
      <c r="A1715" t="s">
        <v>8</v>
      </c>
      <c r="B1715">
        <v>19</v>
      </c>
      <c r="C1715" t="s">
        <v>1142</v>
      </c>
      <c r="D1715" t="s">
        <v>1143</v>
      </c>
      <c r="E1715" t="s">
        <v>34</v>
      </c>
      <c r="F1715" t="s">
        <v>1144</v>
      </c>
      <c r="G1715" t="s">
        <v>440</v>
      </c>
      <c r="H1715" t="s">
        <v>1272</v>
      </c>
      <c r="I1715" t="s">
        <v>1143</v>
      </c>
      <c r="J1715" t="s">
        <v>2966</v>
      </c>
      <c r="K1715" s="21" t="s">
        <v>2967</v>
      </c>
      <c r="L1715" s="21" t="s">
        <v>1147</v>
      </c>
      <c r="M1715" t="s">
        <v>375</v>
      </c>
      <c r="N1715" t="s">
        <v>159</v>
      </c>
      <c r="R1715" t="s">
        <v>2945</v>
      </c>
      <c r="S1715" t="s">
        <v>2966</v>
      </c>
      <c r="T1715" t="s">
        <v>1249</v>
      </c>
      <c r="U1715" t="s">
        <v>1473</v>
      </c>
      <c r="V1715" t="s">
        <v>2968</v>
      </c>
      <c r="W1715" t="s">
        <v>2969</v>
      </c>
    </row>
    <row r="1716" spans="1:23" ht="15" customHeight="1" x14ac:dyDescent="0.3">
      <c r="A1716" t="s">
        <v>8</v>
      </c>
      <c r="B1716">
        <v>19</v>
      </c>
      <c r="C1716" t="s">
        <v>1142</v>
      </c>
      <c r="D1716" t="s">
        <v>1143</v>
      </c>
      <c r="E1716" t="s">
        <v>34</v>
      </c>
      <c r="F1716" t="s">
        <v>1144</v>
      </c>
      <c r="G1716" t="s">
        <v>440</v>
      </c>
      <c r="H1716" t="s">
        <v>1272</v>
      </c>
      <c r="I1716" t="s">
        <v>1143</v>
      </c>
      <c r="J1716" t="s">
        <v>2966</v>
      </c>
      <c r="K1716" s="21" t="s">
        <v>2967</v>
      </c>
      <c r="L1716" s="21" t="s">
        <v>1147</v>
      </c>
      <c r="M1716" t="s">
        <v>375</v>
      </c>
      <c r="N1716" t="s">
        <v>159</v>
      </c>
      <c r="R1716" t="s">
        <v>2946</v>
      </c>
      <c r="S1716" t="s">
        <v>2966</v>
      </c>
      <c r="T1716" t="s">
        <v>1249</v>
      </c>
      <c r="U1716" t="s">
        <v>1473</v>
      </c>
      <c r="V1716" t="s">
        <v>2968</v>
      </c>
      <c r="W1716" t="s">
        <v>2969</v>
      </c>
    </row>
    <row r="1717" spans="1:23" ht="15" customHeight="1" x14ac:dyDescent="0.3">
      <c r="A1717" t="s">
        <v>8</v>
      </c>
      <c r="B1717">
        <v>19</v>
      </c>
      <c r="C1717" t="s">
        <v>1142</v>
      </c>
      <c r="D1717" t="s">
        <v>1143</v>
      </c>
      <c r="E1717" t="s">
        <v>34</v>
      </c>
      <c r="F1717" t="s">
        <v>1144</v>
      </c>
      <c r="G1717" t="s">
        <v>440</v>
      </c>
      <c r="H1717" t="s">
        <v>1272</v>
      </c>
      <c r="I1717" t="s">
        <v>1143</v>
      </c>
      <c r="J1717" t="s">
        <v>2966</v>
      </c>
      <c r="K1717" s="21" t="s">
        <v>2967</v>
      </c>
      <c r="L1717" s="21" t="s">
        <v>1147</v>
      </c>
      <c r="M1717" t="s">
        <v>375</v>
      </c>
      <c r="N1717" t="s">
        <v>159</v>
      </c>
      <c r="R1717" t="s">
        <v>2947</v>
      </c>
      <c r="S1717" t="s">
        <v>2966</v>
      </c>
      <c r="T1717" t="s">
        <v>1249</v>
      </c>
      <c r="U1717" t="s">
        <v>1473</v>
      </c>
      <c r="V1717" t="s">
        <v>2968</v>
      </c>
      <c r="W1717" t="s">
        <v>2969</v>
      </c>
    </row>
    <row r="1718" spans="1:23" ht="15" customHeight="1" x14ac:dyDescent="0.3">
      <c r="A1718" t="s">
        <v>8</v>
      </c>
      <c r="B1718">
        <v>19</v>
      </c>
      <c r="C1718" t="s">
        <v>1142</v>
      </c>
      <c r="D1718" t="s">
        <v>1143</v>
      </c>
      <c r="E1718" t="s">
        <v>34</v>
      </c>
      <c r="F1718" t="s">
        <v>1144</v>
      </c>
      <c r="G1718" t="s">
        <v>440</v>
      </c>
      <c r="H1718" t="s">
        <v>1272</v>
      </c>
      <c r="I1718" t="s">
        <v>1143</v>
      </c>
      <c r="J1718" t="s">
        <v>2966</v>
      </c>
      <c r="K1718" s="21" t="s">
        <v>2967</v>
      </c>
      <c r="L1718" s="21" t="s">
        <v>1147</v>
      </c>
      <c r="M1718" t="s">
        <v>375</v>
      </c>
      <c r="N1718" t="s">
        <v>159</v>
      </c>
      <c r="R1718" t="s">
        <v>2948</v>
      </c>
      <c r="S1718" t="s">
        <v>2966</v>
      </c>
      <c r="T1718" t="s">
        <v>1249</v>
      </c>
      <c r="U1718" t="s">
        <v>1473</v>
      </c>
      <c r="V1718" t="s">
        <v>2968</v>
      </c>
      <c r="W1718" t="s">
        <v>2969</v>
      </c>
    </row>
    <row r="1719" spans="1:23" ht="15" customHeight="1" x14ac:dyDescent="0.3">
      <c r="A1719" t="s">
        <v>8</v>
      </c>
      <c r="B1719">
        <v>19</v>
      </c>
      <c r="C1719" t="s">
        <v>1142</v>
      </c>
      <c r="D1719" t="s">
        <v>1143</v>
      </c>
      <c r="E1719" t="s">
        <v>34</v>
      </c>
      <c r="F1719" t="s">
        <v>1144</v>
      </c>
      <c r="G1719" t="s">
        <v>440</v>
      </c>
      <c r="H1719" t="s">
        <v>1272</v>
      </c>
      <c r="I1719" t="s">
        <v>1143</v>
      </c>
      <c r="J1719" t="s">
        <v>2966</v>
      </c>
      <c r="K1719" s="21" t="s">
        <v>2967</v>
      </c>
      <c r="L1719" s="21" t="s">
        <v>1147</v>
      </c>
      <c r="M1719" t="s">
        <v>375</v>
      </c>
      <c r="N1719" t="s">
        <v>159</v>
      </c>
      <c r="R1719" t="s">
        <v>2949</v>
      </c>
      <c r="S1719" t="s">
        <v>2966</v>
      </c>
      <c r="T1719" t="s">
        <v>1249</v>
      </c>
      <c r="U1719" t="s">
        <v>1473</v>
      </c>
      <c r="V1719" t="s">
        <v>2968</v>
      </c>
      <c r="W1719" t="s">
        <v>2969</v>
      </c>
    </row>
    <row r="1720" spans="1:23" ht="15" customHeight="1" x14ac:dyDescent="0.3">
      <c r="A1720" t="s">
        <v>8</v>
      </c>
      <c r="B1720">
        <v>19</v>
      </c>
      <c r="C1720" t="s">
        <v>1142</v>
      </c>
      <c r="D1720" t="s">
        <v>1143</v>
      </c>
      <c r="E1720" t="s">
        <v>34</v>
      </c>
      <c r="F1720" t="s">
        <v>1144</v>
      </c>
      <c r="G1720" t="s">
        <v>440</v>
      </c>
      <c r="H1720" t="s">
        <v>1276</v>
      </c>
      <c r="I1720" t="s">
        <v>1143</v>
      </c>
      <c r="J1720" t="s">
        <v>2970</v>
      </c>
      <c r="K1720" s="21" t="s">
        <v>2971</v>
      </c>
      <c r="L1720" s="21" t="s">
        <v>1147</v>
      </c>
      <c r="M1720" t="s">
        <v>375</v>
      </c>
      <c r="N1720" t="s">
        <v>159</v>
      </c>
      <c r="R1720" t="s">
        <v>2944</v>
      </c>
      <c r="S1720" t="s">
        <v>2970</v>
      </c>
      <c r="T1720" t="s">
        <v>1249</v>
      </c>
      <c r="U1720" t="s">
        <v>1795</v>
      </c>
      <c r="V1720" t="s">
        <v>2972</v>
      </c>
      <c r="W1720" t="s">
        <v>2969</v>
      </c>
    </row>
    <row r="1721" spans="1:23" ht="15" customHeight="1" x14ac:dyDescent="0.3">
      <c r="A1721" t="s">
        <v>8</v>
      </c>
      <c r="B1721">
        <v>19</v>
      </c>
      <c r="C1721" t="s">
        <v>1142</v>
      </c>
      <c r="D1721" t="s">
        <v>1143</v>
      </c>
      <c r="E1721" t="s">
        <v>34</v>
      </c>
      <c r="F1721" t="s">
        <v>1144</v>
      </c>
      <c r="G1721" t="s">
        <v>440</v>
      </c>
      <c r="H1721" t="s">
        <v>1276</v>
      </c>
      <c r="I1721" t="s">
        <v>1143</v>
      </c>
      <c r="J1721" t="s">
        <v>2970</v>
      </c>
      <c r="K1721" s="21" t="s">
        <v>2971</v>
      </c>
      <c r="L1721" s="21" t="s">
        <v>1147</v>
      </c>
      <c r="M1721" t="s">
        <v>375</v>
      </c>
      <c r="N1721" t="s">
        <v>159</v>
      </c>
      <c r="R1721" t="s">
        <v>2945</v>
      </c>
      <c r="S1721" t="s">
        <v>2970</v>
      </c>
      <c r="T1721" t="s">
        <v>1249</v>
      </c>
      <c r="U1721" t="s">
        <v>1795</v>
      </c>
      <c r="V1721" t="s">
        <v>2972</v>
      </c>
      <c r="W1721" t="s">
        <v>2969</v>
      </c>
    </row>
    <row r="1722" spans="1:23" ht="15" customHeight="1" x14ac:dyDescent="0.3">
      <c r="A1722" t="s">
        <v>8</v>
      </c>
      <c r="B1722">
        <v>19</v>
      </c>
      <c r="C1722" t="s">
        <v>1142</v>
      </c>
      <c r="D1722" t="s">
        <v>1143</v>
      </c>
      <c r="E1722" t="s">
        <v>34</v>
      </c>
      <c r="F1722" t="s">
        <v>1144</v>
      </c>
      <c r="G1722" t="s">
        <v>440</v>
      </c>
      <c r="H1722" t="s">
        <v>1276</v>
      </c>
      <c r="I1722" t="s">
        <v>1143</v>
      </c>
      <c r="J1722" t="s">
        <v>2970</v>
      </c>
      <c r="K1722" s="21" t="s">
        <v>2971</v>
      </c>
      <c r="L1722" s="21" t="s">
        <v>1147</v>
      </c>
      <c r="M1722" t="s">
        <v>375</v>
      </c>
      <c r="N1722" t="s">
        <v>159</v>
      </c>
      <c r="R1722" t="s">
        <v>2946</v>
      </c>
      <c r="S1722" t="s">
        <v>2970</v>
      </c>
      <c r="T1722" t="s">
        <v>1249</v>
      </c>
      <c r="U1722" t="s">
        <v>1795</v>
      </c>
      <c r="V1722" t="s">
        <v>2972</v>
      </c>
      <c r="W1722" t="s">
        <v>2969</v>
      </c>
    </row>
    <row r="1723" spans="1:23" ht="15" customHeight="1" x14ac:dyDescent="0.3">
      <c r="A1723" t="s">
        <v>8</v>
      </c>
      <c r="B1723">
        <v>19</v>
      </c>
      <c r="C1723" t="s">
        <v>1142</v>
      </c>
      <c r="D1723" t="s">
        <v>1143</v>
      </c>
      <c r="E1723" t="s">
        <v>34</v>
      </c>
      <c r="F1723" t="s">
        <v>1144</v>
      </c>
      <c r="G1723" t="s">
        <v>440</v>
      </c>
      <c r="H1723" t="s">
        <v>1276</v>
      </c>
      <c r="I1723" t="s">
        <v>1143</v>
      </c>
      <c r="J1723" t="s">
        <v>2970</v>
      </c>
      <c r="K1723" s="21" t="s">
        <v>2971</v>
      </c>
      <c r="L1723" s="21" t="s">
        <v>1147</v>
      </c>
      <c r="M1723" t="s">
        <v>375</v>
      </c>
      <c r="N1723" t="s">
        <v>159</v>
      </c>
      <c r="R1723" t="s">
        <v>2947</v>
      </c>
      <c r="S1723" t="s">
        <v>2970</v>
      </c>
      <c r="T1723" t="s">
        <v>1249</v>
      </c>
      <c r="U1723" t="s">
        <v>1795</v>
      </c>
      <c r="V1723" t="s">
        <v>2972</v>
      </c>
      <c r="W1723" t="s">
        <v>2969</v>
      </c>
    </row>
    <row r="1724" spans="1:23" ht="15" customHeight="1" x14ac:dyDescent="0.3">
      <c r="A1724" t="s">
        <v>8</v>
      </c>
      <c r="B1724">
        <v>19</v>
      </c>
      <c r="C1724" t="s">
        <v>1142</v>
      </c>
      <c r="D1724" t="s">
        <v>1143</v>
      </c>
      <c r="E1724" t="s">
        <v>34</v>
      </c>
      <c r="F1724" t="s">
        <v>1144</v>
      </c>
      <c r="G1724" t="s">
        <v>440</v>
      </c>
      <c r="H1724" t="s">
        <v>1276</v>
      </c>
      <c r="I1724" t="s">
        <v>1143</v>
      </c>
      <c r="J1724" t="s">
        <v>2970</v>
      </c>
      <c r="K1724" s="21" t="s">
        <v>2971</v>
      </c>
      <c r="L1724" s="21" t="s">
        <v>1147</v>
      </c>
      <c r="M1724" t="s">
        <v>375</v>
      </c>
      <c r="N1724" t="s">
        <v>159</v>
      </c>
      <c r="R1724" t="s">
        <v>2948</v>
      </c>
      <c r="S1724" t="s">
        <v>2970</v>
      </c>
      <c r="T1724" t="s">
        <v>1249</v>
      </c>
      <c r="U1724" t="s">
        <v>1795</v>
      </c>
      <c r="V1724" t="s">
        <v>2972</v>
      </c>
      <c r="W1724" t="s">
        <v>2969</v>
      </c>
    </row>
    <row r="1725" spans="1:23" ht="15" customHeight="1" x14ac:dyDescent="0.3">
      <c r="A1725" t="s">
        <v>8</v>
      </c>
      <c r="B1725">
        <v>19</v>
      </c>
      <c r="C1725" t="s">
        <v>1142</v>
      </c>
      <c r="D1725" t="s">
        <v>1143</v>
      </c>
      <c r="E1725" t="s">
        <v>34</v>
      </c>
      <c r="F1725" t="s">
        <v>1144</v>
      </c>
      <c r="G1725" t="s">
        <v>440</v>
      </c>
      <c r="H1725" t="s">
        <v>1276</v>
      </c>
      <c r="I1725" t="s">
        <v>1143</v>
      </c>
      <c r="J1725" t="s">
        <v>2970</v>
      </c>
      <c r="K1725" s="21" t="s">
        <v>2971</v>
      </c>
      <c r="L1725" s="21" t="s">
        <v>1147</v>
      </c>
      <c r="M1725" t="s">
        <v>375</v>
      </c>
      <c r="N1725" t="s">
        <v>159</v>
      </c>
      <c r="R1725" t="s">
        <v>2949</v>
      </c>
      <c r="S1725" t="s">
        <v>2970</v>
      </c>
      <c r="T1725" t="s">
        <v>1249</v>
      </c>
      <c r="U1725" t="s">
        <v>1795</v>
      </c>
      <c r="V1725" t="s">
        <v>2972</v>
      </c>
      <c r="W1725" t="s">
        <v>2969</v>
      </c>
    </row>
    <row r="1726" spans="1:23" ht="15" customHeight="1" x14ac:dyDescent="0.3">
      <c r="A1726" t="s">
        <v>8</v>
      </c>
      <c r="B1726">
        <v>19</v>
      </c>
      <c r="C1726" t="s">
        <v>1142</v>
      </c>
      <c r="D1726" t="s">
        <v>1143</v>
      </c>
      <c r="E1726" t="s">
        <v>34</v>
      </c>
      <c r="F1726" t="s">
        <v>1144</v>
      </c>
      <c r="G1726" t="s">
        <v>440</v>
      </c>
      <c r="H1726" t="s">
        <v>1279</v>
      </c>
      <c r="I1726" t="s">
        <v>1143</v>
      </c>
      <c r="J1726" t="s">
        <v>2973</v>
      </c>
      <c r="K1726" s="21" t="s">
        <v>2974</v>
      </c>
      <c r="L1726" s="21" t="s">
        <v>1147</v>
      </c>
      <c r="M1726" t="s">
        <v>375</v>
      </c>
      <c r="N1726" t="s">
        <v>159</v>
      </c>
      <c r="R1726" t="s">
        <v>2944</v>
      </c>
      <c r="S1726" t="s">
        <v>2973</v>
      </c>
      <c r="T1726" t="s">
        <v>1249</v>
      </c>
      <c r="U1726" t="s">
        <v>1621</v>
      </c>
      <c r="V1726" t="s">
        <v>2968</v>
      </c>
      <c r="W1726" t="s">
        <v>2969</v>
      </c>
    </row>
    <row r="1727" spans="1:23" ht="15" customHeight="1" x14ac:dyDescent="0.3">
      <c r="A1727" t="s">
        <v>8</v>
      </c>
      <c r="B1727">
        <v>19</v>
      </c>
      <c r="C1727" t="s">
        <v>1142</v>
      </c>
      <c r="D1727" t="s">
        <v>1143</v>
      </c>
      <c r="E1727" t="s">
        <v>34</v>
      </c>
      <c r="F1727" t="s">
        <v>1144</v>
      </c>
      <c r="G1727" t="s">
        <v>440</v>
      </c>
      <c r="H1727" t="s">
        <v>1279</v>
      </c>
      <c r="I1727" t="s">
        <v>1143</v>
      </c>
      <c r="J1727" t="s">
        <v>2973</v>
      </c>
      <c r="K1727" s="21" t="s">
        <v>2974</v>
      </c>
      <c r="L1727" s="21" t="s">
        <v>1147</v>
      </c>
      <c r="M1727" t="s">
        <v>375</v>
      </c>
      <c r="N1727" t="s">
        <v>159</v>
      </c>
      <c r="R1727" t="s">
        <v>2945</v>
      </c>
      <c r="S1727" t="s">
        <v>2973</v>
      </c>
      <c r="T1727" t="s">
        <v>1249</v>
      </c>
      <c r="U1727" t="s">
        <v>1621</v>
      </c>
      <c r="V1727" t="s">
        <v>2968</v>
      </c>
      <c r="W1727" t="s">
        <v>2969</v>
      </c>
    </row>
    <row r="1728" spans="1:23" ht="15" customHeight="1" x14ac:dyDescent="0.3">
      <c r="A1728" t="s">
        <v>8</v>
      </c>
      <c r="B1728">
        <v>19</v>
      </c>
      <c r="C1728" t="s">
        <v>1142</v>
      </c>
      <c r="D1728" t="s">
        <v>1143</v>
      </c>
      <c r="E1728" t="s">
        <v>34</v>
      </c>
      <c r="F1728" t="s">
        <v>1144</v>
      </c>
      <c r="G1728" t="s">
        <v>440</v>
      </c>
      <c r="H1728" t="s">
        <v>1279</v>
      </c>
      <c r="I1728" t="s">
        <v>1143</v>
      </c>
      <c r="J1728" t="s">
        <v>2973</v>
      </c>
      <c r="K1728" s="21" t="s">
        <v>2974</v>
      </c>
      <c r="L1728" s="21" t="s">
        <v>1147</v>
      </c>
      <c r="M1728" t="s">
        <v>375</v>
      </c>
      <c r="N1728" t="s">
        <v>159</v>
      </c>
      <c r="R1728" t="s">
        <v>2946</v>
      </c>
      <c r="S1728" t="s">
        <v>2973</v>
      </c>
      <c r="T1728" t="s">
        <v>1249</v>
      </c>
      <c r="U1728" t="s">
        <v>1621</v>
      </c>
      <c r="V1728" t="s">
        <v>2968</v>
      </c>
      <c r="W1728" t="s">
        <v>2969</v>
      </c>
    </row>
    <row r="1729" spans="1:23" ht="15" customHeight="1" x14ac:dyDescent="0.3">
      <c r="A1729" t="s">
        <v>8</v>
      </c>
      <c r="B1729">
        <v>19</v>
      </c>
      <c r="C1729" t="s">
        <v>1142</v>
      </c>
      <c r="D1729" t="s">
        <v>1143</v>
      </c>
      <c r="E1729" t="s">
        <v>34</v>
      </c>
      <c r="F1729" t="s">
        <v>1144</v>
      </c>
      <c r="G1729" t="s">
        <v>440</v>
      </c>
      <c r="H1729" t="s">
        <v>1279</v>
      </c>
      <c r="I1729" t="s">
        <v>1143</v>
      </c>
      <c r="J1729" t="s">
        <v>2973</v>
      </c>
      <c r="K1729" s="21" t="s">
        <v>2974</v>
      </c>
      <c r="L1729" s="21" t="s">
        <v>1147</v>
      </c>
      <c r="M1729" t="s">
        <v>375</v>
      </c>
      <c r="N1729" t="s">
        <v>159</v>
      </c>
      <c r="R1729" t="s">
        <v>2947</v>
      </c>
      <c r="S1729" t="s">
        <v>2973</v>
      </c>
      <c r="T1729" t="s">
        <v>1249</v>
      </c>
      <c r="U1729" t="s">
        <v>1621</v>
      </c>
      <c r="V1729" t="s">
        <v>2968</v>
      </c>
      <c r="W1729" t="s">
        <v>2969</v>
      </c>
    </row>
    <row r="1730" spans="1:23" ht="15" customHeight="1" x14ac:dyDescent="0.3">
      <c r="A1730" t="s">
        <v>8</v>
      </c>
      <c r="B1730">
        <v>19</v>
      </c>
      <c r="C1730" t="s">
        <v>1142</v>
      </c>
      <c r="D1730" t="s">
        <v>1143</v>
      </c>
      <c r="E1730" t="s">
        <v>34</v>
      </c>
      <c r="F1730" t="s">
        <v>1144</v>
      </c>
      <c r="G1730" t="s">
        <v>440</v>
      </c>
      <c r="H1730" t="s">
        <v>1279</v>
      </c>
      <c r="I1730" t="s">
        <v>1143</v>
      </c>
      <c r="J1730" t="s">
        <v>2973</v>
      </c>
      <c r="K1730" s="21" t="s">
        <v>2974</v>
      </c>
      <c r="L1730" s="21" t="s">
        <v>1147</v>
      </c>
      <c r="M1730" t="s">
        <v>375</v>
      </c>
      <c r="N1730" t="s">
        <v>159</v>
      </c>
      <c r="R1730" t="s">
        <v>2948</v>
      </c>
      <c r="S1730" t="s">
        <v>2973</v>
      </c>
      <c r="T1730" t="s">
        <v>1249</v>
      </c>
      <c r="U1730" t="s">
        <v>1621</v>
      </c>
      <c r="V1730" t="s">
        <v>2968</v>
      </c>
      <c r="W1730" t="s">
        <v>2969</v>
      </c>
    </row>
    <row r="1731" spans="1:23" ht="15" customHeight="1" x14ac:dyDescent="0.3">
      <c r="A1731" t="s">
        <v>8</v>
      </c>
      <c r="B1731">
        <v>19</v>
      </c>
      <c r="C1731" t="s">
        <v>1142</v>
      </c>
      <c r="D1731" t="s">
        <v>1143</v>
      </c>
      <c r="E1731" t="s">
        <v>34</v>
      </c>
      <c r="F1731" t="s">
        <v>1144</v>
      </c>
      <c r="G1731" t="s">
        <v>440</v>
      </c>
      <c r="H1731" t="s">
        <v>1279</v>
      </c>
      <c r="I1731" t="s">
        <v>1143</v>
      </c>
      <c r="J1731" t="s">
        <v>2973</v>
      </c>
      <c r="K1731" s="21" t="s">
        <v>2974</v>
      </c>
      <c r="L1731" s="21" t="s">
        <v>1147</v>
      </c>
      <c r="M1731" t="s">
        <v>375</v>
      </c>
      <c r="N1731" t="s">
        <v>159</v>
      </c>
      <c r="R1731" t="s">
        <v>2949</v>
      </c>
      <c r="S1731" t="s">
        <v>2973</v>
      </c>
      <c r="T1731" t="s">
        <v>1249</v>
      </c>
      <c r="U1731" t="s">
        <v>1621</v>
      </c>
      <c r="V1731" t="s">
        <v>2968</v>
      </c>
      <c r="W1731" t="s">
        <v>2969</v>
      </c>
    </row>
    <row r="1732" spans="1:23" ht="15" customHeight="1" x14ac:dyDescent="0.3">
      <c r="A1732" t="s">
        <v>8</v>
      </c>
      <c r="B1732">
        <v>19</v>
      </c>
      <c r="C1732" t="s">
        <v>1142</v>
      </c>
      <c r="D1732" t="s">
        <v>1143</v>
      </c>
      <c r="E1732" t="s">
        <v>34</v>
      </c>
      <c r="F1732" t="s">
        <v>1144</v>
      </c>
      <c r="G1732" t="s">
        <v>440</v>
      </c>
      <c r="H1732" t="s">
        <v>1283</v>
      </c>
      <c r="I1732" t="s">
        <v>1143</v>
      </c>
      <c r="J1732" t="s">
        <v>2975</v>
      </c>
      <c r="K1732" s="21" t="s">
        <v>2976</v>
      </c>
      <c r="L1732" s="21" t="s">
        <v>1147</v>
      </c>
      <c r="M1732" t="s">
        <v>375</v>
      </c>
      <c r="N1732" t="s">
        <v>159</v>
      </c>
      <c r="R1732" t="s">
        <v>2944</v>
      </c>
      <c r="S1732" t="s">
        <v>2975</v>
      </c>
      <c r="T1732" t="s">
        <v>1249</v>
      </c>
      <c r="U1732" t="s">
        <v>1624</v>
      </c>
      <c r="V1732" t="s">
        <v>2972</v>
      </c>
      <c r="W1732" t="s">
        <v>2969</v>
      </c>
    </row>
    <row r="1733" spans="1:23" ht="15" customHeight="1" x14ac:dyDescent="0.3">
      <c r="A1733" t="s">
        <v>8</v>
      </c>
      <c r="B1733">
        <v>19</v>
      </c>
      <c r="C1733" t="s">
        <v>1142</v>
      </c>
      <c r="D1733" t="s">
        <v>1143</v>
      </c>
      <c r="E1733" t="s">
        <v>34</v>
      </c>
      <c r="F1733" t="s">
        <v>1144</v>
      </c>
      <c r="G1733" t="s">
        <v>440</v>
      </c>
      <c r="H1733" t="s">
        <v>1283</v>
      </c>
      <c r="I1733" t="s">
        <v>1143</v>
      </c>
      <c r="J1733" t="s">
        <v>2975</v>
      </c>
      <c r="K1733" s="21" t="s">
        <v>2976</v>
      </c>
      <c r="L1733" s="21" t="s">
        <v>1147</v>
      </c>
      <c r="M1733" t="s">
        <v>375</v>
      </c>
      <c r="N1733" t="s">
        <v>159</v>
      </c>
      <c r="R1733" t="s">
        <v>2945</v>
      </c>
      <c r="S1733" t="s">
        <v>2975</v>
      </c>
      <c r="T1733" t="s">
        <v>1249</v>
      </c>
      <c r="U1733" t="s">
        <v>1624</v>
      </c>
      <c r="V1733" t="s">
        <v>2972</v>
      </c>
      <c r="W1733" t="s">
        <v>2969</v>
      </c>
    </row>
    <row r="1734" spans="1:23" ht="15" customHeight="1" x14ac:dyDescent="0.3">
      <c r="A1734" t="s">
        <v>8</v>
      </c>
      <c r="B1734">
        <v>19</v>
      </c>
      <c r="C1734" t="s">
        <v>1142</v>
      </c>
      <c r="D1734" t="s">
        <v>1143</v>
      </c>
      <c r="E1734" t="s">
        <v>34</v>
      </c>
      <c r="F1734" t="s">
        <v>1144</v>
      </c>
      <c r="G1734" t="s">
        <v>440</v>
      </c>
      <c r="H1734" t="s">
        <v>1283</v>
      </c>
      <c r="I1734" t="s">
        <v>1143</v>
      </c>
      <c r="J1734" t="s">
        <v>2975</v>
      </c>
      <c r="K1734" s="21" t="s">
        <v>2976</v>
      </c>
      <c r="L1734" s="21" t="s">
        <v>1147</v>
      </c>
      <c r="M1734" t="s">
        <v>375</v>
      </c>
      <c r="N1734" t="s">
        <v>159</v>
      </c>
      <c r="R1734" t="s">
        <v>2946</v>
      </c>
      <c r="S1734" t="s">
        <v>2975</v>
      </c>
      <c r="T1734" t="s">
        <v>1249</v>
      </c>
      <c r="U1734" t="s">
        <v>1624</v>
      </c>
      <c r="V1734" t="s">
        <v>2972</v>
      </c>
      <c r="W1734" t="s">
        <v>2969</v>
      </c>
    </row>
    <row r="1735" spans="1:23" ht="15" customHeight="1" x14ac:dyDescent="0.3">
      <c r="A1735" t="s">
        <v>8</v>
      </c>
      <c r="B1735">
        <v>19</v>
      </c>
      <c r="C1735" t="s">
        <v>1142</v>
      </c>
      <c r="D1735" t="s">
        <v>1143</v>
      </c>
      <c r="E1735" t="s">
        <v>34</v>
      </c>
      <c r="F1735" t="s">
        <v>1144</v>
      </c>
      <c r="G1735" t="s">
        <v>440</v>
      </c>
      <c r="H1735" t="s">
        <v>1283</v>
      </c>
      <c r="I1735" t="s">
        <v>1143</v>
      </c>
      <c r="J1735" t="s">
        <v>2975</v>
      </c>
      <c r="K1735" s="21" t="s">
        <v>2976</v>
      </c>
      <c r="L1735" s="21" t="s">
        <v>1147</v>
      </c>
      <c r="M1735" t="s">
        <v>375</v>
      </c>
      <c r="N1735" t="s">
        <v>159</v>
      </c>
      <c r="R1735" t="s">
        <v>2947</v>
      </c>
      <c r="S1735" t="s">
        <v>2975</v>
      </c>
      <c r="T1735" t="s">
        <v>1249</v>
      </c>
      <c r="U1735" t="s">
        <v>1624</v>
      </c>
      <c r="V1735" t="s">
        <v>2972</v>
      </c>
      <c r="W1735" t="s">
        <v>2969</v>
      </c>
    </row>
    <row r="1736" spans="1:23" ht="15" customHeight="1" x14ac:dyDescent="0.3">
      <c r="A1736" t="s">
        <v>8</v>
      </c>
      <c r="B1736">
        <v>19</v>
      </c>
      <c r="C1736" t="s">
        <v>1142</v>
      </c>
      <c r="D1736" t="s">
        <v>1143</v>
      </c>
      <c r="E1736" t="s">
        <v>34</v>
      </c>
      <c r="F1736" t="s">
        <v>1144</v>
      </c>
      <c r="G1736" t="s">
        <v>440</v>
      </c>
      <c r="H1736" t="s">
        <v>1283</v>
      </c>
      <c r="I1736" t="s">
        <v>1143</v>
      </c>
      <c r="J1736" t="s">
        <v>2975</v>
      </c>
      <c r="K1736" s="21" t="s">
        <v>2976</v>
      </c>
      <c r="L1736" s="21" t="s">
        <v>1147</v>
      </c>
      <c r="M1736" t="s">
        <v>375</v>
      </c>
      <c r="N1736" t="s">
        <v>159</v>
      </c>
      <c r="R1736" t="s">
        <v>2948</v>
      </c>
      <c r="S1736" t="s">
        <v>2975</v>
      </c>
      <c r="T1736" t="s">
        <v>1249</v>
      </c>
      <c r="U1736" t="s">
        <v>1624</v>
      </c>
      <c r="V1736" t="s">
        <v>2972</v>
      </c>
      <c r="W1736" t="s">
        <v>2969</v>
      </c>
    </row>
    <row r="1737" spans="1:23" ht="15" customHeight="1" x14ac:dyDescent="0.3">
      <c r="A1737" t="s">
        <v>8</v>
      </c>
      <c r="B1737">
        <v>19</v>
      </c>
      <c r="C1737" t="s">
        <v>1142</v>
      </c>
      <c r="D1737" t="s">
        <v>1143</v>
      </c>
      <c r="E1737" t="s">
        <v>34</v>
      </c>
      <c r="F1737" t="s">
        <v>1144</v>
      </c>
      <c r="G1737" t="s">
        <v>440</v>
      </c>
      <c r="H1737" t="s">
        <v>1283</v>
      </c>
      <c r="I1737" t="s">
        <v>1143</v>
      </c>
      <c r="J1737" t="s">
        <v>2975</v>
      </c>
      <c r="K1737" s="21" t="s">
        <v>2976</v>
      </c>
      <c r="L1737" s="21" t="s">
        <v>1147</v>
      </c>
      <c r="M1737" t="s">
        <v>375</v>
      </c>
      <c r="N1737" t="s">
        <v>159</v>
      </c>
      <c r="R1737" t="s">
        <v>2949</v>
      </c>
      <c r="S1737" t="s">
        <v>2975</v>
      </c>
      <c r="T1737" t="s">
        <v>1249</v>
      </c>
      <c r="U1737" t="s">
        <v>1624</v>
      </c>
      <c r="V1737" t="s">
        <v>2972</v>
      </c>
      <c r="W1737" t="s">
        <v>2969</v>
      </c>
    </row>
    <row r="1738" spans="1:23" ht="15" customHeight="1" x14ac:dyDescent="0.3">
      <c r="A1738" t="s">
        <v>8</v>
      </c>
      <c r="B1738">
        <v>19</v>
      </c>
      <c r="C1738" t="s">
        <v>1142</v>
      </c>
      <c r="D1738" t="s">
        <v>1143</v>
      </c>
      <c r="E1738" t="s">
        <v>34</v>
      </c>
      <c r="F1738" t="s">
        <v>1144</v>
      </c>
      <c r="G1738" t="s">
        <v>440</v>
      </c>
      <c r="H1738" t="s">
        <v>1287</v>
      </c>
      <c r="I1738" t="s">
        <v>1143</v>
      </c>
      <c r="J1738" t="s">
        <v>2977</v>
      </c>
      <c r="K1738" s="21" t="s">
        <v>2978</v>
      </c>
      <c r="L1738" s="21" t="s">
        <v>1147</v>
      </c>
      <c r="M1738" t="s">
        <v>375</v>
      </c>
      <c r="N1738" t="s">
        <v>159</v>
      </c>
      <c r="R1738" t="s">
        <v>2944</v>
      </c>
      <c r="S1738" t="s">
        <v>2977</v>
      </c>
      <c r="T1738" t="s">
        <v>1249</v>
      </c>
      <c r="U1738" t="s">
        <v>2979</v>
      </c>
      <c r="V1738" t="s">
        <v>2968</v>
      </c>
      <c r="W1738" t="s">
        <v>2969</v>
      </c>
    </row>
    <row r="1739" spans="1:23" ht="15" customHeight="1" x14ac:dyDescent="0.3">
      <c r="A1739" t="s">
        <v>8</v>
      </c>
      <c r="B1739">
        <v>19</v>
      </c>
      <c r="C1739" t="s">
        <v>1142</v>
      </c>
      <c r="D1739" t="s">
        <v>1143</v>
      </c>
      <c r="E1739" t="s">
        <v>34</v>
      </c>
      <c r="F1739" t="s">
        <v>1144</v>
      </c>
      <c r="G1739" t="s">
        <v>440</v>
      </c>
      <c r="H1739" t="s">
        <v>1287</v>
      </c>
      <c r="I1739" t="s">
        <v>1143</v>
      </c>
      <c r="J1739" t="s">
        <v>2977</v>
      </c>
      <c r="K1739" s="21" t="s">
        <v>2978</v>
      </c>
      <c r="L1739" s="21" t="s">
        <v>1147</v>
      </c>
      <c r="M1739" t="s">
        <v>375</v>
      </c>
      <c r="N1739" t="s">
        <v>159</v>
      </c>
      <c r="R1739" t="s">
        <v>2945</v>
      </c>
      <c r="S1739" t="s">
        <v>2977</v>
      </c>
      <c r="T1739" t="s">
        <v>1249</v>
      </c>
      <c r="U1739" t="s">
        <v>2979</v>
      </c>
      <c r="V1739" t="s">
        <v>2968</v>
      </c>
      <c r="W1739" t="s">
        <v>2969</v>
      </c>
    </row>
    <row r="1740" spans="1:23" ht="15" customHeight="1" x14ac:dyDescent="0.3">
      <c r="A1740" t="s">
        <v>8</v>
      </c>
      <c r="B1740">
        <v>19</v>
      </c>
      <c r="C1740" t="s">
        <v>1142</v>
      </c>
      <c r="D1740" t="s">
        <v>1143</v>
      </c>
      <c r="E1740" t="s">
        <v>34</v>
      </c>
      <c r="F1740" t="s">
        <v>1144</v>
      </c>
      <c r="G1740" t="s">
        <v>440</v>
      </c>
      <c r="H1740" t="s">
        <v>1287</v>
      </c>
      <c r="I1740" t="s">
        <v>1143</v>
      </c>
      <c r="J1740" t="s">
        <v>2977</v>
      </c>
      <c r="K1740" s="21" t="s">
        <v>2978</v>
      </c>
      <c r="L1740" s="21" t="s">
        <v>1147</v>
      </c>
      <c r="M1740" t="s">
        <v>375</v>
      </c>
      <c r="N1740" t="s">
        <v>159</v>
      </c>
      <c r="R1740" t="s">
        <v>2946</v>
      </c>
      <c r="S1740" t="s">
        <v>2977</v>
      </c>
      <c r="T1740" t="s">
        <v>1249</v>
      </c>
      <c r="U1740" t="s">
        <v>2979</v>
      </c>
      <c r="V1740" t="s">
        <v>2968</v>
      </c>
      <c r="W1740" t="s">
        <v>2969</v>
      </c>
    </row>
    <row r="1741" spans="1:23" ht="15" customHeight="1" x14ac:dyDescent="0.3">
      <c r="A1741" t="s">
        <v>8</v>
      </c>
      <c r="B1741">
        <v>19</v>
      </c>
      <c r="C1741" t="s">
        <v>1142</v>
      </c>
      <c r="D1741" t="s">
        <v>1143</v>
      </c>
      <c r="E1741" t="s">
        <v>34</v>
      </c>
      <c r="F1741" t="s">
        <v>1144</v>
      </c>
      <c r="G1741" t="s">
        <v>440</v>
      </c>
      <c r="H1741" t="s">
        <v>1287</v>
      </c>
      <c r="I1741" t="s">
        <v>1143</v>
      </c>
      <c r="J1741" t="s">
        <v>2977</v>
      </c>
      <c r="K1741" s="21" t="s">
        <v>2978</v>
      </c>
      <c r="L1741" s="21" t="s">
        <v>1147</v>
      </c>
      <c r="M1741" t="s">
        <v>375</v>
      </c>
      <c r="N1741" t="s">
        <v>159</v>
      </c>
      <c r="R1741" t="s">
        <v>2947</v>
      </c>
      <c r="S1741" t="s">
        <v>2977</v>
      </c>
      <c r="T1741" t="s">
        <v>1249</v>
      </c>
      <c r="U1741" t="s">
        <v>2979</v>
      </c>
      <c r="V1741" t="s">
        <v>2968</v>
      </c>
      <c r="W1741" t="s">
        <v>2969</v>
      </c>
    </row>
    <row r="1742" spans="1:23" ht="15" customHeight="1" x14ac:dyDescent="0.3">
      <c r="A1742" t="s">
        <v>8</v>
      </c>
      <c r="B1742">
        <v>19</v>
      </c>
      <c r="C1742" t="s">
        <v>1142</v>
      </c>
      <c r="D1742" t="s">
        <v>1143</v>
      </c>
      <c r="E1742" t="s">
        <v>34</v>
      </c>
      <c r="F1742" t="s">
        <v>1144</v>
      </c>
      <c r="G1742" t="s">
        <v>440</v>
      </c>
      <c r="H1742" t="s">
        <v>1287</v>
      </c>
      <c r="I1742" t="s">
        <v>1143</v>
      </c>
      <c r="J1742" t="s">
        <v>2977</v>
      </c>
      <c r="K1742" s="21" t="s">
        <v>2978</v>
      </c>
      <c r="L1742" s="21" t="s">
        <v>1147</v>
      </c>
      <c r="M1742" t="s">
        <v>375</v>
      </c>
      <c r="N1742" t="s">
        <v>159</v>
      </c>
      <c r="R1742" t="s">
        <v>2948</v>
      </c>
      <c r="S1742" t="s">
        <v>2977</v>
      </c>
      <c r="T1742" t="s">
        <v>1249</v>
      </c>
      <c r="U1742" t="s">
        <v>2979</v>
      </c>
      <c r="V1742" t="s">
        <v>2968</v>
      </c>
      <c r="W1742" t="s">
        <v>2969</v>
      </c>
    </row>
    <row r="1743" spans="1:23" ht="15" customHeight="1" x14ac:dyDescent="0.3">
      <c r="A1743" t="s">
        <v>8</v>
      </c>
      <c r="B1743">
        <v>19</v>
      </c>
      <c r="C1743" t="s">
        <v>1142</v>
      </c>
      <c r="D1743" t="s">
        <v>1143</v>
      </c>
      <c r="E1743" t="s">
        <v>34</v>
      </c>
      <c r="F1743" t="s">
        <v>1144</v>
      </c>
      <c r="G1743" t="s">
        <v>440</v>
      </c>
      <c r="H1743" t="s">
        <v>1287</v>
      </c>
      <c r="I1743" t="s">
        <v>1143</v>
      </c>
      <c r="J1743" t="s">
        <v>2977</v>
      </c>
      <c r="K1743" s="21" t="s">
        <v>2978</v>
      </c>
      <c r="L1743" s="21" t="s">
        <v>1147</v>
      </c>
      <c r="M1743" t="s">
        <v>375</v>
      </c>
      <c r="N1743" t="s">
        <v>159</v>
      </c>
      <c r="R1743" t="s">
        <v>2949</v>
      </c>
      <c r="S1743" t="s">
        <v>2977</v>
      </c>
      <c r="T1743" t="s">
        <v>1249</v>
      </c>
      <c r="U1743" t="s">
        <v>2979</v>
      </c>
      <c r="V1743" t="s">
        <v>2968</v>
      </c>
      <c r="W1743" t="s">
        <v>2969</v>
      </c>
    </row>
    <row r="1744" spans="1:23" ht="15" customHeight="1" x14ac:dyDescent="0.3">
      <c r="A1744" t="s">
        <v>8</v>
      </c>
      <c r="B1744">
        <v>19</v>
      </c>
      <c r="C1744" t="s">
        <v>1142</v>
      </c>
      <c r="D1744" t="s">
        <v>1143</v>
      </c>
      <c r="E1744" t="s">
        <v>34</v>
      </c>
      <c r="F1744" t="s">
        <v>1144</v>
      </c>
      <c r="G1744" t="s">
        <v>440</v>
      </c>
      <c r="H1744" t="s">
        <v>1293</v>
      </c>
      <c r="I1744" t="s">
        <v>1143</v>
      </c>
      <c r="J1744" t="s">
        <v>2975</v>
      </c>
      <c r="K1744" s="21" t="s">
        <v>2976</v>
      </c>
      <c r="L1744" s="21" t="s">
        <v>1147</v>
      </c>
      <c r="M1744" t="s">
        <v>375</v>
      </c>
      <c r="N1744" t="s">
        <v>159</v>
      </c>
      <c r="R1744" t="s">
        <v>2944</v>
      </c>
      <c r="S1744" t="s">
        <v>2975</v>
      </c>
      <c r="T1744" t="s">
        <v>1249</v>
      </c>
      <c r="U1744" t="s">
        <v>1624</v>
      </c>
      <c r="V1744" t="s">
        <v>2972</v>
      </c>
      <c r="W1744" t="s">
        <v>2969</v>
      </c>
    </row>
    <row r="1745" spans="1:23" ht="15" customHeight="1" x14ac:dyDescent="0.3">
      <c r="A1745" t="s">
        <v>8</v>
      </c>
      <c r="B1745">
        <v>19</v>
      </c>
      <c r="C1745" t="s">
        <v>1142</v>
      </c>
      <c r="D1745" t="s">
        <v>1143</v>
      </c>
      <c r="E1745" t="s">
        <v>34</v>
      </c>
      <c r="F1745" t="s">
        <v>1144</v>
      </c>
      <c r="G1745" t="s">
        <v>440</v>
      </c>
      <c r="H1745" t="s">
        <v>1293</v>
      </c>
      <c r="I1745" t="s">
        <v>1143</v>
      </c>
      <c r="J1745" t="s">
        <v>2975</v>
      </c>
      <c r="K1745" s="21" t="s">
        <v>2976</v>
      </c>
      <c r="L1745" s="21" t="s">
        <v>1147</v>
      </c>
      <c r="M1745" t="s">
        <v>375</v>
      </c>
      <c r="N1745" t="s">
        <v>159</v>
      </c>
      <c r="R1745" t="s">
        <v>2945</v>
      </c>
      <c r="S1745" t="s">
        <v>2975</v>
      </c>
      <c r="T1745" t="s">
        <v>1249</v>
      </c>
      <c r="U1745" t="s">
        <v>1624</v>
      </c>
      <c r="V1745" t="s">
        <v>2972</v>
      </c>
      <c r="W1745" t="s">
        <v>2969</v>
      </c>
    </row>
    <row r="1746" spans="1:23" ht="15" customHeight="1" x14ac:dyDescent="0.3">
      <c r="A1746" t="s">
        <v>8</v>
      </c>
      <c r="B1746">
        <v>19</v>
      </c>
      <c r="C1746" t="s">
        <v>1142</v>
      </c>
      <c r="D1746" t="s">
        <v>1143</v>
      </c>
      <c r="E1746" t="s">
        <v>34</v>
      </c>
      <c r="F1746" t="s">
        <v>1144</v>
      </c>
      <c r="G1746" t="s">
        <v>440</v>
      </c>
      <c r="H1746" t="s">
        <v>1293</v>
      </c>
      <c r="I1746" t="s">
        <v>1143</v>
      </c>
      <c r="J1746" t="s">
        <v>2975</v>
      </c>
      <c r="K1746" s="21" t="s">
        <v>2976</v>
      </c>
      <c r="L1746" s="21" t="s">
        <v>1147</v>
      </c>
      <c r="M1746" t="s">
        <v>375</v>
      </c>
      <c r="N1746" t="s">
        <v>159</v>
      </c>
      <c r="R1746" t="s">
        <v>2946</v>
      </c>
      <c r="S1746" t="s">
        <v>2975</v>
      </c>
      <c r="T1746" t="s">
        <v>1249</v>
      </c>
      <c r="U1746" t="s">
        <v>1624</v>
      </c>
      <c r="V1746" t="s">
        <v>2972</v>
      </c>
      <c r="W1746" t="s">
        <v>2969</v>
      </c>
    </row>
    <row r="1747" spans="1:23" ht="15" customHeight="1" x14ac:dyDescent="0.3">
      <c r="A1747" t="s">
        <v>8</v>
      </c>
      <c r="B1747">
        <v>19</v>
      </c>
      <c r="C1747" t="s">
        <v>1142</v>
      </c>
      <c r="D1747" t="s">
        <v>1143</v>
      </c>
      <c r="E1747" t="s">
        <v>34</v>
      </c>
      <c r="F1747" t="s">
        <v>1144</v>
      </c>
      <c r="G1747" t="s">
        <v>440</v>
      </c>
      <c r="H1747" t="s">
        <v>1293</v>
      </c>
      <c r="I1747" t="s">
        <v>1143</v>
      </c>
      <c r="J1747" t="s">
        <v>2975</v>
      </c>
      <c r="K1747" s="21" t="s">
        <v>2976</v>
      </c>
      <c r="L1747" s="21" t="s">
        <v>1147</v>
      </c>
      <c r="M1747" t="s">
        <v>375</v>
      </c>
      <c r="N1747" t="s">
        <v>159</v>
      </c>
      <c r="R1747" t="s">
        <v>2947</v>
      </c>
      <c r="S1747" t="s">
        <v>2975</v>
      </c>
      <c r="T1747" t="s">
        <v>1249</v>
      </c>
      <c r="U1747" t="s">
        <v>1624</v>
      </c>
      <c r="V1747" t="s">
        <v>2972</v>
      </c>
      <c r="W1747" t="s">
        <v>2969</v>
      </c>
    </row>
    <row r="1748" spans="1:23" ht="15" customHeight="1" x14ac:dyDescent="0.3">
      <c r="A1748" t="s">
        <v>8</v>
      </c>
      <c r="B1748">
        <v>19</v>
      </c>
      <c r="C1748" t="s">
        <v>1142</v>
      </c>
      <c r="D1748" t="s">
        <v>1143</v>
      </c>
      <c r="E1748" t="s">
        <v>34</v>
      </c>
      <c r="F1748" t="s">
        <v>1144</v>
      </c>
      <c r="G1748" t="s">
        <v>440</v>
      </c>
      <c r="H1748" t="s">
        <v>1293</v>
      </c>
      <c r="I1748" t="s">
        <v>1143</v>
      </c>
      <c r="J1748" t="s">
        <v>2975</v>
      </c>
      <c r="K1748" s="21" t="s">
        <v>2976</v>
      </c>
      <c r="L1748" s="21" t="s">
        <v>1147</v>
      </c>
      <c r="M1748" t="s">
        <v>375</v>
      </c>
      <c r="N1748" t="s">
        <v>159</v>
      </c>
      <c r="R1748" t="s">
        <v>2948</v>
      </c>
      <c r="S1748" t="s">
        <v>2975</v>
      </c>
      <c r="T1748" t="s">
        <v>1249</v>
      </c>
      <c r="U1748" t="s">
        <v>1624</v>
      </c>
      <c r="V1748" t="s">
        <v>2972</v>
      </c>
      <c r="W1748" t="s">
        <v>2969</v>
      </c>
    </row>
    <row r="1749" spans="1:23" ht="15" customHeight="1" x14ac:dyDescent="0.3">
      <c r="A1749" t="s">
        <v>8</v>
      </c>
      <c r="B1749">
        <v>19</v>
      </c>
      <c r="C1749" t="s">
        <v>1142</v>
      </c>
      <c r="D1749" t="s">
        <v>1143</v>
      </c>
      <c r="E1749" t="s">
        <v>34</v>
      </c>
      <c r="F1749" t="s">
        <v>1144</v>
      </c>
      <c r="G1749" t="s">
        <v>440</v>
      </c>
      <c r="H1749" t="s">
        <v>1293</v>
      </c>
      <c r="I1749" t="s">
        <v>1143</v>
      </c>
      <c r="J1749" t="s">
        <v>2975</v>
      </c>
      <c r="K1749" s="21" t="s">
        <v>2976</v>
      </c>
      <c r="L1749" s="21" t="s">
        <v>1147</v>
      </c>
      <c r="M1749" t="s">
        <v>375</v>
      </c>
      <c r="N1749" t="s">
        <v>159</v>
      </c>
      <c r="R1749" t="s">
        <v>2949</v>
      </c>
      <c r="S1749" t="s">
        <v>2975</v>
      </c>
      <c r="T1749" t="s">
        <v>1249</v>
      </c>
      <c r="U1749" t="s">
        <v>1624</v>
      </c>
      <c r="V1749" t="s">
        <v>2972</v>
      </c>
      <c r="W1749" t="s">
        <v>2969</v>
      </c>
    </row>
    <row r="1750" spans="1:23" ht="15" customHeight="1" x14ac:dyDescent="0.3">
      <c r="A1750" t="s">
        <v>8</v>
      </c>
      <c r="B1750">
        <v>19</v>
      </c>
      <c r="C1750" t="s">
        <v>1142</v>
      </c>
      <c r="D1750" t="s">
        <v>1143</v>
      </c>
      <c r="E1750" t="s">
        <v>34</v>
      </c>
      <c r="F1750" t="s">
        <v>1144</v>
      </c>
      <c r="G1750" t="s">
        <v>440</v>
      </c>
      <c r="H1750" t="s">
        <v>1592</v>
      </c>
      <c r="I1750" t="s">
        <v>1143</v>
      </c>
      <c r="J1750" t="s">
        <v>2977</v>
      </c>
      <c r="K1750" s="21" t="s">
        <v>2978</v>
      </c>
      <c r="L1750" s="21" t="s">
        <v>1147</v>
      </c>
      <c r="M1750" t="s">
        <v>375</v>
      </c>
      <c r="N1750" t="s">
        <v>159</v>
      </c>
      <c r="R1750" t="s">
        <v>2944</v>
      </c>
      <c r="S1750" t="s">
        <v>2977</v>
      </c>
      <c r="T1750" t="s">
        <v>1249</v>
      </c>
      <c r="U1750" t="s">
        <v>2979</v>
      </c>
      <c r="V1750" t="s">
        <v>2968</v>
      </c>
      <c r="W1750" t="s">
        <v>2969</v>
      </c>
    </row>
    <row r="1751" spans="1:23" ht="15" customHeight="1" x14ac:dyDescent="0.3">
      <c r="A1751" t="s">
        <v>8</v>
      </c>
      <c r="B1751">
        <v>19</v>
      </c>
      <c r="C1751" t="s">
        <v>1142</v>
      </c>
      <c r="D1751" t="s">
        <v>1143</v>
      </c>
      <c r="E1751" t="s">
        <v>34</v>
      </c>
      <c r="F1751" t="s">
        <v>1144</v>
      </c>
      <c r="G1751" t="s">
        <v>440</v>
      </c>
      <c r="H1751" t="s">
        <v>1592</v>
      </c>
      <c r="I1751" t="s">
        <v>1143</v>
      </c>
      <c r="J1751" t="s">
        <v>2977</v>
      </c>
      <c r="K1751" s="21" t="s">
        <v>2978</v>
      </c>
      <c r="L1751" s="21" t="s">
        <v>1147</v>
      </c>
      <c r="M1751" t="s">
        <v>375</v>
      </c>
      <c r="N1751" t="s">
        <v>159</v>
      </c>
      <c r="R1751" t="s">
        <v>2945</v>
      </c>
      <c r="S1751" t="s">
        <v>2977</v>
      </c>
      <c r="T1751" t="s">
        <v>1249</v>
      </c>
      <c r="U1751" t="s">
        <v>2979</v>
      </c>
      <c r="V1751" t="s">
        <v>2968</v>
      </c>
      <c r="W1751" t="s">
        <v>2969</v>
      </c>
    </row>
    <row r="1752" spans="1:23" ht="15" customHeight="1" x14ac:dyDescent="0.3">
      <c r="A1752" t="s">
        <v>8</v>
      </c>
      <c r="B1752">
        <v>19</v>
      </c>
      <c r="C1752" t="s">
        <v>1142</v>
      </c>
      <c r="D1752" t="s">
        <v>1143</v>
      </c>
      <c r="E1752" t="s">
        <v>34</v>
      </c>
      <c r="F1752" t="s">
        <v>1144</v>
      </c>
      <c r="G1752" t="s">
        <v>440</v>
      </c>
      <c r="H1752" t="s">
        <v>1592</v>
      </c>
      <c r="I1752" t="s">
        <v>1143</v>
      </c>
      <c r="J1752" t="s">
        <v>2977</v>
      </c>
      <c r="K1752" s="21" t="s">
        <v>2978</v>
      </c>
      <c r="L1752" s="21" t="s">
        <v>1147</v>
      </c>
      <c r="M1752" t="s">
        <v>375</v>
      </c>
      <c r="N1752" t="s">
        <v>159</v>
      </c>
      <c r="R1752" t="s">
        <v>2946</v>
      </c>
      <c r="S1752" t="s">
        <v>2977</v>
      </c>
      <c r="T1752" t="s">
        <v>1249</v>
      </c>
      <c r="U1752" t="s">
        <v>2979</v>
      </c>
      <c r="V1752" t="s">
        <v>2968</v>
      </c>
      <c r="W1752" t="s">
        <v>2969</v>
      </c>
    </row>
    <row r="1753" spans="1:23" ht="15" customHeight="1" x14ac:dyDescent="0.3">
      <c r="A1753" t="s">
        <v>8</v>
      </c>
      <c r="B1753">
        <v>19</v>
      </c>
      <c r="C1753" t="s">
        <v>1142</v>
      </c>
      <c r="D1753" t="s">
        <v>1143</v>
      </c>
      <c r="E1753" t="s">
        <v>34</v>
      </c>
      <c r="F1753" t="s">
        <v>1144</v>
      </c>
      <c r="G1753" t="s">
        <v>440</v>
      </c>
      <c r="H1753" t="s">
        <v>1592</v>
      </c>
      <c r="I1753" t="s">
        <v>1143</v>
      </c>
      <c r="J1753" t="s">
        <v>2977</v>
      </c>
      <c r="K1753" s="21" t="s">
        <v>2978</v>
      </c>
      <c r="L1753" s="21" t="s">
        <v>1147</v>
      </c>
      <c r="M1753" t="s">
        <v>375</v>
      </c>
      <c r="N1753" t="s">
        <v>159</v>
      </c>
      <c r="R1753" t="s">
        <v>2947</v>
      </c>
      <c r="S1753" t="s">
        <v>2977</v>
      </c>
      <c r="T1753" t="s">
        <v>1249</v>
      </c>
      <c r="U1753" t="s">
        <v>2979</v>
      </c>
      <c r="V1753" t="s">
        <v>2968</v>
      </c>
      <c r="W1753" t="s">
        <v>2969</v>
      </c>
    </row>
    <row r="1754" spans="1:23" ht="15" customHeight="1" x14ac:dyDescent="0.3">
      <c r="A1754" t="s">
        <v>8</v>
      </c>
      <c r="B1754">
        <v>19</v>
      </c>
      <c r="C1754" t="s">
        <v>1142</v>
      </c>
      <c r="D1754" t="s">
        <v>1143</v>
      </c>
      <c r="E1754" t="s">
        <v>34</v>
      </c>
      <c r="F1754" t="s">
        <v>1144</v>
      </c>
      <c r="G1754" t="s">
        <v>440</v>
      </c>
      <c r="H1754" t="s">
        <v>1592</v>
      </c>
      <c r="I1754" t="s">
        <v>1143</v>
      </c>
      <c r="J1754" t="s">
        <v>2977</v>
      </c>
      <c r="K1754" s="21" t="s">
        <v>2978</v>
      </c>
      <c r="L1754" s="21" t="s">
        <v>1147</v>
      </c>
      <c r="M1754" t="s">
        <v>375</v>
      </c>
      <c r="N1754" t="s">
        <v>159</v>
      </c>
      <c r="R1754" t="s">
        <v>2948</v>
      </c>
      <c r="S1754" t="s">
        <v>2977</v>
      </c>
      <c r="T1754" t="s">
        <v>1249</v>
      </c>
      <c r="U1754" t="s">
        <v>2979</v>
      </c>
      <c r="V1754" t="s">
        <v>2968</v>
      </c>
      <c r="W1754" t="s">
        <v>2969</v>
      </c>
    </row>
    <row r="1755" spans="1:23" ht="15" customHeight="1" x14ac:dyDescent="0.3">
      <c r="A1755" t="s">
        <v>8</v>
      </c>
      <c r="B1755">
        <v>19</v>
      </c>
      <c r="C1755" t="s">
        <v>1142</v>
      </c>
      <c r="D1755" t="s">
        <v>1143</v>
      </c>
      <c r="E1755" t="s">
        <v>34</v>
      </c>
      <c r="F1755" t="s">
        <v>1144</v>
      </c>
      <c r="G1755" t="s">
        <v>440</v>
      </c>
      <c r="H1755" t="s">
        <v>1592</v>
      </c>
      <c r="I1755" t="s">
        <v>1143</v>
      </c>
      <c r="J1755" t="s">
        <v>2977</v>
      </c>
      <c r="K1755" s="21" t="s">
        <v>2978</v>
      </c>
      <c r="L1755" s="21" t="s">
        <v>1147</v>
      </c>
      <c r="M1755" t="s">
        <v>375</v>
      </c>
      <c r="N1755" t="s">
        <v>159</v>
      </c>
      <c r="R1755" t="s">
        <v>2949</v>
      </c>
      <c r="S1755" t="s">
        <v>2977</v>
      </c>
      <c r="T1755" t="s">
        <v>1249</v>
      </c>
      <c r="U1755" t="s">
        <v>2979</v>
      </c>
      <c r="V1755" t="s">
        <v>2968</v>
      </c>
      <c r="W1755" t="s">
        <v>2969</v>
      </c>
    </row>
    <row r="1756" spans="1:23" ht="15" customHeight="1" x14ac:dyDescent="0.3">
      <c r="A1756" t="s">
        <v>8</v>
      </c>
      <c r="B1756">
        <v>19</v>
      </c>
      <c r="C1756" t="s">
        <v>1142</v>
      </c>
      <c r="D1756" t="s">
        <v>1143</v>
      </c>
      <c r="E1756" t="s">
        <v>34</v>
      </c>
      <c r="F1756" t="s">
        <v>1144</v>
      </c>
      <c r="G1756" t="s">
        <v>440</v>
      </c>
      <c r="H1756" t="s">
        <v>1798</v>
      </c>
      <c r="I1756" t="s">
        <v>1143</v>
      </c>
      <c r="J1756" t="s">
        <v>2938</v>
      </c>
      <c r="K1756" s="21" t="s">
        <v>2980</v>
      </c>
      <c r="L1756" s="21" t="s">
        <v>1147</v>
      </c>
      <c r="M1756" t="s">
        <v>375</v>
      </c>
      <c r="N1756" t="s">
        <v>159</v>
      </c>
      <c r="R1756" t="s">
        <v>2944</v>
      </c>
      <c r="S1756" t="s">
        <v>2938</v>
      </c>
      <c r="T1756" t="s">
        <v>1290</v>
      </c>
      <c r="U1756" t="s">
        <v>2036</v>
      </c>
      <c r="V1756" t="s">
        <v>2942</v>
      </c>
      <c r="W1756" t="s">
        <v>2943</v>
      </c>
    </row>
    <row r="1757" spans="1:23" ht="15" customHeight="1" x14ac:dyDescent="0.3">
      <c r="A1757" t="s">
        <v>8</v>
      </c>
      <c r="B1757">
        <v>19</v>
      </c>
      <c r="C1757" t="s">
        <v>1142</v>
      </c>
      <c r="D1757" t="s">
        <v>1143</v>
      </c>
      <c r="E1757" t="s">
        <v>34</v>
      </c>
      <c r="F1757" t="s">
        <v>1144</v>
      </c>
      <c r="G1757" t="s">
        <v>440</v>
      </c>
      <c r="H1757" t="s">
        <v>1798</v>
      </c>
      <c r="I1757" t="s">
        <v>1143</v>
      </c>
      <c r="J1757" t="s">
        <v>2938</v>
      </c>
      <c r="K1757" s="21" t="s">
        <v>2980</v>
      </c>
      <c r="L1757" s="21" t="s">
        <v>1147</v>
      </c>
      <c r="M1757" t="s">
        <v>375</v>
      </c>
      <c r="N1757" t="s">
        <v>159</v>
      </c>
      <c r="R1757" t="s">
        <v>2945</v>
      </c>
      <c r="S1757" t="s">
        <v>2938</v>
      </c>
      <c r="T1757" t="s">
        <v>1290</v>
      </c>
      <c r="U1757" t="s">
        <v>2036</v>
      </c>
      <c r="V1757" t="s">
        <v>2942</v>
      </c>
      <c r="W1757" t="s">
        <v>2943</v>
      </c>
    </row>
    <row r="1758" spans="1:23" ht="15" customHeight="1" x14ac:dyDescent="0.3">
      <c r="A1758" t="s">
        <v>8</v>
      </c>
      <c r="B1758">
        <v>19</v>
      </c>
      <c r="C1758" t="s">
        <v>1142</v>
      </c>
      <c r="D1758" t="s">
        <v>1143</v>
      </c>
      <c r="E1758" t="s">
        <v>34</v>
      </c>
      <c r="F1758" t="s">
        <v>1144</v>
      </c>
      <c r="G1758" t="s">
        <v>440</v>
      </c>
      <c r="H1758" t="s">
        <v>1798</v>
      </c>
      <c r="I1758" t="s">
        <v>1143</v>
      </c>
      <c r="J1758" t="s">
        <v>2938</v>
      </c>
      <c r="K1758" s="21" t="s">
        <v>2980</v>
      </c>
      <c r="L1758" s="21" t="s">
        <v>1147</v>
      </c>
      <c r="M1758" t="s">
        <v>375</v>
      </c>
      <c r="N1758" t="s">
        <v>159</v>
      </c>
      <c r="R1758" t="s">
        <v>2946</v>
      </c>
      <c r="S1758" t="s">
        <v>2938</v>
      </c>
      <c r="T1758" t="s">
        <v>1290</v>
      </c>
      <c r="U1758" t="s">
        <v>2036</v>
      </c>
      <c r="V1758" t="s">
        <v>2942</v>
      </c>
      <c r="W1758" t="s">
        <v>2943</v>
      </c>
    </row>
    <row r="1759" spans="1:23" ht="15" customHeight="1" x14ac:dyDescent="0.3">
      <c r="A1759" t="s">
        <v>8</v>
      </c>
      <c r="B1759">
        <v>19</v>
      </c>
      <c r="C1759" t="s">
        <v>1142</v>
      </c>
      <c r="D1759" t="s">
        <v>1143</v>
      </c>
      <c r="E1759" t="s">
        <v>34</v>
      </c>
      <c r="F1759" t="s">
        <v>1144</v>
      </c>
      <c r="G1759" t="s">
        <v>440</v>
      </c>
      <c r="H1759" t="s">
        <v>1798</v>
      </c>
      <c r="I1759" t="s">
        <v>1143</v>
      </c>
      <c r="J1759" t="s">
        <v>2938</v>
      </c>
      <c r="K1759" s="21" t="s">
        <v>2980</v>
      </c>
      <c r="L1759" s="21" t="s">
        <v>1147</v>
      </c>
      <c r="M1759" t="s">
        <v>375</v>
      </c>
      <c r="N1759" t="s">
        <v>159</v>
      </c>
      <c r="R1759" t="s">
        <v>2947</v>
      </c>
      <c r="S1759" t="s">
        <v>2938</v>
      </c>
      <c r="T1759" t="s">
        <v>1290</v>
      </c>
      <c r="U1759" t="s">
        <v>2036</v>
      </c>
      <c r="V1759" t="s">
        <v>2942</v>
      </c>
      <c r="W1759" t="s">
        <v>2943</v>
      </c>
    </row>
    <row r="1760" spans="1:23" ht="15" customHeight="1" x14ac:dyDescent="0.3">
      <c r="A1760" t="s">
        <v>8</v>
      </c>
      <c r="B1760">
        <v>19</v>
      </c>
      <c r="C1760" t="s">
        <v>1142</v>
      </c>
      <c r="D1760" t="s">
        <v>1143</v>
      </c>
      <c r="E1760" t="s">
        <v>34</v>
      </c>
      <c r="F1760" t="s">
        <v>1144</v>
      </c>
      <c r="G1760" t="s">
        <v>440</v>
      </c>
      <c r="H1760" t="s">
        <v>1798</v>
      </c>
      <c r="I1760" t="s">
        <v>1143</v>
      </c>
      <c r="J1760" t="s">
        <v>2938</v>
      </c>
      <c r="K1760" s="21" t="s">
        <v>2980</v>
      </c>
      <c r="L1760" s="21" t="s">
        <v>1147</v>
      </c>
      <c r="M1760" t="s">
        <v>375</v>
      </c>
      <c r="N1760" t="s">
        <v>159</v>
      </c>
      <c r="R1760" t="s">
        <v>2948</v>
      </c>
      <c r="S1760" t="s">
        <v>2938</v>
      </c>
      <c r="T1760" t="s">
        <v>1290</v>
      </c>
      <c r="U1760" t="s">
        <v>2036</v>
      </c>
      <c r="V1760" t="s">
        <v>2942</v>
      </c>
      <c r="W1760" t="s">
        <v>2943</v>
      </c>
    </row>
    <row r="1761" spans="1:23" ht="15" customHeight="1" x14ac:dyDescent="0.3">
      <c r="A1761" t="s">
        <v>8</v>
      </c>
      <c r="B1761">
        <v>19</v>
      </c>
      <c r="C1761" t="s">
        <v>1142</v>
      </c>
      <c r="D1761" t="s">
        <v>1143</v>
      </c>
      <c r="E1761" t="s">
        <v>34</v>
      </c>
      <c r="F1761" t="s">
        <v>1144</v>
      </c>
      <c r="G1761" t="s">
        <v>440</v>
      </c>
      <c r="H1761" t="s">
        <v>1798</v>
      </c>
      <c r="I1761" t="s">
        <v>1143</v>
      </c>
      <c r="J1761" t="s">
        <v>2938</v>
      </c>
      <c r="K1761" s="21" t="s">
        <v>2980</v>
      </c>
      <c r="L1761" s="21" t="s">
        <v>1147</v>
      </c>
      <c r="M1761" t="s">
        <v>375</v>
      </c>
      <c r="N1761" t="s">
        <v>159</v>
      </c>
      <c r="R1761" t="s">
        <v>2949</v>
      </c>
      <c r="S1761" t="s">
        <v>2938</v>
      </c>
      <c r="T1761" t="s">
        <v>1290</v>
      </c>
      <c r="U1761" t="s">
        <v>2036</v>
      </c>
      <c r="V1761" t="s">
        <v>2942</v>
      </c>
      <c r="W1761" t="s">
        <v>2943</v>
      </c>
    </row>
    <row r="1762" spans="1:23" ht="15" customHeight="1" x14ac:dyDescent="0.3">
      <c r="A1762" t="s">
        <v>8</v>
      </c>
      <c r="B1762">
        <v>19</v>
      </c>
      <c r="C1762" t="s">
        <v>1142</v>
      </c>
      <c r="D1762" t="s">
        <v>1143</v>
      </c>
      <c r="E1762" t="s">
        <v>34</v>
      </c>
      <c r="F1762" t="s">
        <v>1144</v>
      </c>
      <c r="G1762" t="s">
        <v>440</v>
      </c>
      <c r="H1762" t="s">
        <v>1803</v>
      </c>
      <c r="I1762" t="s">
        <v>1143</v>
      </c>
      <c r="J1762" t="s">
        <v>2981</v>
      </c>
      <c r="K1762" s="21" t="s">
        <v>2982</v>
      </c>
      <c r="L1762" s="21" t="s">
        <v>1147</v>
      </c>
      <c r="M1762" t="s">
        <v>375</v>
      </c>
      <c r="N1762" t="s">
        <v>159</v>
      </c>
      <c r="R1762" t="s">
        <v>2944</v>
      </c>
      <c r="S1762" t="s">
        <v>2981</v>
      </c>
      <c r="T1762" t="s">
        <v>1290</v>
      </c>
      <c r="U1762" t="s">
        <v>2036</v>
      </c>
      <c r="V1762" t="s">
        <v>1150</v>
      </c>
      <c r="W1762" t="s">
        <v>2983</v>
      </c>
    </row>
    <row r="1763" spans="1:23" ht="15" customHeight="1" x14ac:dyDescent="0.3">
      <c r="A1763" t="s">
        <v>8</v>
      </c>
      <c r="B1763">
        <v>19</v>
      </c>
      <c r="C1763" t="s">
        <v>1142</v>
      </c>
      <c r="D1763" t="s">
        <v>1143</v>
      </c>
      <c r="E1763" t="s">
        <v>34</v>
      </c>
      <c r="F1763" t="s">
        <v>1144</v>
      </c>
      <c r="G1763" t="s">
        <v>440</v>
      </c>
      <c r="H1763" t="s">
        <v>1803</v>
      </c>
      <c r="I1763" t="s">
        <v>1143</v>
      </c>
      <c r="J1763" t="s">
        <v>2981</v>
      </c>
      <c r="K1763" s="21" t="s">
        <v>2982</v>
      </c>
      <c r="L1763" s="21" t="s">
        <v>1147</v>
      </c>
      <c r="M1763" t="s">
        <v>375</v>
      </c>
      <c r="N1763" t="s">
        <v>159</v>
      </c>
      <c r="R1763" t="s">
        <v>2945</v>
      </c>
      <c r="S1763" t="s">
        <v>2981</v>
      </c>
      <c r="T1763" t="s">
        <v>1290</v>
      </c>
      <c r="U1763" t="s">
        <v>2036</v>
      </c>
      <c r="V1763" t="s">
        <v>1150</v>
      </c>
      <c r="W1763" t="s">
        <v>2983</v>
      </c>
    </row>
    <row r="1764" spans="1:23" ht="15" customHeight="1" x14ac:dyDescent="0.3">
      <c r="A1764" t="s">
        <v>8</v>
      </c>
      <c r="B1764">
        <v>19</v>
      </c>
      <c r="C1764" t="s">
        <v>1142</v>
      </c>
      <c r="D1764" t="s">
        <v>1143</v>
      </c>
      <c r="E1764" t="s">
        <v>34</v>
      </c>
      <c r="F1764" t="s">
        <v>1144</v>
      </c>
      <c r="G1764" t="s">
        <v>440</v>
      </c>
      <c r="H1764" t="s">
        <v>1803</v>
      </c>
      <c r="I1764" t="s">
        <v>1143</v>
      </c>
      <c r="J1764" t="s">
        <v>2981</v>
      </c>
      <c r="K1764" s="21" t="s">
        <v>2982</v>
      </c>
      <c r="L1764" s="21" t="s">
        <v>1147</v>
      </c>
      <c r="M1764" t="s">
        <v>375</v>
      </c>
      <c r="N1764" t="s">
        <v>159</v>
      </c>
      <c r="R1764" t="s">
        <v>2946</v>
      </c>
      <c r="S1764" t="s">
        <v>2981</v>
      </c>
      <c r="T1764" t="s">
        <v>1290</v>
      </c>
      <c r="U1764" t="s">
        <v>2036</v>
      </c>
      <c r="V1764" t="s">
        <v>1150</v>
      </c>
      <c r="W1764" t="s">
        <v>2983</v>
      </c>
    </row>
    <row r="1765" spans="1:23" ht="15" customHeight="1" x14ac:dyDescent="0.3">
      <c r="A1765" t="s">
        <v>8</v>
      </c>
      <c r="B1765">
        <v>19</v>
      </c>
      <c r="C1765" t="s">
        <v>1142</v>
      </c>
      <c r="D1765" t="s">
        <v>1143</v>
      </c>
      <c r="E1765" t="s">
        <v>34</v>
      </c>
      <c r="F1765" t="s">
        <v>1144</v>
      </c>
      <c r="G1765" t="s">
        <v>440</v>
      </c>
      <c r="H1765" t="s">
        <v>1803</v>
      </c>
      <c r="I1765" t="s">
        <v>1143</v>
      </c>
      <c r="J1765" t="s">
        <v>2981</v>
      </c>
      <c r="K1765" s="21" t="s">
        <v>2982</v>
      </c>
      <c r="L1765" s="21" t="s">
        <v>1147</v>
      </c>
      <c r="M1765" t="s">
        <v>375</v>
      </c>
      <c r="N1765" t="s">
        <v>159</v>
      </c>
      <c r="R1765" t="s">
        <v>2947</v>
      </c>
      <c r="S1765" t="s">
        <v>2981</v>
      </c>
      <c r="T1765" t="s">
        <v>1290</v>
      </c>
      <c r="U1765" t="s">
        <v>2036</v>
      </c>
      <c r="V1765" t="s">
        <v>1150</v>
      </c>
      <c r="W1765" t="s">
        <v>2983</v>
      </c>
    </row>
    <row r="1766" spans="1:23" ht="15" customHeight="1" x14ac:dyDescent="0.3">
      <c r="A1766" t="s">
        <v>8</v>
      </c>
      <c r="B1766">
        <v>19</v>
      </c>
      <c r="C1766" t="s">
        <v>1142</v>
      </c>
      <c r="D1766" t="s">
        <v>1143</v>
      </c>
      <c r="E1766" t="s">
        <v>34</v>
      </c>
      <c r="F1766" t="s">
        <v>1144</v>
      </c>
      <c r="G1766" t="s">
        <v>440</v>
      </c>
      <c r="H1766" t="s">
        <v>1803</v>
      </c>
      <c r="I1766" t="s">
        <v>1143</v>
      </c>
      <c r="J1766" t="s">
        <v>2981</v>
      </c>
      <c r="K1766" s="21" t="s">
        <v>2982</v>
      </c>
      <c r="L1766" s="21" t="s">
        <v>1147</v>
      </c>
      <c r="M1766" t="s">
        <v>375</v>
      </c>
      <c r="N1766" t="s">
        <v>159</v>
      </c>
      <c r="R1766" t="s">
        <v>2948</v>
      </c>
      <c r="S1766" t="s">
        <v>2981</v>
      </c>
      <c r="T1766" t="s">
        <v>1290</v>
      </c>
      <c r="U1766" t="s">
        <v>2036</v>
      </c>
      <c r="V1766" t="s">
        <v>1150</v>
      </c>
      <c r="W1766" t="s">
        <v>2983</v>
      </c>
    </row>
    <row r="1767" spans="1:23" ht="15" customHeight="1" x14ac:dyDescent="0.3">
      <c r="A1767" t="s">
        <v>8</v>
      </c>
      <c r="B1767">
        <v>19</v>
      </c>
      <c r="C1767" t="s">
        <v>1142</v>
      </c>
      <c r="D1767" t="s">
        <v>1143</v>
      </c>
      <c r="E1767" t="s">
        <v>34</v>
      </c>
      <c r="F1767" t="s">
        <v>1144</v>
      </c>
      <c r="G1767" t="s">
        <v>440</v>
      </c>
      <c r="H1767" t="s">
        <v>1803</v>
      </c>
      <c r="I1767" t="s">
        <v>1143</v>
      </c>
      <c r="J1767" t="s">
        <v>2981</v>
      </c>
      <c r="K1767" s="21" t="s">
        <v>2982</v>
      </c>
      <c r="L1767" s="21" t="s">
        <v>1147</v>
      </c>
      <c r="M1767" t="s">
        <v>375</v>
      </c>
      <c r="N1767" t="s">
        <v>159</v>
      </c>
      <c r="R1767" t="s">
        <v>2949</v>
      </c>
      <c r="S1767" t="s">
        <v>2981</v>
      </c>
      <c r="T1767" t="s">
        <v>1290</v>
      </c>
      <c r="U1767" t="s">
        <v>2036</v>
      </c>
      <c r="V1767" t="s">
        <v>1150</v>
      </c>
      <c r="W1767" t="s">
        <v>2983</v>
      </c>
    </row>
    <row r="1768" spans="1:23" ht="15" customHeight="1" x14ac:dyDescent="0.3">
      <c r="A1768" t="s">
        <v>8</v>
      </c>
      <c r="B1768">
        <v>19</v>
      </c>
      <c r="C1768" t="s">
        <v>1142</v>
      </c>
      <c r="D1768" t="s">
        <v>1143</v>
      </c>
      <c r="E1768" t="s">
        <v>34</v>
      </c>
      <c r="F1768" t="s">
        <v>1144</v>
      </c>
      <c r="G1768" t="s">
        <v>440</v>
      </c>
      <c r="H1768" t="s">
        <v>2526</v>
      </c>
      <c r="I1768" t="s">
        <v>1143</v>
      </c>
      <c r="J1768" t="s">
        <v>2984</v>
      </c>
      <c r="K1768" s="21" t="s">
        <v>2985</v>
      </c>
      <c r="L1768" s="21" t="s">
        <v>1147</v>
      </c>
      <c r="M1768" t="s">
        <v>375</v>
      </c>
      <c r="N1768" t="s">
        <v>159</v>
      </c>
      <c r="R1768" t="s">
        <v>2944</v>
      </c>
      <c r="S1768" t="s">
        <v>2984</v>
      </c>
      <c r="T1768" t="s">
        <v>1290</v>
      </c>
      <c r="U1768" t="s">
        <v>2036</v>
      </c>
      <c r="V1768" t="s">
        <v>2986</v>
      </c>
      <c r="W1768" t="s">
        <v>2987</v>
      </c>
    </row>
    <row r="1769" spans="1:23" ht="15" customHeight="1" x14ac:dyDescent="0.3">
      <c r="A1769" t="s">
        <v>8</v>
      </c>
      <c r="B1769">
        <v>19</v>
      </c>
      <c r="C1769" t="s">
        <v>1142</v>
      </c>
      <c r="D1769" t="s">
        <v>1143</v>
      </c>
      <c r="E1769" t="s">
        <v>34</v>
      </c>
      <c r="F1769" t="s">
        <v>1144</v>
      </c>
      <c r="G1769" t="s">
        <v>440</v>
      </c>
      <c r="H1769" t="s">
        <v>2526</v>
      </c>
      <c r="I1769" t="s">
        <v>1143</v>
      </c>
      <c r="J1769" t="s">
        <v>2984</v>
      </c>
      <c r="K1769" s="21" t="s">
        <v>2985</v>
      </c>
      <c r="L1769" s="21" t="s">
        <v>1147</v>
      </c>
      <c r="M1769" t="s">
        <v>375</v>
      </c>
      <c r="N1769" t="s">
        <v>159</v>
      </c>
      <c r="R1769" t="s">
        <v>2945</v>
      </c>
      <c r="S1769" t="s">
        <v>2984</v>
      </c>
      <c r="T1769" t="s">
        <v>1290</v>
      </c>
      <c r="U1769" t="s">
        <v>2036</v>
      </c>
      <c r="V1769" t="s">
        <v>2986</v>
      </c>
      <c r="W1769" t="s">
        <v>2987</v>
      </c>
    </row>
    <row r="1770" spans="1:23" ht="15" customHeight="1" x14ac:dyDescent="0.3">
      <c r="A1770" t="s">
        <v>8</v>
      </c>
      <c r="B1770">
        <v>19</v>
      </c>
      <c r="C1770" t="s">
        <v>1142</v>
      </c>
      <c r="D1770" t="s">
        <v>1143</v>
      </c>
      <c r="E1770" t="s">
        <v>34</v>
      </c>
      <c r="F1770" t="s">
        <v>1144</v>
      </c>
      <c r="G1770" t="s">
        <v>440</v>
      </c>
      <c r="H1770" t="s">
        <v>2526</v>
      </c>
      <c r="I1770" t="s">
        <v>1143</v>
      </c>
      <c r="J1770" t="s">
        <v>2984</v>
      </c>
      <c r="K1770" s="21" t="s">
        <v>2985</v>
      </c>
      <c r="L1770" s="21" t="s">
        <v>1147</v>
      </c>
      <c r="M1770" t="s">
        <v>375</v>
      </c>
      <c r="N1770" t="s">
        <v>159</v>
      </c>
      <c r="R1770" t="s">
        <v>2946</v>
      </c>
      <c r="S1770" t="s">
        <v>2984</v>
      </c>
      <c r="T1770" t="s">
        <v>1290</v>
      </c>
      <c r="U1770" t="s">
        <v>2036</v>
      </c>
      <c r="V1770" t="s">
        <v>2986</v>
      </c>
      <c r="W1770" t="s">
        <v>2987</v>
      </c>
    </row>
    <row r="1771" spans="1:23" ht="15" customHeight="1" x14ac:dyDescent="0.3">
      <c r="A1771" t="s">
        <v>8</v>
      </c>
      <c r="B1771">
        <v>19</v>
      </c>
      <c r="C1771" t="s">
        <v>1142</v>
      </c>
      <c r="D1771" t="s">
        <v>1143</v>
      </c>
      <c r="E1771" t="s">
        <v>34</v>
      </c>
      <c r="F1771" t="s">
        <v>1144</v>
      </c>
      <c r="G1771" t="s">
        <v>440</v>
      </c>
      <c r="H1771" t="s">
        <v>2526</v>
      </c>
      <c r="I1771" t="s">
        <v>1143</v>
      </c>
      <c r="J1771" t="s">
        <v>2984</v>
      </c>
      <c r="K1771" s="21" t="s">
        <v>2985</v>
      </c>
      <c r="L1771" s="21" t="s">
        <v>1147</v>
      </c>
      <c r="M1771" t="s">
        <v>375</v>
      </c>
      <c r="N1771" t="s">
        <v>159</v>
      </c>
      <c r="R1771" t="s">
        <v>2947</v>
      </c>
      <c r="S1771" t="s">
        <v>2984</v>
      </c>
      <c r="T1771" t="s">
        <v>1290</v>
      </c>
      <c r="U1771" t="s">
        <v>2036</v>
      </c>
      <c r="V1771" t="s">
        <v>2986</v>
      </c>
      <c r="W1771" t="s">
        <v>2987</v>
      </c>
    </row>
    <row r="1772" spans="1:23" ht="15" customHeight="1" x14ac:dyDescent="0.3">
      <c r="A1772" t="s">
        <v>8</v>
      </c>
      <c r="B1772">
        <v>19</v>
      </c>
      <c r="C1772" t="s">
        <v>1142</v>
      </c>
      <c r="D1772" t="s">
        <v>1143</v>
      </c>
      <c r="E1772" t="s">
        <v>34</v>
      </c>
      <c r="F1772" t="s">
        <v>1144</v>
      </c>
      <c r="G1772" t="s">
        <v>440</v>
      </c>
      <c r="H1772" t="s">
        <v>2526</v>
      </c>
      <c r="I1772" t="s">
        <v>1143</v>
      </c>
      <c r="J1772" t="s">
        <v>2984</v>
      </c>
      <c r="K1772" s="21" t="s">
        <v>2985</v>
      </c>
      <c r="L1772" s="21" t="s">
        <v>1147</v>
      </c>
      <c r="M1772" t="s">
        <v>375</v>
      </c>
      <c r="N1772" t="s">
        <v>159</v>
      </c>
      <c r="R1772" t="s">
        <v>2948</v>
      </c>
      <c r="S1772" t="s">
        <v>2984</v>
      </c>
      <c r="T1772" t="s">
        <v>1290</v>
      </c>
      <c r="U1772" t="s">
        <v>2036</v>
      </c>
      <c r="V1772" t="s">
        <v>2986</v>
      </c>
      <c r="W1772" t="s">
        <v>2987</v>
      </c>
    </row>
    <row r="1773" spans="1:23" ht="15" customHeight="1" x14ac:dyDescent="0.3">
      <c r="A1773" t="s">
        <v>8</v>
      </c>
      <c r="B1773">
        <v>19</v>
      </c>
      <c r="C1773" t="s">
        <v>1142</v>
      </c>
      <c r="D1773" t="s">
        <v>1143</v>
      </c>
      <c r="E1773" t="s">
        <v>34</v>
      </c>
      <c r="F1773" t="s">
        <v>1144</v>
      </c>
      <c r="G1773" t="s">
        <v>440</v>
      </c>
      <c r="H1773" t="s">
        <v>2526</v>
      </c>
      <c r="I1773" t="s">
        <v>1143</v>
      </c>
      <c r="J1773" t="s">
        <v>2984</v>
      </c>
      <c r="K1773" s="21" t="s">
        <v>2985</v>
      </c>
      <c r="L1773" s="21" t="s">
        <v>1147</v>
      </c>
      <c r="M1773" t="s">
        <v>375</v>
      </c>
      <c r="N1773" t="s">
        <v>159</v>
      </c>
      <c r="R1773" t="s">
        <v>2949</v>
      </c>
      <c r="S1773" t="s">
        <v>2984</v>
      </c>
      <c r="T1773" t="s">
        <v>1290</v>
      </c>
      <c r="U1773" t="s">
        <v>2036</v>
      </c>
      <c r="V1773" t="s">
        <v>2986</v>
      </c>
      <c r="W1773" t="s">
        <v>2987</v>
      </c>
    </row>
    <row r="1774" spans="1:23" ht="15" customHeight="1" x14ac:dyDescent="0.3">
      <c r="A1774" t="s">
        <v>8</v>
      </c>
      <c r="B1774">
        <v>19</v>
      </c>
      <c r="C1774" t="s">
        <v>1142</v>
      </c>
      <c r="D1774" t="s">
        <v>1143</v>
      </c>
      <c r="E1774" t="s">
        <v>34</v>
      </c>
      <c r="F1774" t="s">
        <v>1144</v>
      </c>
      <c r="G1774" t="s">
        <v>440</v>
      </c>
      <c r="H1774" t="s">
        <v>2772</v>
      </c>
      <c r="I1774" t="s">
        <v>1143</v>
      </c>
      <c r="J1774" t="s">
        <v>2988</v>
      </c>
      <c r="K1774" s="21" t="s">
        <v>2989</v>
      </c>
      <c r="L1774" s="21" t="s">
        <v>1147</v>
      </c>
      <c r="M1774" t="s">
        <v>375</v>
      </c>
      <c r="N1774" t="s">
        <v>159</v>
      </c>
      <c r="R1774" t="s">
        <v>2944</v>
      </c>
      <c r="S1774" t="s">
        <v>2988</v>
      </c>
      <c r="T1774" t="s">
        <v>1231</v>
      </c>
      <c r="U1774" t="s">
        <v>1801</v>
      </c>
      <c r="V1774" t="s">
        <v>2990</v>
      </c>
      <c r="W1774" t="s">
        <v>2991</v>
      </c>
    </row>
    <row r="1775" spans="1:23" ht="15" customHeight="1" x14ac:dyDescent="0.3">
      <c r="A1775" t="s">
        <v>8</v>
      </c>
      <c r="B1775">
        <v>19</v>
      </c>
      <c r="C1775" t="s">
        <v>1142</v>
      </c>
      <c r="D1775" t="s">
        <v>1143</v>
      </c>
      <c r="E1775" t="s">
        <v>34</v>
      </c>
      <c r="F1775" t="s">
        <v>1144</v>
      </c>
      <c r="G1775" t="s">
        <v>440</v>
      </c>
      <c r="H1775" t="s">
        <v>2772</v>
      </c>
      <c r="I1775" t="s">
        <v>1143</v>
      </c>
      <c r="J1775" t="s">
        <v>2988</v>
      </c>
      <c r="K1775" s="21" t="s">
        <v>2989</v>
      </c>
      <c r="L1775" s="21" t="s">
        <v>1147</v>
      </c>
      <c r="M1775" t="s">
        <v>375</v>
      </c>
      <c r="N1775" t="s">
        <v>159</v>
      </c>
      <c r="R1775" t="s">
        <v>2945</v>
      </c>
      <c r="S1775" t="s">
        <v>2988</v>
      </c>
      <c r="T1775" t="s">
        <v>1231</v>
      </c>
      <c r="U1775" t="s">
        <v>1801</v>
      </c>
      <c r="V1775" t="s">
        <v>2990</v>
      </c>
      <c r="W1775" t="s">
        <v>2991</v>
      </c>
    </row>
    <row r="1776" spans="1:23" ht="15" customHeight="1" x14ac:dyDescent="0.3">
      <c r="A1776" t="s">
        <v>8</v>
      </c>
      <c r="B1776">
        <v>19</v>
      </c>
      <c r="C1776" t="s">
        <v>1142</v>
      </c>
      <c r="D1776" t="s">
        <v>1143</v>
      </c>
      <c r="E1776" t="s">
        <v>34</v>
      </c>
      <c r="F1776" t="s">
        <v>1144</v>
      </c>
      <c r="G1776" t="s">
        <v>440</v>
      </c>
      <c r="H1776" t="s">
        <v>2772</v>
      </c>
      <c r="I1776" t="s">
        <v>1143</v>
      </c>
      <c r="J1776" t="s">
        <v>2988</v>
      </c>
      <c r="K1776" s="21" t="s">
        <v>2989</v>
      </c>
      <c r="L1776" s="21" t="s">
        <v>1147</v>
      </c>
      <c r="M1776" t="s">
        <v>375</v>
      </c>
      <c r="N1776" t="s">
        <v>159</v>
      </c>
      <c r="R1776" t="s">
        <v>2946</v>
      </c>
      <c r="S1776" t="s">
        <v>2988</v>
      </c>
      <c r="T1776" t="s">
        <v>1231</v>
      </c>
      <c r="U1776" t="s">
        <v>1801</v>
      </c>
      <c r="V1776" t="s">
        <v>2990</v>
      </c>
      <c r="W1776" t="s">
        <v>2991</v>
      </c>
    </row>
    <row r="1777" spans="1:23" ht="15" customHeight="1" x14ac:dyDescent="0.3">
      <c r="A1777" t="s">
        <v>8</v>
      </c>
      <c r="B1777">
        <v>19</v>
      </c>
      <c r="C1777" t="s">
        <v>1142</v>
      </c>
      <c r="D1777" t="s">
        <v>1143</v>
      </c>
      <c r="E1777" t="s">
        <v>34</v>
      </c>
      <c r="F1777" t="s">
        <v>1144</v>
      </c>
      <c r="G1777" t="s">
        <v>440</v>
      </c>
      <c r="H1777" t="s">
        <v>2772</v>
      </c>
      <c r="I1777" t="s">
        <v>1143</v>
      </c>
      <c r="J1777" t="s">
        <v>2988</v>
      </c>
      <c r="K1777" s="21" t="s">
        <v>2989</v>
      </c>
      <c r="L1777" s="21" t="s">
        <v>1147</v>
      </c>
      <c r="M1777" t="s">
        <v>375</v>
      </c>
      <c r="N1777" t="s">
        <v>159</v>
      </c>
      <c r="R1777" t="s">
        <v>2947</v>
      </c>
      <c r="S1777" t="s">
        <v>2988</v>
      </c>
      <c r="T1777" t="s">
        <v>1231</v>
      </c>
      <c r="U1777" t="s">
        <v>1801</v>
      </c>
      <c r="V1777" t="s">
        <v>2990</v>
      </c>
      <c r="W1777" t="s">
        <v>2991</v>
      </c>
    </row>
    <row r="1778" spans="1:23" ht="15" customHeight="1" x14ac:dyDescent="0.3">
      <c r="A1778" t="s">
        <v>8</v>
      </c>
      <c r="B1778">
        <v>19</v>
      </c>
      <c r="C1778" t="s">
        <v>1142</v>
      </c>
      <c r="D1778" t="s">
        <v>1143</v>
      </c>
      <c r="E1778" t="s">
        <v>34</v>
      </c>
      <c r="F1778" t="s">
        <v>1144</v>
      </c>
      <c r="G1778" t="s">
        <v>440</v>
      </c>
      <c r="H1778" t="s">
        <v>2772</v>
      </c>
      <c r="I1778" t="s">
        <v>1143</v>
      </c>
      <c r="J1778" t="s">
        <v>2988</v>
      </c>
      <c r="K1778" s="21" t="s">
        <v>2989</v>
      </c>
      <c r="L1778" s="21" t="s">
        <v>1147</v>
      </c>
      <c r="M1778" t="s">
        <v>375</v>
      </c>
      <c r="N1778" t="s">
        <v>159</v>
      </c>
      <c r="R1778" t="s">
        <v>2948</v>
      </c>
      <c r="S1778" t="s">
        <v>2988</v>
      </c>
      <c r="T1778" t="s">
        <v>1231</v>
      </c>
      <c r="U1778" t="s">
        <v>1801</v>
      </c>
      <c r="V1778" t="s">
        <v>2990</v>
      </c>
      <c r="W1778" t="s">
        <v>2991</v>
      </c>
    </row>
    <row r="1779" spans="1:23" ht="15" customHeight="1" x14ac:dyDescent="0.3">
      <c r="A1779" t="s">
        <v>8</v>
      </c>
      <c r="B1779">
        <v>19</v>
      </c>
      <c r="C1779" t="s">
        <v>1142</v>
      </c>
      <c r="D1779" t="s">
        <v>1143</v>
      </c>
      <c r="E1779" t="s">
        <v>34</v>
      </c>
      <c r="F1779" t="s">
        <v>1144</v>
      </c>
      <c r="G1779" t="s">
        <v>440</v>
      </c>
      <c r="H1779" t="s">
        <v>2772</v>
      </c>
      <c r="I1779" t="s">
        <v>1143</v>
      </c>
      <c r="J1779" t="s">
        <v>2988</v>
      </c>
      <c r="K1779" s="21" t="s">
        <v>2989</v>
      </c>
      <c r="L1779" s="21" t="s">
        <v>1147</v>
      </c>
      <c r="M1779" t="s">
        <v>375</v>
      </c>
      <c r="N1779" t="s">
        <v>159</v>
      </c>
      <c r="R1779" t="s">
        <v>2949</v>
      </c>
      <c r="S1779" t="s">
        <v>2988</v>
      </c>
      <c r="T1779" t="s">
        <v>1231</v>
      </c>
      <c r="U1779" t="s">
        <v>1801</v>
      </c>
      <c r="V1779" t="s">
        <v>2990</v>
      </c>
      <c r="W1779" t="s">
        <v>2991</v>
      </c>
    </row>
    <row r="1780" spans="1:23" ht="15" customHeight="1" x14ac:dyDescent="0.3">
      <c r="A1780" t="s">
        <v>8</v>
      </c>
      <c r="B1780">
        <v>19</v>
      </c>
      <c r="C1780" t="s">
        <v>1142</v>
      </c>
      <c r="D1780" t="s">
        <v>1143</v>
      </c>
      <c r="E1780" t="s">
        <v>34</v>
      </c>
      <c r="F1780" t="s">
        <v>1144</v>
      </c>
      <c r="G1780" t="s">
        <v>440</v>
      </c>
      <c r="H1780" t="s">
        <v>2992</v>
      </c>
      <c r="I1780" t="s">
        <v>1143</v>
      </c>
      <c r="J1780" t="s">
        <v>2993</v>
      </c>
      <c r="K1780" s="21" t="s">
        <v>2994</v>
      </c>
      <c r="L1780" s="21" t="s">
        <v>1147</v>
      </c>
      <c r="M1780" t="s">
        <v>375</v>
      </c>
      <c r="N1780" t="s">
        <v>159</v>
      </c>
      <c r="R1780" t="s">
        <v>2944</v>
      </c>
      <c r="S1780" t="s">
        <v>2993</v>
      </c>
      <c r="T1780" t="s">
        <v>1544</v>
      </c>
      <c r="U1780" t="s">
        <v>2995</v>
      </c>
      <c r="V1780" t="s">
        <v>2996</v>
      </c>
      <c r="W1780" t="s">
        <v>2997</v>
      </c>
    </row>
    <row r="1781" spans="1:23" ht="15" customHeight="1" x14ac:dyDescent="0.3">
      <c r="A1781" t="s">
        <v>8</v>
      </c>
      <c r="B1781">
        <v>19</v>
      </c>
      <c r="C1781" t="s">
        <v>1142</v>
      </c>
      <c r="D1781" t="s">
        <v>1143</v>
      </c>
      <c r="E1781" t="s">
        <v>34</v>
      </c>
      <c r="F1781" t="s">
        <v>1144</v>
      </c>
      <c r="G1781" t="s">
        <v>440</v>
      </c>
      <c r="H1781" t="s">
        <v>2992</v>
      </c>
      <c r="I1781" t="s">
        <v>1143</v>
      </c>
      <c r="J1781" t="s">
        <v>2993</v>
      </c>
      <c r="K1781" s="21" t="s">
        <v>2994</v>
      </c>
      <c r="L1781" s="21" t="s">
        <v>1147</v>
      </c>
      <c r="M1781" t="s">
        <v>375</v>
      </c>
      <c r="N1781" t="s">
        <v>159</v>
      </c>
      <c r="R1781" t="s">
        <v>2945</v>
      </c>
      <c r="S1781" t="s">
        <v>2993</v>
      </c>
      <c r="T1781" t="s">
        <v>1544</v>
      </c>
      <c r="U1781" t="s">
        <v>2995</v>
      </c>
      <c r="V1781" t="s">
        <v>2996</v>
      </c>
      <c r="W1781" t="s">
        <v>2997</v>
      </c>
    </row>
    <row r="1782" spans="1:23" ht="15" customHeight="1" x14ac:dyDescent="0.3">
      <c r="A1782" t="s">
        <v>8</v>
      </c>
      <c r="B1782">
        <v>19</v>
      </c>
      <c r="C1782" t="s">
        <v>1142</v>
      </c>
      <c r="D1782" t="s">
        <v>1143</v>
      </c>
      <c r="E1782" t="s">
        <v>34</v>
      </c>
      <c r="F1782" t="s">
        <v>1144</v>
      </c>
      <c r="G1782" t="s">
        <v>440</v>
      </c>
      <c r="H1782" t="s">
        <v>2992</v>
      </c>
      <c r="I1782" t="s">
        <v>1143</v>
      </c>
      <c r="J1782" t="s">
        <v>2993</v>
      </c>
      <c r="K1782" s="21" t="s">
        <v>2994</v>
      </c>
      <c r="L1782" s="21" t="s">
        <v>1147</v>
      </c>
      <c r="M1782" t="s">
        <v>375</v>
      </c>
      <c r="N1782" t="s">
        <v>159</v>
      </c>
      <c r="R1782" t="s">
        <v>2946</v>
      </c>
      <c r="S1782" t="s">
        <v>2993</v>
      </c>
      <c r="T1782" t="s">
        <v>1544</v>
      </c>
      <c r="U1782" t="s">
        <v>2995</v>
      </c>
      <c r="V1782" t="s">
        <v>2996</v>
      </c>
      <c r="W1782" t="s">
        <v>2997</v>
      </c>
    </row>
    <row r="1783" spans="1:23" ht="15" customHeight="1" x14ac:dyDescent="0.3">
      <c r="A1783" t="s">
        <v>8</v>
      </c>
      <c r="B1783">
        <v>19</v>
      </c>
      <c r="C1783" t="s">
        <v>1142</v>
      </c>
      <c r="D1783" t="s">
        <v>1143</v>
      </c>
      <c r="E1783" t="s">
        <v>34</v>
      </c>
      <c r="F1783" t="s">
        <v>1144</v>
      </c>
      <c r="G1783" t="s">
        <v>440</v>
      </c>
      <c r="H1783" t="s">
        <v>2992</v>
      </c>
      <c r="I1783" t="s">
        <v>1143</v>
      </c>
      <c r="J1783" t="s">
        <v>2993</v>
      </c>
      <c r="K1783" s="21" t="s">
        <v>2994</v>
      </c>
      <c r="L1783" s="21" t="s">
        <v>1147</v>
      </c>
      <c r="M1783" t="s">
        <v>375</v>
      </c>
      <c r="N1783" t="s">
        <v>159</v>
      </c>
      <c r="R1783" t="s">
        <v>2947</v>
      </c>
      <c r="S1783" t="s">
        <v>2993</v>
      </c>
      <c r="T1783" t="s">
        <v>1544</v>
      </c>
      <c r="U1783" t="s">
        <v>2995</v>
      </c>
      <c r="V1783" t="s">
        <v>2996</v>
      </c>
      <c r="W1783" t="s">
        <v>2997</v>
      </c>
    </row>
    <row r="1784" spans="1:23" ht="15" customHeight="1" x14ac:dyDescent="0.3">
      <c r="A1784" t="s">
        <v>8</v>
      </c>
      <c r="B1784">
        <v>19</v>
      </c>
      <c r="C1784" t="s">
        <v>1142</v>
      </c>
      <c r="D1784" t="s">
        <v>1143</v>
      </c>
      <c r="E1784" t="s">
        <v>34</v>
      </c>
      <c r="F1784" t="s">
        <v>1144</v>
      </c>
      <c r="G1784" t="s">
        <v>440</v>
      </c>
      <c r="H1784" t="s">
        <v>2992</v>
      </c>
      <c r="I1784" t="s">
        <v>1143</v>
      </c>
      <c r="J1784" t="s">
        <v>2993</v>
      </c>
      <c r="K1784" s="21" t="s">
        <v>2994</v>
      </c>
      <c r="L1784" s="21" t="s">
        <v>1147</v>
      </c>
      <c r="M1784" t="s">
        <v>375</v>
      </c>
      <c r="N1784" t="s">
        <v>159</v>
      </c>
      <c r="R1784" t="s">
        <v>2948</v>
      </c>
      <c r="S1784" t="s">
        <v>2993</v>
      </c>
      <c r="T1784" t="s">
        <v>1544</v>
      </c>
      <c r="U1784" t="s">
        <v>2995</v>
      </c>
      <c r="V1784" t="s">
        <v>2996</v>
      </c>
      <c r="W1784" t="s">
        <v>2997</v>
      </c>
    </row>
    <row r="1785" spans="1:23" ht="15" customHeight="1" x14ac:dyDescent="0.3">
      <c r="A1785" t="s">
        <v>8</v>
      </c>
      <c r="B1785">
        <v>19</v>
      </c>
      <c r="C1785" t="s">
        <v>1142</v>
      </c>
      <c r="D1785" t="s">
        <v>1143</v>
      </c>
      <c r="E1785" t="s">
        <v>34</v>
      </c>
      <c r="F1785" t="s">
        <v>1144</v>
      </c>
      <c r="G1785" t="s">
        <v>440</v>
      </c>
      <c r="H1785" t="s">
        <v>2992</v>
      </c>
      <c r="I1785" t="s">
        <v>1143</v>
      </c>
      <c r="J1785" t="s">
        <v>2993</v>
      </c>
      <c r="K1785" s="21" t="s">
        <v>2994</v>
      </c>
      <c r="L1785" s="21" t="s">
        <v>1147</v>
      </c>
      <c r="M1785" t="s">
        <v>375</v>
      </c>
      <c r="N1785" t="s">
        <v>159</v>
      </c>
      <c r="R1785" t="s">
        <v>2949</v>
      </c>
      <c r="S1785" t="s">
        <v>2993</v>
      </c>
      <c r="T1785" t="s">
        <v>1544</v>
      </c>
      <c r="U1785" t="s">
        <v>2995</v>
      </c>
      <c r="V1785" t="s">
        <v>2996</v>
      </c>
      <c r="W1785" t="s">
        <v>2997</v>
      </c>
    </row>
    <row r="1786" spans="1:23" ht="15" customHeight="1" x14ac:dyDescent="0.3">
      <c r="A1786" t="s">
        <v>8</v>
      </c>
      <c r="B1786">
        <v>19</v>
      </c>
      <c r="C1786" t="s">
        <v>1142</v>
      </c>
      <c r="D1786" t="s">
        <v>1143</v>
      </c>
      <c r="E1786" t="s">
        <v>34</v>
      </c>
      <c r="F1786" t="s">
        <v>1144</v>
      </c>
      <c r="G1786" t="s">
        <v>440</v>
      </c>
      <c r="H1786" t="s">
        <v>32</v>
      </c>
      <c r="I1786" t="s">
        <v>1143</v>
      </c>
      <c r="J1786" t="s">
        <v>2998</v>
      </c>
      <c r="K1786" s="21" t="s">
        <v>2999</v>
      </c>
      <c r="L1786" s="21" t="s">
        <v>1147</v>
      </c>
      <c r="M1786" t="s">
        <v>375</v>
      </c>
      <c r="N1786" t="s">
        <v>159</v>
      </c>
      <c r="R1786" t="s">
        <v>2944</v>
      </c>
      <c r="S1786" t="s">
        <v>2998</v>
      </c>
      <c r="T1786" t="s">
        <v>1290</v>
      </c>
      <c r="U1786" t="s">
        <v>2036</v>
      </c>
      <c r="V1786" t="s">
        <v>3000</v>
      </c>
      <c r="W1786" t="s">
        <v>3001</v>
      </c>
    </row>
    <row r="1787" spans="1:23" ht="15" customHeight="1" x14ac:dyDescent="0.3">
      <c r="A1787" t="s">
        <v>8</v>
      </c>
      <c r="B1787">
        <v>19</v>
      </c>
      <c r="C1787" t="s">
        <v>1142</v>
      </c>
      <c r="D1787" t="s">
        <v>1143</v>
      </c>
      <c r="E1787" t="s">
        <v>34</v>
      </c>
      <c r="F1787" t="s">
        <v>1144</v>
      </c>
      <c r="G1787" t="s">
        <v>440</v>
      </c>
      <c r="H1787" t="s">
        <v>32</v>
      </c>
      <c r="I1787" t="s">
        <v>1143</v>
      </c>
      <c r="J1787" t="s">
        <v>2998</v>
      </c>
      <c r="K1787" s="21" t="s">
        <v>2999</v>
      </c>
      <c r="L1787" s="21" t="s">
        <v>1147</v>
      </c>
      <c r="M1787" t="s">
        <v>375</v>
      </c>
      <c r="N1787" t="s">
        <v>159</v>
      </c>
      <c r="R1787" t="s">
        <v>2945</v>
      </c>
      <c r="S1787" t="s">
        <v>2998</v>
      </c>
      <c r="T1787" t="s">
        <v>1290</v>
      </c>
      <c r="U1787" t="s">
        <v>2036</v>
      </c>
      <c r="V1787" t="s">
        <v>3000</v>
      </c>
      <c r="W1787" t="s">
        <v>3001</v>
      </c>
    </row>
    <row r="1788" spans="1:23" ht="15" customHeight="1" x14ac:dyDescent="0.3">
      <c r="A1788" t="s">
        <v>8</v>
      </c>
      <c r="B1788">
        <v>19</v>
      </c>
      <c r="C1788" t="s">
        <v>1142</v>
      </c>
      <c r="D1788" t="s">
        <v>1143</v>
      </c>
      <c r="E1788" t="s">
        <v>34</v>
      </c>
      <c r="F1788" t="s">
        <v>1144</v>
      </c>
      <c r="G1788" t="s">
        <v>440</v>
      </c>
      <c r="H1788" t="s">
        <v>32</v>
      </c>
      <c r="I1788" t="s">
        <v>1143</v>
      </c>
      <c r="J1788" t="s">
        <v>2998</v>
      </c>
      <c r="K1788" s="21" t="s">
        <v>2999</v>
      </c>
      <c r="L1788" s="21" t="s">
        <v>1147</v>
      </c>
      <c r="M1788" t="s">
        <v>375</v>
      </c>
      <c r="N1788" t="s">
        <v>159</v>
      </c>
      <c r="R1788" t="s">
        <v>2946</v>
      </c>
      <c r="S1788" t="s">
        <v>2998</v>
      </c>
      <c r="T1788" t="s">
        <v>1290</v>
      </c>
      <c r="U1788" t="s">
        <v>2036</v>
      </c>
      <c r="V1788" t="s">
        <v>3000</v>
      </c>
      <c r="W1788" t="s">
        <v>3001</v>
      </c>
    </row>
    <row r="1789" spans="1:23" ht="15" customHeight="1" x14ac:dyDescent="0.3">
      <c r="A1789" t="s">
        <v>8</v>
      </c>
      <c r="B1789">
        <v>19</v>
      </c>
      <c r="C1789" t="s">
        <v>1142</v>
      </c>
      <c r="D1789" t="s">
        <v>1143</v>
      </c>
      <c r="E1789" t="s">
        <v>34</v>
      </c>
      <c r="F1789" t="s">
        <v>1144</v>
      </c>
      <c r="G1789" t="s">
        <v>440</v>
      </c>
      <c r="H1789" t="s">
        <v>32</v>
      </c>
      <c r="I1789" t="s">
        <v>1143</v>
      </c>
      <c r="J1789" t="s">
        <v>2998</v>
      </c>
      <c r="K1789" s="21" t="s">
        <v>2999</v>
      </c>
      <c r="L1789" s="21" t="s">
        <v>1147</v>
      </c>
      <c r="M1789" t="s">
        <v>375</v>
      </c>
      <c r="N1789" t="s">
        <v>159</v>
      </c>
      <c r="R1789" t="s">
        <v>2947</v>
      </c>
      <c r="S1789" t="s">
        <v>2998</v>
      </c>
      <c r="T1789" t="s">
        <v>1290</v>
      </c>
      <c r="U1789" t="s">
        <v>2036</v>
      </c>
      <c r="V1789" t="s">
        <v>3000</v>
      </c>
      <c r="W1789" t="s">
        <v>3001</v>
      </c>
    </row>
    <row r="1790" spans="1:23" ht="15" customHeight="1" x14ac:dyDescent="0.3">
      <c r="A1790" t="s">
        <v>8</v>
      </c>
      <c r="B1790">
        <v>19</v>
      </c>
      <c r="C1790" t="s">
        <v>1142</v>
      </c>
      <c r="D1790" t="s">
        <v>1143</v>
      </c>
      <c r="E1790" t="s">
        <v>34</v>
      </c>
      <c r="F1790" t="s">
        <v>1144</v>
      </c>
      <c r="G1790" t="s">
        <v>440</v>
      </c>
      <c r="H1790" t="s">
        <v>32</v>
      </c>
      <c r="I1790" t="s">
        <v>1143</v>
      </c>
      <c r="J1790" t="s">
        <v>2998</v>
      </c>
      <c r="K1790" s="21" t="s">
        <v>2999</v>
      </c>
      <c r="L1790" s="21" t="s">
        <v>1147</v>
      </c>
      <c r="M1790" t="s">
        <v>375</v>
      </c>
      <c r="N1790" t="s">
        <v>159</v>
      </c>
      <c r="R1790" t="s">
        <v>2948</v>
      </c>
      <c r="S1790" t="s">
        <v>2998</v>
      </c>
      <c r="T1790" t="s">
        <v>1290</v>
      </c>
      <c r="U1790" t="s">
        <v>2036</v>
      </c>
      <c r="V1790" t="s">
        <v>3000</v>
      </c>
      <c r="W1790" t="s">
        <v>3001</v>
      </c>
    </row>
    <row r="1791" spans="1:23" ht="15" customHeight="1" x14ac:dyDescent="0.3">
      <c r="A1791" t="s">
        <v>8</v>
      </c>
      <c r="B1791">
        <v>19</v>
      </c>
      <c r="C1791" t="s">
        <v>1142</v>
      </c>
      <c r="D1791" t="s">
        <v>1143</v>
      </c>
      <c r="E1791" t="s">
        <v>34</v>
      </c>
      <c r="F1791" t="s">
        <v>1144</v>
      </c>
      <c r="G1791" t="s">
        <v>440</v>
      </c>
      <c r="H1791" t="s">
        <v>32</v>
      </c>
      <c r="I1791" t="s">
        <v>1143</v>
      </c>
      <c r="J1791" t="s">
        <v>2998</v>
      </c>
      <c r="K1791" s="21" t="s">
        <v>2999</v>
      </c>
      <c r="L1791" s="21" t="s">
        <v>1147</v>
      </c>
      <c r="M1791" t="s">
        <v>375</v>
      </c>
      <c r="N1791" t="s">
        <v>159</v>
      </c>
      <c r="R1791" t="s">
        <v>2949</v>
      </c>
      <c r="S1791" t="s">
        <v>2998</v>
      </c>
      <c r="T1791" t="s">
        <v>1290</v>
      </c>
      <c r="U1791" t="s">
        <v>2036</v>
      </c>
      <c r="V1791" t="s">
        <v>3000</v>
      </c>
      <c r="W1791" t="s">
        <v>3001</v>
      </c>
    </row>
    <row r="1792" spans="1:23" ht="15" customHeight="1" x14ac:dyDescent="0.3">
      <c r="A1792" t="s">
        <v>8</v>
      </c>
      <c r="B1792">
        <v>21</v>
      </c>
      <c r="C1792" t="s">
        <v>1142</v>
      </c>
      <c r="D1792" t="s">
        <v>1167</v>
      </c>
      <c r="E1792" t="s">
        <v>34</v>
      </c>
      <c r="F1792" t="s">
        <v>1168</v>
      </c>
      <c r="G1792" t="s">
        <v>440</v>
      </c>
      <c r="H1792" t="s">
        <v>37</v>
      </c>
      <c r="I1792" t="s">
        <v>1167</v>
      </c>
      <c r="J1792" t="s">
        <v>1169</v>
      </c>
      <c r="K1792" t="s">
        <v>1170</v>
      </c>
      <c r="L1792" s="21" t="s">
        <v>1171</v>
      </c>
      <c r="M1792" t="s">
        <v>375</v>
      </c>
      <c r="N1792" t="s">
        <v>159</v>
      </c>
      <c r="R1792" t="s">
        <v>3002</v>
      </c>
      <c r="S1792" t="s">
        <v>1169</v>
      </c>
      <c r="T1792" t="s">
        <v>45</v>
      </c>
      <c r="U1792" t="s">
        <v>46</v>
      </c>
      <c r="V1792" t="s">
        <v>1174</v>
      </c>
      <c r="W1792" t="s">
        <v>1175</v>
      </c>
    </row>
    <row r="1793" spans="1:23" ht="15" customHeight="1" x14ac:dyDescent="0.3">
      <c r="A1793" t="s">
        <v>8</v>
      </c>
      <c r="B1793">
        <v>21</v>
      </c>
      <c r="C1793" t="s">
        <v>1142</v>
      </c>
      <c r="D1793" t="s">
        <v>1167</v>
      </c>
      <c r="E1793" t="s">
        <v>34</v>
      </c>
      <c r="F1793" t="s">
        <v>1168</v>
      </c>
      <c r="G1793" t="s">
        <v>440</v>
      </c>
      <c r="H1793" t="s">
        <v>37</v>
      </c>
      <c r="I1793" t="s">
        <v>1167</v>
      </c>
      <c r="J1793" t="s">
        <v>1169</v>
      </c>
      <c r="K1793" t="s">
        <v>1170</v>
      </c>
      <c r="L1793" s="21" t="s">
        <v>1171</v>
      </c>
      <c r="M1793" t="s">
        <v>375</v>
      </c>
      <c r="N1793" t="s">
        <v>159</v>
      </c>
      <c r="R1793" t="s">
        <v>3003</v>
      </c>
      <c r="S1793" t="s">
        <v>1169</v>
      </c>
      <c r="T1793" t="s">
        <v>45</v>
      </c>
      <c r="U1793" t="s">
        <v>46</v>
      </c>
      <c r="V1793" t="s">
        <v>1174</v>
      </c>
      <c r="W1793" t="s">
        <v>1175</v>
      </c>
    </row>
    <row r="1794" spans="1:23" ht="15" customHeight="1" x14ac:dyDescent="0.3">
      <c r="A1794" t="s">
        <v>8</v>
      </c>
      <c r="B1794">
        <v>21</v>
      </c>
      <c r="C1794" t="s">
        <v>1142</v>
      </c>
      <c r="D1794" t="s">
        <v>1167</v>
      </c>
      <c r="E1794" t="s">
        <v>34</v>
      </c>
      <c r="F1794" t="s">
        <v>1168</v>
      </c>
      <c r="G1794" t="s">
        <v>440</v>
      </c>
      <c r="H1794" t="s">
        <v>37</v>
      </c>
      <c r="I1794" t="s">
        <v>1167</v>
      </c>
      <c r="J1794" t="s">
        <v>1169</v>
      </c>
      <c r="K1794" t="s">
        <v>1170</v>
      </c>
      <c r="L1794" s="21" t="s">
        <v>1171</v>
      </c>
      <c r="M1794" t="s">
        <v>375</v>
      </c>
      <c r="N1794" t="s">
        <v>159</v>
      </c>
      <c r="R1794" t="s">
        <v>3004</v>
      </c>
      <c r="S1794" t="s">
        <v>1169</v>
      </c>
      <c r="T1794" t="s">
        <v>45</v>
      </c>
      <c r="U1794" t="s">
        <v>46</v>
      </c>
      <c r="V1794" t="s">
        <v>1174</v>
      </c>
      <c r="W1794" t="s">
        <v>1175</v>
      </c>
    </row>
    <row r="1795" spans="1:23" ht="15" customHeight="1" x14ac:dyDescent="0.3">
      <c r="A1795" t="s">
        <v>8</v>
      </c>
      <c r="B1795">
        <v>21</v>
      </c>
      <c r="C1795" t="s">
        <v>1142</v>
      </c>
      <c r="D1795" t="s">
        <v>1167</v>
      </c>
      <c r="E1795" t="s">
        <v>34</v>
      </c>
      <c r="F1795" t="s">
        <v>1168</v>
      </c>
      <c r="G1795" t="s">
        <v>440</v>
      </c>
      <c r="H1795" t="s">
        <v>37</v>
      </c>
      <c r="I1795" t="s">
        <v>1167</v>
      </c>
      <c r="J1795" t="s">
        <v>1169</v>
      </c>
      <c r="K1795" t="s">
        <v>1170</v>
      </c>
      <c r="L1795" s="21" t="s">
        <v>1171</v>
      </c>
      <c r="M1795" t="s">
        <v>375</v>
      </c>
      <c r="N1795" t="s">
        <v>159</v>
      </c>
      <c r="R1795" t="s">
        <v>3005</v>
      </c>
      <c r="S1795" t="s">
        <v>1169</v>
      </c>
      <c r="T1795" t="s">
        <v>45</v>
      </c>
      <c r="U1795" t="s">
        <v>46</v>
      </c>
      <c r="V1795" t="s">
        <v>1174</v>
      </c>
      <c r="W1795" t="s">
        <v>1175</v>
      </c>
    </row>
    <row r="1796" spans="1:23" ht="15" customHeight="1" x14ac:dyDescent="0.3">
      <c r="A1796" t="s">
        <v>8</v>
      </c>
      <c r="B1796">
        <v>21</v>
      </c>
      <c r="C1796" t="s">
        <v>1142</v>
      </c>
      <c r="D1796" t="s">
        <v>1167</v>
      </c>
      <c r="E1796" t="s">
        <v>34</v>
      </c>
      <c r="F1796" t="s">
        <v>1168</v>
      </c>
      <c r="G1796" t="s">
        <v>440</v>
      </c>
      <c r="H1796" t="s">
        <v>37</v>
      </c>
      <c r="I1796" t="s">
        <v>1167</v>
      </c>
      <c r="J1796" t="s">
        <v>1169</v>
      </c>
      <c r="K1796" t="s">
        <v>1170</v>
      </c>
      <c r="L1796" s="21" t="s">
        <v>1171</v>
      </c>
      <c r="M1796" t="s">
        <v>375</v>
      </c>
      <c r="N1796" t="s">
        <v>159</v>
      </c>
      <c r="R1796" t="s">
        <v>3006</v>
      </c>
      <c r="S1796" t="s">
        <v>1169</v>
      </c>
      <c r="T1796" t="s">
        <v>45</v>
      </c>
      <c r="U1796" t="s">
        <v>46</v>
      </c>
      <c r="V1796" t="s">
        <v>1174</v>
      </c>
      <c r="W1796" t="s">
        <v>1175</v>
      </c>
    </row>
    <row r="1797" spans="1:23" ht="15" customHeight="1" x14ac:dyDescent="0.3">
      <c r="A1797" t="s">
        <v>8</v>
      </c>
      <c r="B1797">
        <v>21</v>
      </c>
      <c r="C1797" t="s">
        <v>1142</v>
      </c>
      <c r="D1797" t="s">
        <v>1167</v>
      </c>
      <c r="E1797" t="s">
        <v>34</v>
      </c>
      <c r="F1797" t="s">
        <v>1168</v>
      </c>
      <c r="G1797" t="s">
        <v>440</v>
      </c>
      <c r="H1797" t="s">
        <v>37</v>
      </c>
      <c r="I1797" t="s">
        <v>1167</v>
      </c>
      <c r="J1797" t="s">
        <v>1169</v>
      </c>
      <c r="K1797" t="s">
        <v>1170</v>
      </c>
      <c r="L1797" s="21" t="s">
        <v>1171</v>
      </c>
      <c r="M1797" t="s">
        <v>375</v>
      </c>
      <c r="N1797" t="s">
        <v>159</v>
      </c>
      <c r="R1797" t="s">
        <v>3007</v>
      </c>
      <c r="S1797" t="s">
        <v>1169</v>
      </c>
      <c r="T1797" t="s">
        <v>45</v>
      </c>
      <c r="U1797" t="s">
        <v>46</v>
      </c>
      <c r="V1797" t="s">
        <v>1174</v>
      </c>
      <c r="W1797" t="s">
        <v>1175</v>
      </c>
    </row>
    <row r="1798" spans="1:23" ht="15" customHeight="1" x14ac:dyDescent="0.3">
      <c r="A1798" t="s">
        <v>8</v>
      </c>
      <c r="B1798">
        <v>21</v>
      </c>
      <c r="C1798" t="s">
        <v>1142</v>
      </c>
      <c r="D1798" t="s">
        <v>1167</v>
      </c>
      <c r="E1798" t="s">
        <v>34</v>
      </c>
      <c r="F1798" t="s">
        <v>1168</v>
      </c>
      <c r="G1798" t="s">
        <v>440</v>
      </c>
      <c r="H1798" t="s">
        <v>52</v>
      </c>
      <c r="I1798" t="s">
        <v>1167</v>
      </c>
      <c r="J1798" t="s">
        <v>1176</v>
      </c>
      <c r="K1798" s="21" t="s">
        <v>1177</v>
      </c>
      <c r="L1798" s="21" t="s">
        <v>1171</v>
      </c>
      <c r="M1798" t="s">
        <v>375</v>
      </c>
      <c r="N1798" t="s">
        <v>159</v>
      </c>
      <c r="R1798" t="s">
        <v>3002</v>
      </c>
      <c r="S1798" t="s">
        <v>1176</v>
      </c>
      <c r="T1798" t="s">
        <v>45</v>
      </c>
      <c r="U1798" t="s">
        <v>46</v>
      </c>
      <c r="V1798" t="s">
        <v>1174</v>
      </c>
      <c r="W1798" t="s">
        <v>1178</v>
      </c>
    </row>
    <row r="1799" spans="1:23" ht="15" customHeight="1" x14ac:dyDescent="0.3">
      <c r="A1799" t="s">
        <v>8</v>
      </c>
      <c r="B1799">
        <v>21</v>
      </c>
      <c r="C1799" t="s">
        <v>1142</v>
      </c>
      <c r="D1799" t="s">
        <v>1167</v>
      </c>
      <c r="E1799" t="s">
        <v>34</v>
      </c>
      <c r="F1799" t="s">
        <v>1168</v>
      </c>
      <c r="G1799" t="s">
        <v>440</v>
      </c>
      <c r="H1799" t="s">
        <v>52</v>
      </c>
      <c r="I1799" t="s">
        <v>1167</v>
      </c>
      <c r="J1799" t="s">
        <v>1176</v>
      </c>
      <c r="K1799" s="21" t="s">
        <v>1177</v>
      </c>
      <c r="L1799" s="21" t="s">
        <v>1171</v>
      </c>
      <c r="M1799" t="s">
        <v>375</v>
      </c>
      <c r="N1799" t="s">
        <v>159</v>
      </c>
      <c r="R1799" t="s">
        <v>3003</v>
      </c>
      <c r="S1799" t="s">
        <v>1176</v>
      </c>
      <c r="T1799" t="s">
        <v>45</v>
      </c>
      <c r="U1799" t="s">
        <v>46</v>
      </c>
      <c r="V1799" t="s">
        <v>1174</v>
      </c>
      <c r="W1799" t="s">
        <v>1178</v>
      </c>
    </row>
    <row r="1800" spans="1:23" ht="15" customHeight="1" x14ac:dyDescent="0.3">
      <c r="A1800" t="s">
        <v>8</v>
      </c>
      <c r="B1800">
        <v>21</v>
      </c>
      <c r="C1800" t="s">
        <v>1142</v>
      </c>
      <c r="D1800" t="s">
        <v>1167</v>
      </c>
      <c r="E1800" t="s">
        <v>34</v>
      </c>
      <c r="F1800" t="s">
        <v>1168</v>
      </c>
      <c r="G1800" t="s">
        <v>440</v>
      </c>
      <c r="H1800" t="s">
        <v>52</v>
      </c>
      <c r="I1800" t="s">
        <v>1167</v>
      </c>
      <c r="J1800" t="s">
        <v>1176</v>
      </c>
      <c r="K1800" s="21" t="s">
        <v>1177</v>
      </c>
      <c r="L1800" s="21" t="s">
        <v>1171</v>
      </c>
      <c r="M1800" t="s">
        <v>375</v>
      </c>
      <c r="N1800" t="s">
        <v>159</v>
      </c>
      <c r="R1800" t="s">
        <v>3004</v>
      </c>
      <c r="S1800" t="s">
        <v>1176</v>
      </c>
      <c r="T1800" t="s">
        <v>45</v>
      </c>
      <c r="U1800" t="s">
        <v>46</v>
      </c>
      <c r="V1800" t="s">
        <v>1174</v>
      </c>
      <c r="W1800" t="s">
        <v>1178</v>
      </c>
    </row>
    <row r="1801" spans="1:23" ht="15" customHeight="1" x14ac:dyDescent="0.3">
      <c r="A1801" t="s">
        <v>8</v>
      </c>
      <c r="B1801">
        <v>21</v>
      </c>
      <c r="C1801" t="s">
        <v>1142</v>
      </c>
      <c r="D1801" t="s">
        <v>1167</v>
      </c>
      <c r="E1801" t="s">
        <v>34</v>
      </c>
      <c r="F1801" t="s">
        <v>1168</v>
      </c>
      <c r="G1801" t="s">
        <v>440</v>
      </c>
      <c r="H1801" t="s">
        <v>52</v>
      </c>
      <c r="I1801" t="s">
        <v>1167</v>
      </c>
      <c r="J1801" t="s">
        <v>1176</v>
      </c>
      <c r="K1801" s="21" t="s">
        <v>1177</v>
      </c>
      <c r="L1801" s="21" t="s">
        <v>1171</v>
      </c>
      <c r="M1801" t="s">
        <v>375</v>
      </c>
      <c r="N1801" t="s">
        <v>159</v>
      </c>
      <c r="R1801" t="s">
        <v>3005</v>
      </c>
      <c r="S1801" t="s">
        <v>1176</v>
      </c>
      <c r="T1801" t="s">
        <v>45</v>
      </c>
      <c r="U1801" t="s">
        <v>46</v>
      </c>
      <c r="V1801" t="s">
        <v>1174</v>
      </c>
      <c r="W1801" t="s">
        <v>1178</v>
      </c>
    </row>
    <row r="1802" spans="1:23" ht="15" customHeight="1" x14ac:dyDescent="0.3">
      <c r="A1802" t="s">
        <v>8</v>
      </c>
      <c r="B1802">
        <v>21</v>
      </c>
      <c r="C1802" t="s">
        <v>1142</v>
      </c>
      <c r="D1802" t="s">
        <v>1167</v>
      </c>
      <c r="E1802" t="s">
        <v>34</v>
      </c>
      <c r="F1802" t="s">
        <v>1168</v>
      </c>
      <c r="G1802" t="s">
        <v>440</v>
      </c>
      <c r="H1802" t="s">
        <v>52</v>
      </c>
      <c r="I1802" t="s">
        <v>1167</v>
      </c>
      <c r="J1802" t="s">
        <v>1176</v>
      </c>
      <c r="K1802" s="21" t="s">
        <v>1177</v>
      </c>
      <c r="L1802" s="21" t="s">
        <v>1171</v>
      </c>
      <c r="M1802" t="s">
        <v>375</v>
      </c>
      <c r="N1802" t="s">
        <v>159</v>
      </c>
      <c r="R1802" t="s">
        <v>3006</v>
      </c>
      <c r="S1802" t="s">
        <v>1176</v>
      </c>
      <c r="T1802" t="s">
        <v>45</v>
      </c>
      <c r="U1802" t="s">
        <v>46</v>
      </c>
      <c r="V1802" t="s">
        <v>1174</v>
      </c>
      <c r="W1802" t="s">
        <v>1178</v>
      </c>
    </row>
    <row r="1803" spans="1:23" ht="15" customHeight="1" x14ac:dyDescent="0.3">
      <c r="A1803" t="s">
        <v>8</v>
      </c>
      <c r="B1803">
        <v>21</v>
      </c>
      <c r="C1803" t="s">
        <v>1142</v>
      </c>
      <c r="D1803" t="s">
        <v>1167</v>
      </c>
      <c r="E1803" t="s">
        <v>34</v>
      </c>
      <c r="F1803" t="s">
        <v>1168</v>
      </c>
      <c r="G1803" t="s">
        <v>440</v>
      </c>
      <c r="H1803" t="s">
        <v>52</v>
      </c>
      <c r="I1803" t="s">
        <v>1167</v>
      </c>
      <c r="J1803" t="s">
        <v>1176</v>
      </c>
      <c r="K1803" s="21" t="s">
        <v>1177</v>
      </c>
      <c r="L1803" s="21" t="s">
        <v>1171</v>
      </c>
      <c r="M1803" t="s">
        <v>375</v>
      </c>
      <c r="N1803" t="s">
        <v>159</v>
      </c>
      <c r="R1803" t="s">
        <v>3007</v>
      </c>
      <c r="S1803" t="s">
        <v>1176</v>
      </c>
      <c r="T1803" t="s">
        <v>45</v>
      </c>
      <c r="U1803" t="s">
        <v>46</v>
      </c>
      <c r="V1803" t="s">
        <v>1174</v>
      </c>
      <c r="W1803" t="s">
        <v>1178</v>
      </c>
    </row>
    <row r="1804" spans="1:23" ht="15" customHeight="1" x14ac:dyDescent="0.3">
      <c r="A1804" t="s">
        <v>8</v>
      </c>
      <c r="B1804">
        <v>21</v>
      </c>
      <c r="C1804" t="s">
        <v>1142</v>
      </c>
      <c r="D1804" t="s">
        <v>1167</v>
      </c>
      <c r="E1804" t="s">
        <v>34</v>
      </c>
      <c r="F1804" t="s">
        <v>1168</v>
      </c>
      <c r="G1804" t="s">
        <v>440</v>
      </c>
      <c r="H1804" t="s">
        <v>57</v>
      </c>
      <c r="I1804" t="s">
        <v>1167</v>
      </c>
      <c r="J1804" t="s">
        <v>1179</v>
      </c>
      <c r="K1804" s="21" t="s">
        <v>1180</v>
      </c>
      <c r="L1804" s="21" t="s">
        <v>1171</v>
      </c>
      <c r="M1804" t="s">
        <v>375</v>
      </c>
      <c r="N1804" t="s">
        <v>159</v>
      </c>
      <c r="R1804" t="s">
        <v>3002</v>
      </c>
      <c r="S1804" t="s">
        <v>1179</v>
      </c>
      <c r="T1804" t="s">
        <v>45</v>
      </c>
      <c r="U1804" t="s">
        <v>46</v>
      </c>
      <c r="V1804" t="s">
        <v>1174</v>
      </c>
      <c r="W1804" t="s">
        <v>1181</v>
      </c>
    </row>
    <row r="1805" spans="1:23" ht="15" customHeight="1" x14ac:dyDescent="0.3">
      <c r="A1805" t="s">
        <v>8</v>
      </c>
      <c r="B1805">
        <v>21</v>
      </c>
      <c r="C1805" t="s">
        <v>1142</v>
      </c>
      <c r="D1805" t="s">
        <v>1167</v>
      </c>
      <c r="E1805" t="s">
        <v>34</v>
      </c>
      <c r="F1805" t="s">
        <v>1168</v>
      </c>
      <c r="G1805" t="s">
        <v>440</v>
      </c>
      <c r="H1805" t="s">
        <v>57</v>
      </c>
      <c r="I1805" t="s">
        <v>1167</v>
      </c>
      <c r="J1805" t="s">
        <v>1179</v>
      </c>
      <c r="K1805" s="21" t="s">
        <v>1180</v>
      </c>
      <c r="L1805" s="21" t="s">
        <v>1171</v>
      </c>
      <c r="M1805" t="s">
        <v>375</v>
      </c>
      <c r="N1805" t="s">
        <v>159</v>
      </c>
      <c r="R1805" t="s">
        <v>3003</v>
      </c>
      <c r="S1805" t="s">
        <v>1179</v>
      </c>
      <c r="T1805" t="s">
        <v>45</v>
      </c>
      <c r="U1805" t="s">
        <v>46</v>
      </c>
      <c r="V1805" t="s">
        <v>1174</v>
      </c>
      <c r="W1805" t="s">
        <v>1181</v>
      </c>
    </row>
    <row r="1806" spans="1:23" ht="15" customHeight="1" x14ac:dyDescent="0.3">
      <c r="A1806" t="s">
        <v>8</v>
      </c>
      <c r="B1806">
        <v>21</v>
      </c>
      <c r="C1806" t="s">
        <v>1142</v>
      </c>
      <c r="D1806" t="s">
        <v>1167</v>
      </c>
      <c r="E1806" t="s">
        <v>34</v>
      </c>
      <c r="F1806" t="s">
        <v>1168</v>
      </c>
      <c r="G1806" t="s">
        <v>440</v>
      </c>
      <c r="H1806" t="s">
        <v>57</v>
      </c>
      <c r="I1806" t="s">
        <v>1167</v>
      </c>
      <c r="J1806" t="s">
        <v>1179</v>
      </c>
      <c r="K1806" s="21" t="s">
        <v>1180</v>
      </c>
      <c r="L1806" s="21" t="s">
        <v>1171</v>
      </c>
      <c r="M1806" t="s">
        <v>375</v>
      </c>
      <c r="N1806" t="s">
        <v>159</v>
      </c>
      <c r="R1806" t="s">
        <v>3004</v>
      </c>
      <c r="S1806" t="s">
        <v>1179</v>
      </c>
      <c r="T1806" t="s">
        <v>45</v>
      </c>
      <c r="U1806" t="s">
        <v>46</v>
      </c>
      <c r="V1806" t="s">
        <v>1174</v>
      </c>
      <c r="W1806" t="s">
        <v>1181</v>
      </c>
    </row>
    <row r="1807" spans="1:23" ht="15" customHeight="1" x14ac:dyDescent="0.3">
      <c r="A1807" t="s">
        <v>8</v>
      </c>
      <c r="B1807">
        <v>21</v>
      </c>
      <c r="C1807" t="s">
        <v>1142</v>
      </c>
      <c r="D1807" t="s">
        <v>1167</v>
      </c>
      <c r="E1807" t="s">
        <v>34</v>
      </c>
      <c r="F1807" t="s">
        <v>1168</v>
      </c>
      <c r="G1807" t="s">
        <v>440</v>
      </c>
      <c r="H1807" t="s">
        <v>57</v>
      </c>
      <c r="I1807" t="s">
        <v>1167</v>
      </c>
      <c r="J1807" t="s">
        <v>1179</v>
      </c>
      <c r="K1807" s="21" t="s">
        <v>1180</v>
      </c>
      <c r="L1807" s="21" t="s">
        <v>1171</v>
      </c>
      <c r="M1807" t="s">
        <v>375</v>
      </c>
      <c r="N1807" t="s">
        <v>159</v>
      </c>
      <c r="R1807" t="s">
        <v>3005</v>
      </c>
      <c r="S1807" t="s">
        <v>1179</v>
      </c>
      <c r="T1807" t="s">
        <v>45</v>
      </c>
      <c r="U1807" t="s">
        <v>46</v>
      </c>
      <c r="V1807" t="s">
        <v>1174</v>
      </c>
      <c r="W1807" t="s">
        <v>1181</v>
      </c>
    </row>
    <row r="1808" spans="1:23" ht="15" customHeight="1" x14ac:dyDescent="0.3">
      <c r="A1808" t="s">
        <v>8</v>
      </c>
      <c r="B1808">
        <v>21</v>
      </c>
      <c r="C1808" t="s">
        <v>1142</v>
      </c>
      <c r="D1808" t="s">
        <v>1167</v>
      </c>
      <c r="E1808" t="s">
        <v>34</v>
      </c>
      <c r="F1808" t="s">
        <v>1168</v>
      </c>
      <c r="G1808" t="s">
        <v>440</v>
      </c>
      <c r="H1808" t="s">
        <v>57</v>
      </c>
      <c r="I1808" t="s">
        <v>1167</v>
      </c>
      <c r="J1808" t="s">
        <v>1179</v>
      </c>
      <c r="K1808" s="21" t="s">
        <v>1180</v>
      </c>
      <c r="L1808" s="21" t="s">
        <v>1171</v>
      </c>
      <c r="M1808" t="s">
        <v>375</v>
      </c>
      <c r="N1808" t="s">
        <v>159</v>
      </c>
      <c r="R1808" t="s">
        <v>3006</v>
      </c>
      <c r="S1808" t="s">
        <v>1179</v>
      </c>
      <c r="T1808" t="s">
        <v>45</v>
      </c>
      <c r="U1808" t="s">
        <v>46</v>
      </c>
      <c r="V1808" t="s">
        <v>1174</v>
      </c>
      <c r="W1808" t="s">
        <v>1181</v>
      </c>
    </row>
    <row r="1809" spans="1:23" ht="15" customHeight="1" x14ac:dyDescent="0.3">
      <c r="A1809" t="s">
        <v>8</v>
      </c>
      <c r="B1809">
        <v>21</v>
      </c>
      <c r="C1809" t="s">
        <v>1142</v>
      </c>
      <c r="D1809" t="s">
        <v>1167</v>
      </c>
      <c r="E1809" t="s">
        <v>34</v>
      </c>
      <c r="F1809" t="s">
        <v>1168</v>
      </c>
      <c r="G1809" t="s">
        <v>440</v>
      </c>
      <c r="H1809" t="s">
        <v>57</v>
      </c>
      <c r="I1809" t="s">
        <v>1167</v>
      </c>
      <c r="J1809" t="s">
        <v>1179</v>
      </c>
      <c r="K1809" s="21" t="s">
        <v>1180</v>
      </c>
      <c r="L1809" s="21" t="s">
        <v>1171</v>
      </c>
      <c r="M1809" t="s">
        <v>375</v>
      </c>
      <c r="N1809" t="s">
        <v>159</v>
      </c>
      <c r="R1809" t="s">
        <v>3007</v>
      </c>
      <c r="S1809" t="s">
        <v>1179</v>
      </c>
      <c r="T1809" t="s">
        <v>45</v>
      </c>
      <c r="U1809" t="s">
        <v>46</v>
      </c>
      <c r="V1809" t="s">
        <v>1174</v>
      </c>
      <c r="W1809" t="s">
        <v>1181</v>
      </c>
    </row>
    <row r="1810" spans="1:23" ht="15" customHeight="1" x14ac:dyDescent="0.3">
      <c r="A1810" t="s">
        <v>8</v>
      </c>
      <c r="B1810">
        <v>21</v>
      </c>
      <c r="C1810" t="s">
        <v>1142</v>
      </c>
      <c r="D1810" t="s">
        <v>1167</v>
      </c>
      <c r="E1810" t="s">
        <v>34</v>
      </c>
      <c r="F1810" t="s">
        <v>1168</v>
      </c>
      <c r="G1810" t="s">
        <v>440</v>
      </c>
      <c r="H1810" t="s">
        <v>49</v>
      </c>
      <c r="I1810" t="s">
        <v>1167</v>
      </c>
      <c r="J1810" t="s">
        <v>1182</v>
      </c>
      <c r="K1810" s="21" t="s">
        <v>1183</v>
      </c>
      <c r="L1810" s="21" t="s">
        <v>1171</v>
      </c>
      <c r="M1810" t="s">
        <v>375</v>
      </c>
      <c r="N1810" t="s">
        <v>159</v>
      </c>
      <c r="R1810" t="s">
        <v>3002</v>
      </c>
      <c r="S1810" t="s">
        <v>1182</v>
      </c>
      <c r="T1810" t="s">
        <v>45</v>
      </c>
      <c r="U1810" t="s">
        <v>46</v>
      </c>
      <c r="V1810" t="s">
        <v>1174</v>
      </c>
      <c r="W1810" t="s">
        <v>1184</v>
      </c>
    </row>
    <row r="1811" spans="1:23" ht="15" customHeight="1" x14ac:dyDescent="0.3">
      <c r="A1811" t="s">
        <v>8</v>
      </c>
      <c r="B1811">
        <v>21</v>
      </c>
      <c r="C1811" t="s">
        <v>1142</v>
      </c>
      <c r="D1811" t="s">
        <v>1167</v>
      </c>
      <c r="E1811" t="s">
        <v>34</v>
      </c>
      <c r="F1811" t="s">
        <v>1168</v>
      </c>
      <c r="G1811" t="s">
        <v>440</v>
      </c>
      <c r="H1811" t="s">
        <v>49</v>
      </c>
      <c r="I1811" t="s">
        <v>1167</v>
      </c>
      <c r="J1811" t="s">
        <v>1182</v>
      </c>
      <c r="K1811" s="21" t="s">
        <v>1183</v>
      </c>
      <c r="L1811" s="21" t="s">
        <v>1171</v>
      </c>
      <c r="M1811" t="s">
        <v>375</v>
      </c>
      <c r="N1811" t="s">
        <v>159</v>
      </c>
      <c r="R1811" t="s">
        <v>3003</v>
      </c>
      <c r="S1811" t="s">
        <v>1182</v>
      </c>
      <c r="T1811" t="s">
        <v>45</v>
      </c>
      <c r="U1811" t="s">
        <v>46</v>
      </c>
      <c r="V1811" t="s">
        <v>1174</v>
      </c>
      <c r="W1811" t="s">
        <v>1184</v>
      </c>
    </row>
    <row r="1812" spans="1:23" ht="15" customHeight="1" x14ac:dyDescent="0.3">
      <c r="A1812" t="s">
        <v>8</v>
      </c>
      <c r="B1812">
        <v>21</v>
      </c>
      <c r="C1812" t="s">
        <v>1142</v>
      </c>
      <c r="D1812" t="s">
        <v>1167</v>
      </c>
      <c r="E1812" t="s">
        <v>34</v>
      </c>
      <c r="F1812" t="s">
        <v>1168</v>
      </c>
      <c r="G1812" t="s">
        <v>440</v>
      </c>
      <c r="H1812" t="s">
        <v>49</v>
      </c>
      <c r="I1812" t="s">
        <v>1167</v>
      </c>
      <c r="J1812" t="s">
        <v>1182</v>
      </c>
      <c r="K1812" s="21" t="s">
        <v>1183</v>
      </c>
      <c r="L1812" s="21" t="s">
        <v>1171</v>
      </c>
      <c r="M1812" t="s">
        <v>375</v>
      </c>
      <c r="N1812" t="s">
        <v>159</v>
      </c>
      <c r="R1812" t="s">
        <v>3004</v>
      </c>
      <c r="S1812" t="s">
        <v>1182</v>
      </c>
      <c r="T1812" t="s">
        <v>45</v>
      </c>
      <c r="U1812" t="s">
        <v>46</v>
      </c>
      <c r="V1812" t="s">
        <v>1174</v>
      </c>
      <c r="W1812" t="s">
        <v>1184</v>
      </c>
    </row>
    <row r="1813" spans="1:23" ht="15" customHeight="1" x14ac:dyDescent="0.3">
      <c r="A1813" t="s">
        <v>8</v>
      </c>
      <c r="B1813">
        <v>21</v>
      </c>
      <c r="C1813" t="s">
        <v>1142</v>
      </c>
      <c r="D1813" t="s">
        <v>1167</v>
      </c>
      <c r="E1813" t="s">
        <v>34</v>
      </c>
      <c r="F1813" t="s">
        <v>1168</v>
      </c>
      <c r="G1813" t="s">
        <v>440</v>
      </c>
      <c r="H1813" t="s">
        <v>49</v>
      </c>
      <c r="I1813" t="s">
        <v>1167</v>
      </c>
      <c r="J1813" t="s">
        <v>1182</v>
      </c>
      <c r="K1813" s="21" t="s">
        <v>1183</v>
      </c>
      <c r="L1813" s="21" t="s">
        <v>1171</v>
      </c>
      <c r="M1813" t="s">
        <v>375</v>
      </c>
      <c r="N1813" t="s">
        <v>159</v>
      </c>
      <c r="R1813" t="s">
        <v>3005</v>
      </c>
      <c r="S1813" t="s">
        <v>1182</v>
      </c>
      <c r="T1813" t="s">
        <v>45</v>
      </c>
      <c r="U1813" t="s">
        <v>46</v>
      </c>
      <c r="V1813" t="s">
        <v>1174</v>
      </c>
      <c r="W1813" t="s">
        <v>1184</v>
      </c>
    </row>
    <row r="1814" spans="1:23" ht="15" customHeight="1" x14ac:dyDescent="0.3">
      <c r="A1814" t="s">
        <v>8</v>
      </c>
      <c r="B1814">
        <v>21</v>
      </c>
      <c r="C1814" t="s">
        <v>1142</v>
      </c>
      <c r="D1814" t="s">
        <v>1167</v>
      </c>
      <c r="E1814" t="s">
        <v>34</v>
      </c>
      <c r="F1814" t="s">
        <v>1168</v>
      </c>
      <c r="G1814" t="s">
        <v>440</v>
      </c>
      <c r="H1814" t="s">
        <v>49</v>
      </c>
      <c r="I1814" t="s">
        <v>1167</v>
      </c>
      <c r="J1814" t="s">
        <v>1182</v>
      </c>
      <c r="K1814" s="21" t="s">
        <v>1183</v>
      </c>
      <c r="L1814" s="21" t="s">
        <v>1171</v>
      </c>
      <c r="M1814" t="s">
        <v>375</v>
      </c>
      <c r="N1814" t="s">
        <v>159</v>
      </c>
      <c r="R1814" t="s">
        <v>3006</v>
      </c>
      <c r="S1814" t="s">
        <v>1182</v>
      </c>
      <c r="T1814" t="s">
        <v>45</v>
      </c>
      <c r="U1814" t="s">
        <v>46</v>
      </c>
      <c r="V1814" t="s">
        <v>1174</v>
      </c>
      <c r="W1814" t="s">
        <v>1184</v>
      </c>
    </row>
    <row r="1815" spans="1:23" ht="15" customHeight="1" x14ac:dyDescent="0.3">
      <c r="A1815" t="s">
        <v>8</v>
      </c>
      <c r="B1815">
        <v>21</v>
      </c>
      <c r="C1815" t="s">
        <v>1142</v>
      </c>
      <c r="D1815" t="s">
        <v>1167</v>
      </c>
      <c r="E1815" t="s">
        <v>34</v>
      </c>
      <c r="F1815" t="s">
        <v>1168</v>
      </c>
      <c r="G1815" t="s">
        <v>440</v>
      </c>
      <c r="H1815" t="s">
        <v>49</v>
      </c>
      <c r="I1815" t="s">
        <v>1167</v>
      </c>
      <c r="J1815" t="s">
        <v>1182</v>
      </c>
      <c r="K1815" s="21" t="s">
        <v>1183</v>
      </c>
      <c r="L1815" s="21" t="s">
        <v>1171</v>
      </c>
      <c r="M1815" t="s">
        <v>375</v>
      </c>
      <c r="N1815" t="s">
        <v>159</v>
      </c>
      <c r="R1815" t="s">
        <v>3007</v>
      </c>
      <c r="S1815" t="s">
        <v>1182</v>
      </c>
      <c r="T1815" t="s">
        <v>45</v>
      </c>
      <c r="U1815" t="s">
        <v>46</v>
      </c>
      <c r="V1815" t="s">
        <v>1174</v>
      </c>
      <c r="W1815" t="s">
        <v>1184</v>
      </c>
    </row>
    <row r="1816" spans="1:23" ht="15" customHeight="1" x14ac:dyDescent="0.3">
      <c r="A1816" t="s">
        <v>8</v>
      </c>
      <c r="B1816">
        <v>21</v>
      </c>
      <c r="C1816" t="s">
        <v>1142</v>
      </c>
      <c r="D1816" t="s">
        <v>1167</v>
      </c>
      <c r="E1816" t="s">
        <v>34</v>
      </c>
      <c r="F1816" t="s">
        <v>1168</v>
      </c>
      <c r="G1816" t="s">
        <v>440</v>
      </c>
      <c r="H1816" t="s">
        <v>87</v>
      </c>
      <c r="I1816" t="s">
        <v>1167</v>
      </c>
      <c r="J1816" t="s">
        <v>1185</v>
      </c>
      <c r="K1816" s="21" t="s">
        <v>1186</v>
      </c>
      <c r="L1816" s="21" t="s">
        <v>1171</v>
      </c>
      <c r="M1816" t="s">
        <v>375</v>
      </c>
      <c r="N1816" t="s">
        <v>159</v>
      </c>
      <c r="R1816" t="s">
        <v>3002</v>
      </c>
      <c r="S1816" t="s">
        <v>1185</v>
      </c>
      <c r="T1816" t="s">
        <v>45</v>
      </c>
      <c r="U1816" t="s">
        <v>46</v>
      </c>
      <c r="V1816" t="s">
        <v>1174</v>
      </c>
      <c r="W1816" t="s">
        <v>1187</v>
      </c>
    </row>
    <row r="1817" spans="1:23" ht="15" customHeight="1" x14ac:dyDescent="0.3">
      <c r="A1817" t="s">
        <v>8</v>
      </c>
      <c r="B1817">
        <v>21</v>
      </c>
      <c r="C1817" t="s">
        <v>1142</v>
      </c>
      <c r="D1817" t="s">
        <v>1167</v>
      </c>
      <c r="E1817" t="s">
        <v>34</v>
      </c>
      <c r="F1817" t="s">
        <v>1168</v>
      </c>
      <c r="G1817" t="s">
        <v>440</v>
      </c>
      <c r="H1817" t="s">
        <v>87</v>
      </c>
      <c r="I1817" t="s">
        <v>1167</v>
      </c>
      <c r="J1817" t="s">
        <v>1185</v>
      </c>
      <c r="K1817" s="21" t="s">
        <v>1186</v>
      </c>
      <c r="L1817" s="21" t="s">
        <v>1171</v>
      </c>
      <c r="M1817" t="s">
        <v>375</v>
      </c>
      <c r="N1817" t="s">
        <v>159</v>
      </c>
      <c r="R1817" t="s">
        <v>3003</v>
      </c>
      <c r="S1817" t="s">
        <v>1185</v>
      </c>
      <c r="T1817" t="s">
        <v>45</v>
      </c>
      <c r="U1817" t="s">
        <v>46</v>
      </c>
      <c r="V1817" t="s">
        <v>1174</v>
      </c>
      <c r="W1817" t="s">
        <v>1187</v>
      </c>
    </row>
    <row r="1818" spans="1:23" ht="15" customHeight="1" x14ac:dyDescent="0.3">
      <c r="A1818" t="s">
        <v>8</v>
      </c>
      <c r="B1818">
        <v>21</v>
      </c>
      <c r="C1818" t="s">
        <v>1142</v>
      </c>
      <c r="D1818" t="s">
        <v>1167</v>
      </c>
      <c r="E1818" t="s">
        <v>34</v>
      </c>
      <c r="F1818" t="s">
        <v>1168</v>
      </c>
      <c r="G1818" t="s">
        <v>440</v>
      </c>
      <c r="H1818" t="s">
        <v>87</v>
      </c>
      <c r="I1818" t="s">
        <v>1167</v>
      </c>
      <c r="J1818" t="s">
        <v>1185</v>
      </c>
      <c r="K1818" s="21" t="s">
        <v>1186</v>
      </c>
      <c r="L1818" s="21" t="s">
        <v>1171</v>
      </c>
      <c r="M1818" t="s">
        <v>375</v>
      </c>
      <c r="N1818" t="s">
        <v>159</v>
      </c>
      <c r="R1818" t="s">
        <v>3004</v>
      </c>
      <c r="S1818" t="s">
        <v>1185</v>
      </c>
      <c r="T1818" t="s">
        <v>45</v>
      </c>
      <c r="U1818" t="s">
        <v>46</v>
      </c>
      <c r="V1818" t="s">
        <v>1174</v>
      </c>
      <c r="W1818" t="s">
        <v>1187</v>
      </c>
    </row>
    <row r="1819" spans="1:23" ht="15" customHeight="1" x14ac:dyDescent="0.3">
      <c r="A1819" t="s">
        <v>8</v>
      </c>
      <c r="B1819">
        <v>21</v>
      </c>
      <c r="C1819" t="s">
        <v>1142</v>
      </c>
      <c r="D1819" t="s">
        <v>1167</v>
      </c>
      <c r="E1819" t="s">
        <v>34</v>
      </c>
      <c r="F1819" t="s">
        <v>1168</v>
      </c>
      <c r="G1819" t="s">
        <v>440</v>
      </c>
      <c r="H1819" t="s">
        <v>87</v>
      </c>
      <c r="I1819" t="s">
        <v>1167</v>
      </c>
      <c r="J1819" t="s">
        <v>1185</v>
      </c>
      <c r="K1819" s="21" t="s">
        <v>1186</v>
      </c>
      <c r="L1819" s="21" t="s">
        <v>1171</v>
      </c>
      <c r="M1819" t="s">
        <v>375</v>
      </c>
      <c r="N1819" t="s">
        <v>159</v>
      </c>
      <c r="R1819" t="s">
        <v>3005</v>
      </c>
      <c r="S1819" t="s">
        <v>1185</v>
      </c>
      <c r="T1819" t="s">
        <v>45</v>
      </c>
      <c r="U1819" t="s">
        <v>46</v>
      </c>
      <c r="V1819" t="s">
        <v>1174</v>
      </c>
      <c r="W1819" t="s">
        <v>1187</v>
      </c>
    </row>
    <row r="1820" spans="1:23" ht="15" customHeight="1" x14ac:dyDescent="0.3">
      <c r="A1820" t="s">
        <v>8</v>
      </c>
      <c r="B1820">
        <v>21</v>
      </c>
      <c r="C1820" t="s">
        <v>1142</v>
      </c>
      <c r="D1820" t="s">
        <v>1167</v>
      </c>
      <c r="E1820" t="s">
        <v>34</v>
      </c>
      <c r="F1820" t="s">
        <v>1168</v>
      </c>
      <c r="G1820" t="s">
        <v>440</v>
      </c>
      <c r="H1820" t="s">
        <v>87</v>
      </c>
      <c r="I1820" t="s">
        <v>1167</v>
      </c>
      <c r="J1820" t="s">
        <v>1185</v>
      </c>
      <c r="K1820" s="21" t="s">
        <v>1186</v>
      </c>
      <c r="L1820" s="21" t="s">
        <v>1171</v>
      </c>
      <c r="M1820" t="s">
        <v>375</v>
      </c>
      <c r="N1820" t="s">
        <v>159</v>
      </c>
      <c r="R1820" t="s">
        <v>3006</v>
      </c>
      <c r="S1820" t="s">
        <v>1185</v>
      </c>
      <c r="T1820" t="s">
        <v>45</v>
      </c>
      <c r="U1820" t="s">
        <v>46</v>
      </c>
      <c r="V1820" t="s">
        <v>1174</v>
      </c>
      <c r="W1820" t="s">
        <v>1187</v>
      </c>
    </row>
    <row r="1821" spans="1:23" ht="15" customHeight="1" x14ac:dyDescent="0.3">
      <c r="A1821" t="s">
        <v>8</v>
      </c>
      <c r="B1821">
        <v>21</v>
      </c>
      <c r="C1821" t="s">
        <v>1142</v>
      </c>
      <c r="D1821" t="s">
        <v>1167</v>
      </c>
      <c r="E1821" t="s">
        <v>34</v>
      </c>
      <c r="F1821" t="s">
        <v>1168</v>
      </c>
      <c r="G1821" t="s">
        <v>440</v>
      </c>
      <c r="H1821" t="s">
        <v>87</v>
      </c>
      <c r="I1821" t="s">
        <v>1167</v>
      </c>
      <c r="J1821" t="s">
        <v>1185</v>
      </c>
      <c r="K1821" s="21" t="s">
        <v>1186</v>
      </c>
      <c r="L1821" s="21" t="s">
        <v>1171</v>
      </c>
      <c r="M1821" t="s">
        <v>375</v>
      </c>
      <c r="N1821" t="s">
        <v>159</v>
      </c>
      <c r="R1821" t="s">
        <v>3007</v>
      </c>
      <c r="S1821" t="s">
        <v>1185</v>
      </c>
      <c r="T1821" t="s">
        <v>45</v>
      </c>
      <c r="U1821" t="s">
        <v>46</v>
      </c>
      <c r="V1821" t="s">
        <v>1174</v>
      </c>
      <c r="W1821" t="s">
        <v>1187</v>
      </c>
    </row>
    <row r="1822" spans="1:23" ht="15" customHeight="1" x14ac:dyDescent="0.3">
      <c r="A1822" t="s">
        <v>8</v>
      </c>
      <c r="B1822">
        <v>21</v>
      </c>
      <c r="C1822" t="s">
        <v>1142</v>
      </c>
      <c r="D1822" t="s">
        <v>1167</v>
      </c>
      <c r="E1822" t="s">
        <v>34</v>
      </c>
      <c r="F1822" t="s">
        <v>1168</v>
      </c>
      <c r="G1822" t="s">
        <v>440</v>
      </c>
      <c r="H1822" t="s">
        <v>421</v>
      </c>
      <c r="I1822" t="s">
        <v>1167</v>
      </c>
      <c r="J1822" t="s">
        <v>1188</v>
      </c>
      <c r="K1822" s="21" t="s">
        <v>1189</v>
      </c>
      <c r="L1822" s="21" t="s">
        <v>1171</v>
      </c>
      <c r="M1822" t="s">
        <v>375</v>
      </c>
      <c r="N1822" t="s">
        <v>159</v>
      </c>
      <c r="R1822" t="s">
        <v>3002</v>
      </c>
      <c r="S1822" t="s">
        <v>1188</v>
      </c>
      <c r="T1822" t="s">
        <v>45</v>
      </c>
      <c r="U1822" t="s">
        <v>46</v>
      </c>
      <c r="V1822" t="s">
        <v>1174</v>
      </c>
      <c r="W1822" t="s">
        <v>1190</v>
      </c>
    </row>
    <row r="1823" spans="1:23" ht="15" customHeight="1" x14ac:dyDescent="0.3">
      <c r="A1823" t="s">
        <v>8</v>
      </c>
      <c r="B1823">
        <v>21</v>
      </c>
      <c r="C1823" t="s">
        <v>1142</v>
      </c>
      <c r="D1823" t="s">
        <v>1167</v>
      </c>
      <c r="E1823" t="s">
        <v>34</v>
      </c>
      <c r="F1823" t="s">
        <v>1168</v>
      </c>
      <c r="G1823" t="s">
        <v>440</v>
      </c>
      <c r="H1823" t="s">
        <v>421</v>
      </c>
      <c r="I1823" t="s">
        <v>1167</v>
      </c>
      <c r="J1823" t="s">
        <v>1188</v>
      </c>
      <c r="K1823" s="21" t="s">
        <v>1189</v>
      </c>
      <c r="L1823" s="21" t="s">
        <v>1171</v>
      </c>
      <c r="M1823" t="s">
        <v>375</v>
      </c>
      <c r="N1823" t="s">
        <v>159</v>
      </c>
      <c r="R1823" t="s">
        <v>3003</v>
      </c>
      <c r="S1823" t="s">
        <v>1188</v>
      </c>
      <c r="T1823" t="s">
        <v>45</v>
      </c>
      <c r="U1823" t="s">
        <v>46</v>
      </c>
      <c r="V1823" t="s">
        <v>1174</v>
      </c>
      <c r="W1823" t="s">
        <v>1190</v>
      </c>
    </row>
    <row r="1824" spans="1:23" ht="15" customHeight="1" x14ac:dyDescent="0.3">
      <c r="A1824" t="s">
        <v>8</v>
      </c>
      <c r="B1824">
        <v>21</v>
      </c>
      <c r="C1824" t="s">
        <v>1142</v>
      </c>
      <c r="D1824" t="s">
        <v>1167</v>
      </c>
      <c r="E1824" t="s">
        <v>34</v>
      </c>
      <c r="F1824" t="s">
        <v>1168</v>
      </c>
      <c r="G1824" t="s">
        <v>440</v>
      </c>
      <c r="H1824" t="s">
        <v>421</v>
      </c>
      <c r="I1824" t="s">
        <v>1167</v>
      </c>
      <c r="J1824" t="s">
        <v>1188</v>
      </c>
      <c r="K1824" s="21" t="s">
        <v>1189</v>
      </c>
      <c r="L1824" s="21" t="s">
        <v>1171</v>
      </c>
      <c r="M1824" t="s">
        <v>375</v>
      </c>
      <c r="N1824" t="s">
        <v>159</v>
      </c>
      <c r="R1824" t="s">
        <v>3004</v>
      </c>
      <c r="S1824" t="s">
        <v>1188</v>
      </c>
      <c r="T1824" t="s">
        <v>45</v>
      </c>
      <c r="U1824" t="s">
        <v>46</v>
      </c>
      <c r="V1824" t="s">
        <v>1174</v>
      </c>
      <c r="W1824" t="s">
        <v>1190</v>
      </c>
    </row>
    <row r="1825" spans="1:23" ht="15" customHeight="1" x14ac:dyDescent="0.3">
      <c r="A1825" t="s">
        <v>8</v>
      </c>
      <c r="B1825">
        <v>21</v>
      </c>
      <c r="C1825" t="s">
        <v>1142</v>
      </c>
      <c r="D1825" t="s">
        <v>1167</v>
      </c>
      <c r="E1825" t="s">
        <v>34</v>
      </c>
      <c r="F1825" t="s">
        <v>1168</v>
      </c>
      <c r="G1825" t="s">
        <v>440</v>
      </c>
      <c r="H1825" t="s">
        <v>421</v>
      </c>
      <c r="I1825" t="s">
        <v>1167</v>
      </c>
      <c r="J1825" t="s">
        <v>1188</v>
      </c>
      <c r="K1825" s="21" t="s">
        <v>1189</v>
      </c>
      <c r="L1825" s="21" t="s">
        <v>1171</v>
      </c>
      <c r="M1825" t="s">
        <v>375</v>
      </c>
      <c r="N1825" t="s">
        <v>159</v>
      </c>
      <c r="R1825" t="s">
        <v>3005</v>
      </c>
      <c r="S1825" t="s">
        <v>1188</v>
      </c>
      <c r="T1825" t="s">
        <v>45</v>
      </c>
      <c r="U1825" t="s">
        <v>46</v>
      </c>
      <c r="V1825" t="s">
        <v>1174</v>
      </c>
      <c r="W1825" t="s">
        <v>1190</v>
      </c>
    </row>
    <row r="1826" spans="1:23" ht="15" customHeight="1" x14ac:dyDescent="0.3">
      <c r="A1826" t="s">
        <v>8</v>
      </c>
      <c r="B1826">
        <v>21</v>
      </c>
      <c r="C1826" t="s">
        <v>1142</v>
      </c>
      <c r="D1826" t="s">
        <v>1167</v>
      </c>
      <c r="E1826" t="s">
        <v>34</v>
      </c>
      <c r="F1826" t="s">
        <v>1168</v>
      </c>
      <c r="G1826" t="s">
        <v>440</v>
      </c>
      <c r="H1826" t="s">
        <v>421</v>
      </c>
      <c r="I1826" t="s">
        <v>1167</v>
      </c>
      <c r="J1826" t="s">
        <v>1188</v>
      </c>
      <c r="K1826" s="21" t="s">
        <v>1189</v>
      </c>
      <c r="L1826" s="21" t="s">
        <v>1171</v>
      </c>
      <c r="M1826" t="s">
        <v>375</v>
      </c>
      <c r="N1826" t="s">
        <v>159</v>
      </c>
      <c r="R1826" t="s">
        <v>3006</v>
      </c>
      <c r="S1826" t="s">
        <v>1188</v>
      </c>
      <c r="T1826" t="s">
        <v>45</v>
      </c>
      <c r="U1826" t="s">
        <v>46</v>
      </c>
      <c r="V1826" t="s">
        <v>1174</v>
      </c>
      <c r="W1826" t="s">
        <v>1190</v>
      </c>
    </row>
    <row r="1827" spans="1:23" ht="15" customHeight="1" x14ac:dyDescent="0.3">
      <c r="A1827" t="s">
        <v>8</v>
      </c>
      <c r="B1827">
        <v>21</v>
      </c>
      <c r="C1827" t="s">
        <v>1142</v>
      </c>
      <c r="D1827" t="s">
        <v>1167</v>
      </c>
      <c r="E1827" t="s">
        <v>34</v>
      </c>
      <c r="F1827" t="s">
        <v>1168</v>
      </c>
      <c r="G1827" t="s">
        <v>440</v>
      </c>
      <c r="H1827" t="s">
        <v>421</v>
      </c>
      <c r="I1827" t="s">
        <v>1167</v>
      </c>
      <c r="J1827" t="s">
        <v>1188</v>
      </c>
      <c r="K1827" s="21" t="s">
        <v>1189</v>
      </c>
      <c r="L1827" s="21" t="s">
        <v>1171</v>
      </c>
      <c r="M1827" t="s">
        <v>375</v>
      </c>
      <c r="N1827" t="s">
        <v>159</v>
      </c>
      <c r="R1827" t="s">
        <v>3007</v>
      </c>
      <c r="S1827" t="s">
        <v>1188</v>
      </c>
      <c r="T1827" t="s">
        <v>45</v>
      </c>
      <c r="U1827" t="s">
        <v>46</v>
      </c>
      <c r="V1827" t="s">
        <v>1174</v>
      </c>
      <c r="W1827" t="s">
        <v>1190</v>
      </c>
    </row>
    <row r="1828" spans="1:23" ht="15" customHeight="1" x14ac:dyDescent="0.3">
      <c r="A1828" t="s">
        <v>8</v>
      </c>
      <c r="B1828">
        <v>21</v>
      </c>
      <c r="C1828" t="s">
        <v>1142</v>
      </c>
      <c r="D1828" t="s">
        <v>1167</v>
      </c>
      <c r="E1828" t="s">
        <v>34</v>
      </c>
      <c r="F1828" t="s">
        <v>1168</v>
      </c>
      <c r="G1828" t="s">
        <v>440</v>
      </c>
      <c r="H1828" t="s">
        <v>182</v>
      </c>
      <c r="I1828" t="s">
        <v>1167</v>
      </c>
      <c r="J1828" t="s">
        <v>3008</v>
      </c>
      <c r="K1828" s="21" t="s">
        <v>3009</v>
      </c>
      <c r="L1828" s="21" t="s">
        <v>1171</v>
      </c>
      <c r="M1828" t="s">
        <v>375</v>
      </c>
      <c r="N1828" t="s">
        <v>159</v>
      </c>
      <c r="R1828" t="s">
        <v>3002</v>
      </c>
      <c r="S1828" t="s">
        <v>3008</v>
      </c>
      <c r="T1828" t="s">
        <v>45</v>
      </c>
      <c r="U1828" t="s">
        <v>1486</v>
      </c>
      <c r="V1828" t="s">
        <v>1174</v>
      </c>
      <c r="W1828" t="s">
        <v>3010</v>
      </c>
    </row>
    <row r="1829" spans="1:23" ht="15" customHeight="1" x14ac:dyDescent="0.3">
      <c r="A1829" t="s">
        <v>8</v>
      </c>
      <c r="B1829">
        <v>21</v>
      </c>
      <c r="C1829" t="s">
        <v>1142</v>
      </c>
      <c r="D1829" t="s">
        <v>1167</v>
      </c>
      <c r="E1829" t="s">
        <v>34</v>
      </c>
      <c r="F1829" t="s">
        <v>1168</v>
      </c>
      <c r="G1829" t="s">
        <v>440</v>
      </c>
      <c r="H1829" t="s">
        <v>182</v>
      </c>
      <c r="I1829" t="s">
        <v>1167</v>
      </c>
      <c r="J1829" t="s">
        <v>3008</v>
      </c>
      <c r="K1829" s="21" t="s">
        <v>3009</v>
      </c>
      <c r="L1829" s="21" t="s">
        <v>1171</v>
      </c>
      <c r="M1829" t="s">
        <v>375</v>
      </c>
      <c r="N1829" t="s">
        <v>159</v>
      </c>
      <c r="R1829" t="s">
        <v>3003</v>
      </c>
      <c r="S1829" t="s">
        <v>3008</v>
      </c>
      <c r="T1829" t="s">
        <v>45</v>
      </c>
      <c r="U1829" t="s">
        <v>1486</v>
      </c>
      <c r="V1829" t="s">
        <v>1174</v>
      </c>
      <c r="W1829" t="s">
        <v>3010</v>
      </c>
    </row>
    <row r="1830" spans="1:23" ht="15" customHeight="1" x14ac:dyDescent="0.3">
      <c r="A1830" t="s">
        <v>8</v>
      </c>
      <c r="B1830">
        <v>21</v>
      </c>
      <c r="C1830" t="s">
        <v>1142</v>
      </c>
      <c r="D1830" t="s">
        <v>1167</v>
      </c>
      <c r="E1830" t="s">
        <v>34</v>
      </c>
      <c r="F1830" t="s">
        <v>1168</v>
      </c>
      <c r="G1830" t="s">
        <v>440</v>
      </c>
      <c r="H1830" t="s">
        <v>182</v>
      </c>
      <c r="I1830" t="s">
        <v>1167</v>
      </c>
      <c r="J1830" t="s">
        <v>3008</v>
      </c>
      <c r="K1830" s="21" t="s">
        <v>3009</v>
      </c>
      <c r="L1830" s="21" t="s">
        <v>1171</v>
      </c>
      <c r="M1830" t="s">
        <v>375</v>
      </c>
      <c r="N1830" t="s">
        <v>159</v>
      </c>
      <c r="R1830" t="s">
        <v>3004</v>
      </c>
      <c r="S1830" t="s">
        <v>3008</v>
      </c>
      <c r="T1830" t="s">
        <v>45</v>
      </c>
      <c r="U1830" t="s">
        <v>1486</v>
      </c>
      <c r="V1830" t="s">
        <v>1174</v>
      </c>
      <c r="W1830" t="s">
        <v>3010</v>
      </c>
    </row>
    <row r="1831" spans="1:23" ht="15" customHeight="1" x14ac:dyDescent="0.3">
      <c r="A1831" t="s">
        <v>8</v>
      </c>
      <c r="B1831">
        <v>21</v>
      </c>
      <c r="C1831" t="s">
        <v>1142</v>
      </c>
      <c r="D1831" t="s">
        <v>1167</v>
      </c>
      <c r="E1831" t="s">
        <v>34</v>
      </c>
      <c r="F1831" t="s">
        <v>1168</v>
      </c>
      <c r="G1831" t="s">
        <v>440</v>
      </c>
      <c r="H1831" t="s">
        <v>182</v>
      </c>
      <c r="I1831" t="s">
        <v>1167</v>
      </c>
      <c r="J1831" t="s">
        <v>3008</v>
      </c>
      <c r="K1831" s="21" t="s">
        <v>3009</v>
      </c>
      <c r="L1831" s="21" t="s">
        <v>1171</v>
      </c>
      <c r="M1831" t="s">
        <v>375</v>
      </c>
      <c r="N1831" t="s">
        <v>159</v>
      </c>
      <c r="R1831" t="s">
        <v>3005</v>
      </c>
      <c r="S1831" t="s">
        <v>3008</v>
      </c>
      <c r="T1831" t="s">
        <v>45</v>
      </c>
      <c r="U1831" t="s">
        <v>1486</v>
      </c>
      <c r="V1831" t="s">
        <v>1174</v>
      </c>
      <c r="W1831" t="s">
        <v>3010</v>
      </c>
    </row>
    <row r="1832" spans="1:23" ht="15" customHeight="1" x14ac:dyDescent="0.3">
      <c r="A1832" t="s">
        <v>8</v>
      </c>
      <c r="B1832">
        <v>21</v>
      </c>
      <c r="C1832" t="s">
        <v>1142</v>
      </c>
      <c r="D1832" t="s">
        <v>1167</v>
      </c>
      <c r="E1832" t="s">
        <v>34</v>
      </c>
      <c r="F1832" t="s">
        <v>1168</v>
      </c>
      <c r="G1832" t="s">
        <v>440</v>
      </c>
      <c r="H1832" t="s">
        <v>182</v>
      </c>
      <c r="I1832" t="s">
        <v>1167</v>
      </c>
      <c r="J1832" t="s">
        <v>3008</v>
      </c>
      <c r="K1832" s="21" t="s">
        <v>3009</v>
      </c>
      <c r="L1832" s="21" t="s">
        <v>1171</v>
      </c>
      <c r="M1832" t="s">
        <v>375</v>
      </c>
      <c r="N1832" t="s">
        <v>159</v>
      </c>
      <c r="R1832" t="s">
        <v>3006</v>
      </c>
      <c r="S1832" t="s">
        <v>3008</v>
      </c>
      <c r="T1832" t="s">
        <v>45</v>
      </c>
      <c r="U1832" t="s">
        <v>1486</v>
      </c>
      <c r="V1832" t="s">
        <v>1174</v>
      </c>
      <c r="W1832" t="s">
        <v>3010</v>
      </c>
    </row>
    <row r="1833" spans="1:23" ht="15" customHeight="1" x14ac:dyDescent="0.3">
      <c r="A1833" t="s">
        <v>8</v>
      </c>
      <c r="B1833">
        <v>21</v>
      </c>
      <c r="C1833" t="s">
        <v>1142</v>
      </c>
      <c r="D1833" t="s">
        <v>1167</v>
      </c>
      <c r="E1833" t="s">
        <v>34</v>
      </c>
      <c r="F1833" t="s">
        <v>1168</v>
      </c>
      <c r="G1833" t="s">
        <v>440</v>
      </c>
      <c r="H1833" t="s">
        <v>182</v>
      </c>
      <c r="I1833" t="s">
        <v>1167</v>
      </c>
      <c r="J1833" t="s">
        <v>3008</v>
      </c>
      <c r="K1833" s="21" t="s">
        <v>3009</v>
      </c>
      <c r="L1833" s="21" t="s">
        <v>1171</v>
      </c>
      <c r="M1833" t="s">
        <v>375</v>
      </c>
      <c r="N1833" t="s">
        <v>159</v>
      </c>
      <c r="R1833" t="s">
        <v>3007</v>
      </c>
      <c r="S1833" t="s">
        <v>3008</v>
      </c>
      <c r="T1833" t="s">
        <v>45</v>
      </c>
      <c r="U1833" t="s">
        <v>1486</v>
      </c>
      <c r="V1833" t="s">
        <v>1174</v>
      </c>
      <c r="W1833" t="s">
        <v>3010</v>
      </c>
    </row>
    <row r="1834" spans="1:23" ht="15" customHeight="1" x14ac:dyDescent="0.3">
      <c r="A1834" t="s">
        <v>8</v>
      </c>
      <c r="B1834">
        <v>21</v>
      </c>
      <c r="C1834" t="s">
        <v>1142</v>
      </c>
      <c r="D1834" t="s">
        <v>1167</v>
      </c>
      <c r="E1834" t="s">
        <v>34</v>
      </c>
      <c r="F1834" t="s">
        <v>1168</v>
      </c>
      <c r="G1834" t="s">
        <v>440</v>
      </c>
      <c r="H1834" t="s">
        <v>1242</v>
      </c>
      <c r="I1834" t="s">
        <v>1167</v>
      </c>
      <c r="J1834" t="s">
        <v>3011</v>
      </c>
      <c r="K1834" s="21" t="s">
        <v>3012</v>
      </c>
      <c r="L1834" s="21" t="s">
        <v>1171</v>
      </c>
      <c r="M1834" t="s">
        <v>375</v>
      </c>
      <c r="N1834" t="s">
        <v>159</v>
      </c>
      <c r="R1834" t="s">
        <v>3002</v>
      </c>
      <c r="S1834" t="s">
        <v>3011</v>
      </c>
      <c r="T1834" t="s">
        <v>45</v>
      </c>
      <c r="U1834" t="s">
        <v>1437</v>
      </c>
      <c r="V1834" t="s">
        <v>1174</v>
      </c>
      <c r="W1834" t="s">
        <v>3013</v>
      </c>
    </row>
    <row r="1835" spans="1:23" ht="15" customHeight="1" x14ac:dyDescent="0.3">
      <c r="A1835" t="s">
        <v>8</v>
      </c>
      <c r="B1835">
        <v>21</v>
      </c>
      <c r="C1835" t="s">
        <v>1142</v>
      </c>
      <c r="D1835" t="s">
        <v>1167</v>
      </c>
      <c r="E1835" t="s">
        <v>34</v>
      </c>
      <c r="F1835" t="s">
        <v>1168</v>
      </c>
      <c r="G1835" t="s">
        <v>440</v>
      </c>
      <c r="H1835" t="s">
        <v>1242</v>
      </c>
      <c r="I1835" t="s">
        <v>1167</v>
      </c>
      <c r="J1835" t="s">
        <v>3011</v>
      </c>
      <c r="K1835" s="21" t="s">
        <v>3012</v>
      </c>
      <c r="L1835" s="21" t="s">
        <v>1171</v>
      </c>
      <c r="M1835" t="s">
        <v>375</v>
      </c>
      <c r="N1835" t="s">
        <v>159</v>
      </c>
      <c r="R1835" t="s">
        <v>3003</v>
      </c>
      <c r="S1835" t="s">
        <v>3011</v>
      </c>
      <c r="T1835" t="s">
        <v>45</v>
      </c>
      <c r="U1835" t="s">
        <v>1437</v>
      </c>
      <c r="V1835" t="s">
        <v>1174</v>
      </c>
      <c r="W1835" t="s">
        <v>3013</v>
      </c>
    </row>
    <row r="1836" spans="1:23" ht="15" customHeight="1" x14ac:dyDescent="0.3">
      <c r="A1836" t="s">
        <v>8</v>
      </c>
      <c r="B1836">
        <v>21</v>
      </c>
      <c r="C1836" t="s">
        <v>1142</v>
      </c>
      <c r="D1836" t="s">
        <v>1167</v>
      </c>
      <c r="E1836" t="s">
        <v>34</v>
      </c>
      <c r="F1836" t="s">
        <v>1168</v>
      </c>
      <c r="G1836" t="s">
        <v>440</v>
      </c>
      <c r="H1836" t="s">
        <v>1242</v>
      </c>
      <c r="I1836" t="s">
        <v>1167</v>
      </c>
      <c r="J1836" t="s">
        <v>3011</v>
      </c>
      <c r="K1836" s="21" t="s">
        <v>3012</v>
      </c>
      <c r="L1836" s="21" t="s">
        <v>1171</v>
      </c>
      <c r="M1836" t="s">
        <v>375</v>
      </c>
      <c r="N1836" t="s">
        <v>159</v>
      </c>
      <c r="R1836" t="s">
        <v>3004</v>
      </c>
      <c r="S1836" t="s">
        <v>3011</v>
      </c>
      <c r="T1836" t="s">
        <v>45</v>
      </c>
      <c r="U1836" t="s">
        <v>1437</v>
      </c>
      <c r="V1836" t="s">
        <v>1174</v>
      </c>
      <c r="W1836" t="s">
        <v>3013</v>
      </c>
    </row>
    <row r="1837" spans="1:23" ht="15" customHeight="1" x14ac:dyDescent="0.3">
      <c r="A1837" t="s">
        <v>8</v>
      </c>
      <c r="B1837">
        <v>21</v>
      </c>
      <c r="C1837" t="s">
        <v>1142</v>
      </c>
      <c r="D1837" t="s">
        <v>1167</v>
      </c>
      <c r="E1837" t="s">
        <v>34</v>
      </c>
      <c r="F1837" t="s">
        <v>1168</v>
      </c>
      <c r="G1837" t="s">
        <v>440</v>
      </c>
      <c r="H1837" t="s">
        <v>1242</v>
      </c>
      <c r="I1837" t="s">
        <v>1167</v>
      </c>
      <c r="J1837" t="s">
        <v>3011</v>
      </c>
      <c r="K1837" s="21" t="s">
        <v>3012</v>
      </c>
      <c r="L1837" s="21" t="s">
        <v>1171</v>
      </c>
      <c r="M1837" t="s">
        <v>375</v>
      </c>
      <c r="N1837" t="s">
        <v>159</v>
      </c>
      <c r="R1837" t="s">
        <v>3005</v>
      </c>
      <c r="S1837" t="s">
        <v>3011</v>
      </c>
      <c r="T1837" t="s">
        <v>45</v>
      </c>
      <c r="U1837" t="s">
        <v>1437</v>
      </c>
      <c r="V1837" t="s">
        <v>1174</v>
      </c>
      <c r="W1837" t="s">
        <v>3013</v>
      </c>
    </row>
    <row r="1838" spans="1:23" ht="15" customHeight="1" x14ac:dyDescent="0.3">
      <c r="A1838" t="s">
        <v>8</v>
      </c>
      <c r="B1838">
        <v>21</v>
      </c>
      <c r="C1838" t="s">
        <v>1142</v>
      </c>
      <c r="D1838" t="s">
        <v>1167</v>
      </c>
      <c r="E1838" t="s">
        <v>34</v>
      </c>
      <c r="F1838" t="s">
        <v>1168</v>
      </c>
      <c r="G1838" t="s">
        <v>440</v>
      </c>
      <c r="H1838" t="s">
        <v>1242</v>
      </c>
      <c r="I1838" t="s">
        <v>1167</v>
      </c>
      <c r="J1838" t="s">
        <v>3011</v>
      </c>
      <c r="K1838" s="21" t="s">
        <v>3012</v>
      </c>
      <c r="L1838" s="21" t="s">
        <v>1171</v>
      </c>
      <c r="M1838" t="s">
        <v>375</v>
      </c>
      <c r="N1838" t="s">
        <v>159</v>
      </c>
      <c r="R1838" t="s">
        <v>3006</v>
      </c>
      <c r="S1838" t="s">
        <v>3011</v>
      </c>
      <c r="T1838" t="s">
        <v>45</v>
      </c>
      <c r="U1838" t="s">
        <v>1437</v>
      </c>
      <c r="V1838" t="s">
        <v>1174</v>
      </c>
      <c r="W1838" t="s">
        <v>3013</v>
      </c>
    </row>
    <row r="1839" spans="1:23" ht="15" customHeight="1" x14ac:dyDescent="0.3">
      <c r="A1839" t="s">
        <v>8</v>
      </c>
      <c r="B1839">
        <v>21</v>
      </c>
      <c r="C1839" t="s">
        <v>1142</v>
      </c>
      <c r="D1839" t="s">
        <v>1167</v>
      </c>
      <c r="E1839" t="s">
        <v>34</v>
      </c>
      <c r="F1839" t="s">
        <v>1168</v>
      </c>
      <c r="G1839" t="s">
        <v>440</v>
      </c>
      <c r="H1839" t="s">
        <v>1242</v>
      </c>
      <c r="I1839" t="s">
        <v>1167</v>
      </c>
      <c r="J1839" t="s">
        <v>3011</v>
      </c>
      <c r="K1839" s="21" t="s">
        <v>3012</v>
      </c>
      <c r="L1839" s="21" t="s">
        <v>1171</v>
      </c>
      <c r="M1839" t="s">
        <v>375</v>
      </c>
      <c r="N1839" t="s">
        <v>159</v>
      </c>
      <c r="R1839" t="s">
        <v>3007</v>
      </c>
      <c r="S1839" t="s">
        <v>3011</v>
      </c>
      <c r="T1839" t="s">
        <v>45</v>
      </c>
      <c r="U1839" t="s">
        <v>1437</v>
      </c>
      <c r="V1839" t="s">
        <v>1174</v>
      </c>
      <c r="W1839" t="s">
        <v>3013</v>
      </c>
    </row>
    <row r="1840" spans="1:23" ht="15" customHeight="1" x14ac:dyDescent="0.3">
      <c r="A1840" t="s">
        <v>8</v>
      </c>
      <c r="B1840">
        <v>21</v>
      </c>
      <c r="C1840" t="s">
        <v>1142</v>
      </c>
      <c r="D1840" t="s">
        <v>1167</v>
      </c>
      <c r="E1840" t="s">
        <v>34</v>
      </c>
      <c r="F1840" t="s">
        <v>1168</v>
      </c>
      <c r="G1840" t="s">
        <v>440</v>
      </c>
      <c r="H1840" t="s">
        <v>425</v>
      </c>
      <c r="I1840" t="s">
        <v>1167</v>
      </c>
      <c r="J1840" t="s">
        <v>3014</v>
      </c>
      <c r="K1840" s="21" t="s">
        <v>3015</v>
      </c>
      <c r="L1840" s="21" t="s">
        <v>1171</v>
      </c>
      <c r="M1840" t="s">
        <v>375</v>
      </c>
      <c r="N1840" t="s">
        <v>159</v>
      </c>
      <c r="R1840" t="s">
        <v>3002</v>
      </c>
      <c r="S1840" t="s">
        <v>3014</v>
      </c>
      <c r="T1840" t="s">
        <v>45</v>
      </c>
      <c r="U1840" t="s">
        <v>1416</v>
      </c>
      <c r="V1840" t="s">
        <v>1174</v>
      </c>
      <c r="W1840" t="s">
        <v>3016</v>
      </c>
    </row>
    <row r="1841" spans="1:23" ht="15" customHeight="1" x14ac:dyDescent="0.3">
      <c r="A1841" t="s">
        <v>8</v>
      </c>
      <c r="B1841">
        <v>21</v>
      </c>
      <c r="C1841" t="s">
        <v>1142</v>
      </c>
      <c r="D1841" t="s">
        <v>1167</v>
      </c>
      <c r="E1841" t="s">
        <v>34</v>
      </c>
      <c r="F1841" t="s">
        <v>1168</v>
      </c>
      <c r="G1841" t="s">
        <v>440</v>
      </c>
      <c r="H1841" t="s">
        <v>425</v>
      </c>
      <c r="I1841" t="s">
        <v>1167</v>
      </c>
      <c r="J1841" t="s">
        <v>3014</v>
      </c>
      <c r="K1841" s="21" t="s">
        <v>3015</v>
      </c>
      <c r="L1841" s="21" t="s">
        <v>1171</v>
      </c>
      <c r="M1841" t="s">
        <v>375</v>
      </c>
      <c r="N1841" t="s">
        <v>159</v>
      </c>
      <c r="R1841" t="s">
        <v>3003</v>
      </c>
      <c r="S1841" t="s">
        <v>3014</v>
      </c>
      <c r="T1841" t="s">
        <v>45</v>
      </c>
      <c r="U1841" t="s">
        <v>1416</v>
      </c>
      <c r="V1841" t="s">
        <v>1174</v>
      </c>
      <c r="W1841" t="s">
        <v>3016</v>
      </c>
    </row>
    <row r="1842" spans="1:23" ht="15" customHeight="1" x14ac:dyDescent="0.3">
      <c r="A1842" t="s">
        <v>8</v>
      </c>
      <c r="B1842">
        <v>21</v>
      </c>
      <c r="C1842" t="s">
        <v>1142</v>
      </c>
      <c r="D1842" t="s">
        <v>1167</v>
      </c>
      <c r="E1842" t="s">
        <v>34</v>
      </c>
      <c r="F1842" t="s">
        <v>1168</v>
      </c>
      <c r="G1842" t="s">
        <v>440</v>
      </c>
      <c r="H1842" t="s">
        <v>425</v>
      </c>
      <c r="I1842" t="s">
        <v>1167</v>
      </c>
      <c r="J1842" t="s">
        <v>3014</v>
      </c>
      <c r="K1842" s="21" t="s">
        <v>3015</v>
      </c>
      <c r="L1842" s="21" t="s">
        <v>1171</v>
      </c>
      <c r="M1842" t="s">
        <v>375</v>
      </c>
      <c r="N1842" t="s">
        <v>159</v>
      </c>
      <c r="R1842" t="s">
        <v>3004</v>
      </c>
      <c r="S1842" t="s">
        <v>3014</v>
      </c>
      <c r="T1842" t="s">
        <v>45</v>
      </c>
      <c r="U1842" t="s">
        <v>1416</v>
      </c>
      <c r="V1842" t="s">
        <v>1174</v>
      </c>
      <c r="W1842" t="s">
        <v>3016</v>
      </c>
    </row>
    <row r="1843" spans="1:23" ht="15" customHeight="1" x14ac:dyDescent="0.3">
      <c r="A1843" t="s">
        <v>8</v>
      </c>
      <c r="B1843">
        <v>21</v>
      </c>
      <c r="C1843" t="s">
        <v>1142</v>
      </c>
      <c r="D1843" t="s">
        <v>1167</v>
      </c>
      <c r="E1843" t="s">
        <v>34</v>
      </c>
      <c r="F1843" t="s">
        <v>1168</v>
      </c>
      <c r="G1843" t="s">
        <v>440</v>
      </c>
      <c r="H1843" t="s">
        <v>425</v>
      </c>
      <c r="I1843" t="s">
        <v>1167</v>
      </c>
      <c r="J1843" t="s">
        <v>3014</v>
      </c>
      <c r="K1843" s="21" t="s">
        <v>3015</v>
      </c>
      <c r="L1843" s="21" t="s">
        <v>1171</v>
      </c>
      <c r="M1843" t="s">
        <v>375</v>
      </c>
      <c r="N1843" t="s">
        <v>159</v>
      </c>
      <c r="R1843" t="s">
        <v>3005</v>
      </c>
      <c r="S1843" t="s">
        <v>3014</v>
      </c>
      <c r="T1843" t="s">
        <v>45</v>
      </c>
      <c r="U1843" t="s">
        <v>1416</v>
      </c>
      <c r="V1843" t="s">
        <v>1174</v>
      </c>
      <c r="W1843" t="s">
        <v>3016</v>
      </c>
    </row>
    <row r="1844" spans="1:23" ht="15" customHeight="1" x14ac:dyDescent="0.3">
      <c r="A1844" t="s">
        <v>8</v>
      </c>
      <c r="B1844">
        <v>21</v>
      </c>
      <c r="C1844" t="s">
        <v>1142</v>
      </c>
      <c r="D1844" t="s">
        <v>1167</v>
      </c>
      <c r="E1844" t="s">
        <v>34</v>
      </c>
      <c r="F1844" t="s">
        <v>1168</v>
      </c>
      <c r="G1844" t="s">
        <v>440</v>
      </c>
      <c r="H1844" t="s">
        <v>425</v>
      </c>
      <c r="I1844" t="s">
        <v>1167</v>
      </c>
      <c r="J1844" t="s">
        <v>3014</v>
      </c>
      <c r="K1844" s="21" t="s">
        <v>3015</v>
      </c>
      <c r="L1844" s="21" t="s">
        <v>1171</v>
      </c>
      <c r="M1844" t="s">
        <v>375</v>
      </c>
      <c r="N1844" t="s">
        <v>159</v>
      </c>
      <c r="R1844" t="s">
        <v>3006</v>
      </c>
      <c r="S1844" t="s">
        <v>3014</v>
      </c>
      <c r="T1844" t="s">
        <v>45</v>
      </c>
      <c r="U1844" t="s">
        <v>1416</v>
      </c>
      <c r="V1844" t="s">
        <v>1174</v>
      </c>
      <c r="W1844" t="s">
        <v>3016</v>
      </c>
    </row>
    <row r="1845" spans="1:23" ht="15" customHeight="1" x14ac:dyDescent="0.3">
      <c r="A1845" t="s">
        <v>8</v>
      </c>
      <c r="B1845">
        <v>21</v>
      </c>
      <c r="C1845" t="s">
        <v>1142</v>
      </c>
      <c r="D1845" t="s">
        <v>1167</v>
      </c>
      <c r="E1845" t="s">
        <v>34</v>
      </c>
      <c r="F1845" t="s">
        <v>1168</v>
      </c>
      <c r="G1845" t="s">
        <v>440</v>
      </c>
      <c r="H1845" t="s">
        <v>425</v>
      </c>
      <c r="I1845" t="s">
        <v>1167</v>
      </c>
      <c r="J1845" t="s">
        <v>3014</v>
      </c>
      <c r="K1845" s="21" t="s">
        <v>3015</v>
      </c>
      <c r="L1845" s="21" t="s">
        <v>1171</v>
      </c>
      <c r="M1845" t="s">
        <v>375</v>
      </c>
      <c r="N1845" t="s">
        <v>159</v>
      </c>
      <c r="R1845" t="s">
        <v>3007</v>
      </c>
      <c r="S1845" t="s">
        <v>3014</v>
      </c>
      <c r="T1845" t="s">
        <v>45</v>
      </c>
      <c r="U1845" t="s">
        <v>1416</v>
      </c>
      <c r="V1845" t="s">
        <v>1174</v>
      </c>
      <c r="W1845" t="s">
        <v>3016</v>
      </c>
    </row>
    <row r="1846" spans="1:23" ht="15" customHeight="1" x14ac:dyDescent="0.3">
      <c r="A1846" t="s">
        <v>8</v>
      </c>
      <c r="B1846">
        <v>21</v>
      </c>
      <c r="C1846" t="s">
        <v>1142</v>
      </c>
      <c r="D1846" t="s">
        <v>1167</v>
      </c>
      <c r="E1846" t="s">
        <v>34</v>
      </c>
      <c r="F1846" t="s">
        <v>1168</v>
      </c>
      <c r="G1846" t="s">
        <v>440</v>
      </c>
      <c r="H1846" t="s">
        <v>996</v>
      </c>
      <c r="I1846" t="s">
        <v>1167</v>
      </c>
      <c r="J1846" t="s">
        <v>3017</v>
      </c>
      <c r="K1846" s="21" t="s">
        <v>3018</v>
      </c>
      <c r="L1846" s="21" t="s">
        <v>1171</v>
      </c>
      <c r="M1846" t="s">
        <v>375</v>
      </c>
      <c r="N1846" t="s">
        <v>159</v>
      </c>
      <c r="R1846" t="s">
        <v>3002</v>
      </c>
      <c r="S1846" t="s">
        <v>3017</v>
      </c>
      <c r="T1846" t="s">
        <v>1544</v>
      </c>
      <c r="U1846" t="s">
        <v>1501</v>
      </c>
      <c r="V1846" t="s">
        <v>1174</v>
      </c>
      <c r="W1846" t="s">
        <v>3019</v>
      </c>
    </row>
    <row r="1847" spans="1:23" ht="15" customHeight="1" x14ac:dyDescent="0.3">
      <c r="A1847" t="s">
        <v>8</v>
      </c>
      <c r="B1847">
        <v>21</v>
      </c>
      <c r="C1847" t="s">
        <v>1142</v>
      </c>
      <c r="D1847" t="s">
        <v>1167</v>
      </c>
      <c r="E1847" t="s">
        <v>34</v>
      </c>
      <c r="F1847" t="s">
        <v>1168</v>
      </c>
      <c r="G1847" t="s">
        <v>440</v>
      </c>
      <c r="H1847" t="s">
        <v>996</v>
      </c>
      <c r="I1847" t="s">
        <v>1167</v>
      </c>
      <c r="J1847" t="s">
        <v>3017</v>
      </c>
      <c r="K1847" s="21" t="s">
        <v>3018</v>
      </c>
      <c r="L1847" s="21" t="s">
        <v>1171</v>
      </c>
      <c r="M1847" t="s">
        <v>375</v>
      </c>
      <c r="N1847" t="s">
        <v>159</v>
      </c>
      <c r="R1847" t="s">
        <v>3003</v>
      </c>
      <c r="S1847" t="s">
        <v>3017</v>
      </c>
      <c r="T1847" t="s">
        <v>1544</v>
      </c>
      <c r="U1847" t="s">
        <v>1501</v>
      </c>
      <c r="V1847" t="s">
        <v>1174</v>
      </c>
      <c r="W1847" t="s">
        <v>3019</v>
      </c>
    </row>
    <row r="1848" spans="1:23" ht="15" customHeight="1" x14ac:dyDescent="0.3">
      <c r="A1848" t="s">
        <v>8</v>
      </c>
      <c r="B1848">
        <v>21</v>
      </c>
      <c r="C1848" t="s">
        <v>1142</v>
      </c>
      <c r="D1848" t="s">
        <v>1167</v>
      </c>
      <c r="E1848" t="s">
        <v>34</v>
      </c>
      <c r="F1848" t="s">
        <v>1168</v>
      </c>
      <c r="G1848" t="s">
        <v>440</v>
      </c>
      <c r="H1848" t="s">
        <v>996</v>
      </c>
      <c r="I1848" t="s">
        <v>1167</v>
      </c>
      <c r="J1848" t="s">
        <v>3017</v>
      </c>
      <c r="K1848" s="21" t="s">
        <v>3018</v>
      </c>
      <c r="L1848" s="21" t="s">
        <v>1171</v>
      </c>
      <c r="M1848" t="s">
        <v>375</v>
      </c>
      <c r="N1848" t="s">
        <v>159</v>
      </c>
      <c r="R1848" t="s">
        <v>3004</v>
      </c>
      <c r="S1848" t="s">
        <v>3017</v>
      </c>
      <c r="T1848" t="s">
        <v>1544</v>
      </c>
      <c r="U1848" t="s">
        <v>1501</v>
      </c>
      <c r="V1848" t="s">
        <v>1174</v>
      </c>
      <c r="W1848" t="s">
        <v>3019</v>
      </c>
    </row>
    <row r="1849" spans="1:23" ht="15" customHeight="1" x14ac:dyDescent="0.3">
      <c r="A1849" t="s">
        <v>8</v>
      </c>
      <c r="B1849">
        <v>21</v>
      </c>
      <c r="C1849" t="s">
        <v>1142</v>
      </c>
      <c r="D1849" t="s">
        <v>1167</v>
      </c>
      <c r="E1849" t="s">
        <v>34</v>
      </c>
      <c r="F1849" t="s">
        <v>1168</v>
      </c>
      <c r="G1849" t="s">
        <v>440</v>
      </c>
      <c r="H1849" t="s">
        <v>996</v>
      </c>
      <c r="I1849" t="s">
        <v>1167</v>
      </c>
      <c r="J1849" t="s">
        <v>3017</v>
      </c>
      <c r="K1849" s="21" t="s">
        <v>3018</v>
      </c>
      <c r="L1849" s="21" t="s">
        <v>1171</v>
      </c>
      <c r="M1849" t="s">
        <v>375</v>
      </c>
      <c r="N1849" t="s">
        <v>159</v>
      </c>
      <c r="R1849" t="s">
        <v>3005</v>
      </c>
      <c r="S1849" t="s">
        <v>3017</v>
      </c>
      <c r="T1849" t="s">
        <v>1544</v>
      </c>
      <c r="U1849" t="s">
        <v>1501</v>
      </c>
      <c r="V1849" t="s">
        <v>1174</v>
      </c>
      <c r="W1849" t="s">
        <v>3019</v>
      </c>
    </row>
    <row r="1850" spans="1:23" ht="15" customHeight="1" x14ac:dyDescent="0.3">
      <c r="A1850" t="s">
        <v>8</v>
      </c>
      <c r="B1850">
        <v>21</v>
      </c>
      <c r="C1850" t="s">
        <v>1142</v>
      </c>
      <c r="D1850" t="s">
        <v>1167</v>
      </c>
      <c r="E1850" t="s">
        <v>34</v>
      </c>
      <c r="F1850" t="s">
        <v>1168</v>
      </c>
      <c r="G1850" t="s">
        <v>440</v>
      </c>
      <c r="H1850" t="s">
        <v>996</v>
      </c>
      <c r="I1850" t="s">
        <v>1167</v>
      </c>
      <c r="J1850" t="s">
        <v>3017</v>
      </c>
      <c r="K1850" s="21" t="s">
        <v>3018</v>
      </c>
      <c r="L1850" s="21" t="s">
        <v>1171</v>
      </c>
      <c r="M1850" t="s">
        <v>375</v>
      </c>
      <c r="N1850" t="s">
        <v>159</v>
      </c>
      <c r="R1850" t="s">
        <v>3006</v>
      </c>
      <c r="S1850" t="s">
        <v>3017</v>
      </c>
      <c r="T1850" t="s">
        <v>1544</v>
      </c>
      <c r="U1850" t="s">
        <v>1501</v>
      </c>
      <c r="V1850" t="s">
        <v>1174</v>
      </c>
      <c r="W1850" t="s">
        <v>3019</v>
      </c>
    </row>
    <row r="1851" spans="1:23" ht="15" customHeight="1" x14ac:dyDescent="0.3">
      <c r="A1851" t="s">
        <v>8</v>
      </c>
      <c r="B1851">
        <v>21</v>
      </c>
      <c r="C1851" t="s">
        <v>1142</v>
      </c>
      <c r="D1851" t="s">
        <v>1167</v>
      </c>
      <c r="E1851" t="s">
        <v>34</v>
      </c>
      <c r="F1851" t="s">
        <v>1168</v>
      </c>
      <c r="G1851" t="s">
        <v>440</v>
      </c>
      <c r="H1851" t="s">
        <v>996</v>
      </c>
      <c r="I1851" t="s">
        <v>1167</v>
      </c>
      <c r="J1851" t="s">
        <v>3017</v>
      </c>
      <c r="K1851" s="21" t="s">
        <v>3018</v>
      </c>
      <c r="L1851" s="21" t="s">
        <v>1171</v>
      </c>
      <c r="M1851" t="s">
        <v>375</v>
      </c>
      <c r="N1851" t="s">
        <v>159</v>
      </c>
      <c r="R1851" t="s">
        <v>3007</v>
      </c>
      <c r="S1851" t="s">
        <v>3017</v>
      </c>
      <c r="T1851" t="s">
        <v>1544</v>
      </c>
      <c r="U1851" t="s">
        <v>1501</v>
      </c>
      <c r="V1851" t="s">
        <v>1174</v>
      </c>
      <c r="W1851" t="s">
        <v>3019</v>
      </c>
    </row>
    <row r="1852" spans="1:23" ht="15" customHeight="1" x14ac:dyDescent="0.3">
      <c r="A1852" t="s">
        <v>8</v>
      </c>
      <c r="B1852">
        <v>21</v>
      </c>
      <c r="C1852" t="s">
        <v>1142</v>
      </c>
      <c r="D1852" t="s">
        <v>1167</v>
      </c>
      <c r="E1852" t="s">
        <v>34</v>
      </c>
      <c r="F1852" t="s">
        <v>1168</v>
      </c>
      <c r="G1852" t="s">
        <v>440</v>
      </c>
      <c r="H1852" t="s">
        <v>1000</v>
      </c>
      <c r="I1852" t="s">
        <v>1167</v>
      </c>
      <c r="J1852" t="s">
        <v>3020</v>
      </c>
      <c r="K1852" s="21" t="s">
        <v>3021</v>
      </c>
      <c r="L1852" s="21" t="s">
        <v>1171</v>
      </c>
      <c r="M1852" t="s">
        <v>375</v>
      </c>
      <c r="N1852" t="s">
        <v>159</v>
      </c>
      <c r="R1852" t="s">
        <v>3002</v>
      </c>
      <c r="S1852" t="s">
        <v>3020</v>
      </c>
      <c r="T1852" t="s">
        <v>1544</v>
      </c>
      <c r="U1852" t="s">
        <v>1511</v>
      </c>
      <c r="V1852" t="s">
        <v>3022</v>
      </c>
      <c r="W1852" t="s">
        <v>3023</v>
      </c>
    </row>
    <row r="1853" spans="1:23" ht="15" customHeight="1" x14ac:dyDescent="0.3">
      <c r="A1853" t="s">
        <v>8</v>
      </c>
      <c r="B1853">
        <v>21</v>
      </c>
      <c r="C1853" t="s">
        <v>1142</v>
      </c>
      <c r="D1853" t="s">
        <v>1167</v>
      </c>
      <c r="E1853" t="s">
        <v>34</v>
      </c>
      <c r="F1853" t="s">
        <v>1168</v>
      </c>
      <c r="G1853" t="s">
        <v>440</v>
      </c>
      <c r="H1853" t="s">
        <v>1000</v>
      </c>
      <c r="I1853" t="s">
        <v>1167</v>
      </c>
      <c r="J1853" t="s">
        <v>3020</v>
      </c>
      <c r="K1853" s="21" t="s">
        <v>3021</v>
      </c>
      <c r="L1853" s="21" t="s">
        <v>1171</v>
      </c>
      <c r="M1853" t="s">
        <v>375</v>
      </c>
      <c r="N1853" t="s">
        <v>159</v>
      </c>
      <c r="R1853" t="s">
        <v>3003</v>
      </c>
      <c r="S1853" t="s">
        <v>3020</v>
      </c>
      <c r="T1853" t="s">
        <v>1544</v>
      </c>
      <c r="U1853" t="s">
        <v>1511</v>
      </c>
      <c r="V1853" t="s">
        <v>3022</v>
      </c>
      <c r="W1853" t="s">
        <v>3023</v>
      </c>
    </row>
    <row r="1854" spans="1:23" ht="15" customHeight="1" x14ac:dyDescent="0.3">
      <c r="A1854" t="s">
        <v>8</v>
      </c>
      <c r="B1854">
        <v>21</v>
      </c>
      <c r="C1854" t="s">
        <v>1142</v>
      </c>
      <c r="D1854" t="s">
        <v>1167</v>
      </c>
      <c r="E1854" t="s">
        <v>34</v>
      </c>
      <c r="F1854" t="s">
        <v>1168</v>
      </c>
      <c r="G1854" t="s">
        <v>440</v>
      </c>
      <c r="H1854" t="s">
        <v>1000</v>
      </c>
      <c r="I1854" t="s">
        <v>1167</v>
      </c>
      <c r="J1854" t="s">
        <v>3020</v>
      </c>
      <c r="K1854" s="21" t="s">
        <v>3021</v>
      </c>
      <c r="L1854" s="21" t="s">
        <v>1171</v>
      </c>
      <c r="M1854" t="s">
        <v>375</v>
      </c>
      <c r="N1854" t="s">
        <v>159</v>
      </c>
      <c r="R1854" t="s">
        <v>3004</v>
      </c>
      <c r="S1854" t="s">
        <v>3020</v>
      </c>
      <c r="T1854" t="s">
        <v>1544</v>
      </c>
      <c r="U1854" t="s">
        <v>1511</v>
      </c>
      <c r="V1854" t="s">
        <v>3022</v>
      </c>
      <c r="W1854" t="s">
        <v>3023</v>
      </c>
    </row>
    <row r="1855" spans="1:23" ht="15" customHeight="1" x14ac:dyDescent="0.3">
      <c r="A1855" t="s">
        <v>8</v>
      </c>
      <c r="B1855">
        <v>21</v>
      </c>
      <c r="C1855" t="s">
        <v>1142</v>
      </c>
      <c r="D1855" t="s">
        <v>1167</v>
      </c>
      <c r="E1855" t="s">
        <v>34</v>
      </c>
      <c r="F1855" t="s">
        <v>1168</v>
      </c>
      <c r="G1855" t="s">
        <v>440</v>
      </c>
      <c r="H1855" t="s">
        <v>1000</v>
      </c>
      <c r="I1855" t="s">
        <v>1167</v>
      </c>
      <c r="J1855" t="s">
        <v>3020</v>
      </c>
      <c r="K1855" s="21" t="s">
        <v>3021</v>
      </c>
      <c r="L1855" s="21" t="s">
        <v>1171</v>
      </c>
      <c r="M1855" t="s">
        <v>375</v>
      </c>
      <c r="N1855" t="s">
        <v>159</v>
      </c>
      <c r="R1855" t="s">
        <v>3005</v>
      </c>
      <c r="S1855" t="s">
        <v>3020</v>
      </c>
      <c r="T1855" t="s">
        <v>1544</v>
      </c>
      <c r="U1855" t="s">
        <v>1511</v>
      </c>
      <c r="V1855" t="s">
        <v>3022</v>
      </c>
      <c r="W1855" t="s">
        <v>3023</v>
      </c>
    </row>
    <row r="1856" spans="1:23" ht="15" customHeight="1" x14ac:dyDescent="0.3">
      <c r="A1856" t="s">
        <v>8</v>
      </c>
      <c r="B1856">
        <v>21</v>
      </c>
      <c r="C1856" t="s">
        <v>1142</v>
      </c>
      <c r="D1856" t="s">
        <v>1167</v>
      </c>
      <c r="E1856" t="s">
        <v>34</v>
      </c>
      <c r="F1856" t="s">
        <v>1168</v>
      </c>
      <c r="G1856" t="s">
        <v>440</v>
      </c>
      <c r="H1856" t="s">
        <v>1000</v>
      </c>
      <c r="I1856" t="s">
        <v>1167</v>
      </c>
      <c r="J1856" t="s">
        <v>3020</v>
      </c>
      <c r="K1856" s="21" t="s">
        <v>3021</v>
      </c>
      <c r="L1856" s="21" t="s">
        <v>1171</v>
      </c>
      <c r="M1856" t="s">
        <v>375</v>
      </c>
      <c r="N1856" t="s">
        <v>159</v>
      </c>
      <c r="R1856" t="s">
        <v>3006</v>
      </c>
      <c r="S1856" t="s">
        <v>3020</v>
      </c>
      <c r="T1856" t="s">
        <v>1544</v>
      </c>
      <c r="U1856" t="s">
        <v>1511</v>
      </c>
      <c r="V1856" t="s">
        <v>3022</v>
      </c>
      <c r="W1856" t="s">
        <v>3023</v>
      </c>
    </row>
    <row r="1857" spans="1:23" ht="15" customHeight="1" x14ac:dyDescent="0.3">
      <c r="A1857" t="s">
        <v>8</v>
      </c>
      <c r="B1857">
        <v>21</v>
      </c>
      <c r="C1857" t="s">
        <v>1142</v>
      </c>
      <c r="D1857" t="s">
        <v>1167</v>
      </c>
      <c r="E1857" t="s">
        <v>34</v>
      </c>
      <c r="F1857" t="s">
        <v>1168</v>
      </c>
      <c r="G1857" t="s">
        <v>440</v>
      </c>
      <c r="H1857" t="s">
        <v>1000</v>
      </c>
      <c r="I1857" t="s">
        <v>1167</v>
      </c>
      <c r="J1857" t="s">
        <v>3020</v>
      </c>
      <c r="K1857" s="21" t="s">
        <v>3021</v>
      </c>
      <c r="L1857" s="21" t="s">
        <v>1171</v>
      </c>
      <c r="M1857" t="s">
        <v>375</v>
      </c>
      <c r="N1857" t="s">
        <v>159</v>
      </c>
      <c r="R1857" t="s">
        <v>3007</v>
      </c>
      <c r="S1857" t="s">
        <v>3020</v>
      </c>
      <c r="T1857" t="s">
        <v>1544</v>
      </c>
      <c r="U1857" t="s">
        <v>1511</v>
      </c>
      <c r="V1857" t="s">
        <v>3022</v>
      </c>
      <c r="W1857" t="s">
        <v>3023</v>
      </c>
    </row>
    <row r="1858" spans="1:23" ht="15" customHeight="1" x14ac:dyDescent="0.3">
      <c r="A1858" t="s">
        <v>8</v>
      </c>
      <c r="B1858">
        <v>21</v>
      </c>
      <c r="C1858" t="s">
        <v>1142</v>
      </c>
      <c r="D1858" t="s">
        <v>1167</v>
      </c>
      <c r="E1858" t="s">
        <v>34</v>
      </c>
      <c r="F1858" t="s">
        <v>1168</v>
      </c>
      <c r="G1858" t="s">
        <v>440</v>
      </c>
      <c r="H1858" t="s">
        <v>1272</v>
      </c>
      <c r="I1858" t="s">
        <v>1167</v>
      </c>
      <c r="J1858" t="s">
        <v>3024</v>
      </c>
      <c r="K1858" s="21" t="s">
        <v>3025</v>
      </c>
      <c r="L1858" s="21" t="s">
        <v>1171</v>
      </c>
      <c r="M1858" t="s">
        <v>375</v>
      </c>
      <c r="N1858" t="s">
        <v>159</v>
      </c>
      <c r="R1858" t="s">
        <v>3002</v>
      </c>
      <c r="S1858" t="s">
        <v>3024</v>
      </c>
      <c r="T1858" t="s">
        <v>1249</v>
      </c>
      <c r="U1858" t="s">
        <v>1473</v>
      </c>
      <c r="V1858" t="s">
        <v>3026</v>
      </c>
      <c r="W1858" t="s">
        <v>3010</v>
      </c>
    </row>
    <row r="1859" spans="1:23" ht="15" customHeight="1" x14ac:dyDescent="0.3">
      <c r="A1859" t="s">
        <v>8</v>
      </c>
      <c r="B1859">
        <v>21</v>
      </c>
      <c r="C1859" t="s">
        <v>1142</v>
      </c>
      <c r="D1859" t="s">
        <v>1167</v>
      </c>
      <c r="E1859" t="s">
        <v>34</v>
      </c>
      <c r="F1859" t="s">
        <v>1168</v>
      </c>
      <c r="G1859" t="s">
        <v>440</v>
      </c>
      <c r="H1859" t="s">
        <v>1272</v>
      </c>
      <c r="I1859" t="s">
        <v>1167</v>
      </c>
      <c r="J1859" t="s">
        <v>3024</v>
      </c>
      <c r="K1859" s="21" t="s">
        <v>3025</v>
      </c>
      <c r="L1859" s="21" t="s">
        <v>1171</v>
      </c>
      <c r="M1859" t="s">
        <v>375</v>
      </c>
      <c r="N1859" t="s">
        <v>159</v>
      </c>
      <c r="R1859" t="s">
        <v>3003</v>
      </c>
      <c r="S1859" t="s">
        <v>3024</v>
      </c>
      <c r="T1859" t="s">
        <v>1249</v>
      </c>
      <c r="U1859" t="s">
        <v>1473</v>
      </c>
      <c r="V1859" t="s">
        <v>3026</v>
      </c>
      <c r="W1859" t="s">
        <v>3010</v>
      </c>
    </row>
    <row r="1860" spans="1:23" ht="15" customHeight="1" x14ac:dyDescent="0.3">
      <c r="A1860" t="s">
        <v>8</v>
      </c>
      <c r="B1860">
        <v>21</v>
      </c>
      <c r="C1860" t="s">
        <v>1142</v>
      </c>
      <c r="D1860" t="s">
        <v>1167</v>
      </c>
      <c r="E1860" t="s">
        <v>34</v>
      </c>
      <c r="F1860" t="s">
        <v>1168</v>
      </c>
      <c r="G1860" t="s">
        <v>440</v>
      </c>
      <c r="H1860" t="s">
        <v>1272</v>
      </c>
      <c r="I1860" t="s">
        <v>1167</v>
      </c>
      <c r="J1860" t="s">
        <v>3024</v>
      </c>
      <c r="K1860" s="21" t="s">
        <v>3025</v>
      </c>
      <c r="L1860" s="21" t="s">
        <v>1171</v>
      </c>
      <c r="M1860" t="s">
        <v>375</v>
      </c>
      <c r="N1860" t="s">
        <v>159</v>
      </c>
      <c r="R1860" t="s">
        <v>3004</v>
      </c>
      <c r="S1860" t="s">
        <v>3024</v>
      </c>
      <c r="T1860" t="s">
        <v>1249</v>
      </c>
      <c r="U1860" t="s">
        <v>1473</v>
      </c>
      <c r="V1860" t="s">
        <v>3026</v>
      </c>
      <c r="W1860" t="s">
        <v>3010</v>
      </c>
    </row>
    <row r="1861" spans="1:23" ht="15" customHeight="1" x14ac:dyDescent="0.3">
      <c r="A1861" t="s">
        <v>8</v>
      </c>
      <c r="B1861">
        <v>21</v>
      </c>
      <c r="C1861" t="s">
        <v>1142</v>
      </c>
      <c r="D1861" t="s">
        <v>1167</v>
      </c>
      <c r="E1861" t="s">
        <v>34</v>
      </c>
      <c r="F1861" t="s">
        <v>1168</v>
      </c>
      <c r="G1861" t="s">
        <v>440</v>
      </c>
      <c r="H1861" t="s">
        <v>1272</v>
      </c>
      <c r="I1861" t="s">
        <v>1167</v>
      </c>
      <c r="J1861" t="s">
        <v>3024</v>
      </c>
      <c r="K1861" s="21" t="s">
        <v>3025</v>
      </c>
      <c r="L1861" s="21" t="s">
        <v>1171</v>
      </c>
      <c r="M1861" t="s">
        <v>375</v>
      </c>
      <c r="N1861" t="s">
        <v>159</v>
      </c>
      <c r="R1861" t="s">
        <v>3005</v>
      </c>
      <c r="S1861" t="s">
        <v>3024</v>
      </c>
      <c r="T1861" t="s">
        <v>1249</v>
      </c>
      <c r="U1861" t="s">
        <v>1473</v>
      </c>
      <c r="V1861" t="s">
        <v>3026</v>
      </c>
      <c r="W1861" t="s">
        <v>3010</v>
      </c>
    </row>
    <row r="1862" spans="1:23" ht="15" customHeight="1" x14ac:dyDescent="0.3">
      <c r="A1862" t="s">
        <v>8</v>
      </c>
      <c r="B1862">
        <v>21</v>
      </c>
      <c r="C1862" t="s">
        <v>1142</v>
      </c>
      <c r="D1862" t="s">
        <v>1167</v>
      </c>
      <c r="E1862" t="s">
        <v>34</v>
      </c>
      <c r="F1862" t="s">
        <v>1168</v>
      </c>
      <c r="G1862" t="s">
        <v>440</v>
      </c>
      <c r="H1862" t="s">
        <v>1272</v>
      </c>
      <c r="I1862" t="s">
        <v>1167</v>
      </c>
      <c r="J1862" t="s">
        <v>3024</v>
      </c>
      <c r="K1862" s="21" t="s">
        <v>3025</v>
      </c>
      <c r="L1862" s="21" t="s">
        <v>1171</v>
      </c>
      <c r="M1862" t="s">
        <v>375</v>
      </c>
      <c r="N1862" t="s">
        <v>159</v>
      </c>
      <c r="R1862" t="s">
        <v>3006</v>
      </c>
      <c r="S1862" t="s">
        <v>3024</v>
      </c>
      <c r="T1862" t="s">
        <v>1249</v>
      </c>
      <c r="U1862" t="s">
        <v>1473</v>
      </c>
      <c r="V1862" t="s">
        <v>3026</v>
      </c>
      <c r="W1862" t="s">
        <v>3010</v>
      </c>
    </row>
    <row r="1863" spans="1:23" ht="15" customHeight="1" x14ac:dyDescent="0.3">
      <c r="A1863" t="s">
        <v>8</v>
      </c>
      <c r="B1863">
        <v>21</v>
      </c>
      <c r="C1863" t="s">
        <v>1142</v>
      </c>
      <c r="D1863" t="s">
        <v>1167</v>
      </c>
      <c r="E1863" t="s">
        <v>34</v>
      </c>
      <c r="F1863" t="s">
        <v>1168</v>
      </c>
      <c r="G1863" t="s">
        <v>440</v>
      </c>
      <c r="H1863" t="s">
        <v>1272</v>
      </c>
      <c r="I1863" t="s">
        <v>1167</v>
      </c>
      <c r="J1863" t="s">
        <v>3024</v>
      </c>
      <c r="K1863" s="21" t="s">
        <v>3025</v>
      </c>
      <c r="L1863" s="21" t="s">
        <v>1171</v>
      </c>
      <c r="M1863" t="s">
        <v>375</v>
      </c>
      <c r="N1863" t="s">
        <v>159</v>
      </c>
      <c r="R1863" t="s">
        <v>3007</v>
      </c>
      <c r="S1863" t="s">
        <v>3024</v>
      </c>
      <c r="T1863" t="s">
        <v>1249</v>
      </c>
      <c r="U1863" t="s">
        <v>1473</v>
      </c>
      <c r="V1863" t="s">
        <v>3026</v>
      </c>
      <c r="W1863" t="s">
        <v>3010</v>
      </c>
    </row>
    <row r="1864" spans="1:23" ht="15" customHeight="1" x14ac:dyDescent="0.3">
      <c r="A1864" t="s">
        <v>8</v>
      </c>
      <c r="B1864">
        <v>21</v>
      </c>
      <c r="C1864" t="s">
        <v>1142</v>
      </c>
      <c r="D1864" t="s">
        <v>1167</v>
      </c>
      <c r="E1864" t="s">
        <v>34</v>
      </c>
      <c r="F1864" t="s">
        <v>1168</v>
      </c>
      <c r="G1864" t="s">
        <v>440</v>
      </c>
      <c r="H1864" t="s">
        <v>1276</v>
      </c>
      <c r="I1864" t="s">
        <v>1167</v>
      </c>
      <c r="J1864" t="s">
        <v>3027</v>
      </c>
      <c r="K1864" s="21" t="s">
        <v>3028</v>
      </c>
      <c r="L1864" s="21" t="s">
        <v>1171</v>
      </c>
      <c r="M1864" t="s">
        <v>375</v>
      </c>
      <c r="N1864" t="s">
        <v>159</v>
      </c>
      <c r="R1864" t="s">
        <v>3002</v>
      </c>
      <c r="S1864" t="s">
        <v>3027</v>
      </c>
      <c r="T1864" t="s">
        <v>1249</v>
      </c>
      <c r="U1864" t="s">
        <v>1467</v>
      </c>
      <c r="V1864" t="s">
        <v>3026</v>
      </c>
      <c r="W1864" t="s">
        <v>3010</v>
      </c>
    </row>
    <row r="1865" spans="1:23" ht="15" customHeight="1" x14ac:dyDescent="0.3">
      <c r="A1865" t="s">
        <v>8</v>
      </c>
      <c r="B1865">
        <v>21</v>
      </c>
      <c r="C1865" t="s">
        <v>1142</v>
      </c>
      <c r="D1865" t="s">
        <v>1167</v>
      </c>
      <c r="E1865" t="s">
        <v>34</v>
      </c>
      <c r="F1865" t="s">
        <v>1168</v>
      </c>
      <c r="G1865" t="s">
        <v>440</v>
      </c>
      <c r="H1865" t="s">
        <v>1276</v>
      </c>
      <c r="I1865" t="s">
        <v>1167</v>
      </c>
      <c r="J1865" t="s">
        <v>3027</v>
      </c>
      <c r="K1865" s="21" t="s">
        <v>3028</v>
      </c>
      <c r="L1865" s="21" t="s">
        <v>1171</v>
      </c>
      <c r="M1865" t="s">
        <v>375</v>
      </c>
      <c r="N1865" t="s">
        <v>159</v>
      </c>
      <c r="R1865" t="s">
        <v>3003</v>
      </c>
      <c r="S1865" t="s">
        <v>3027</v>
      </c>
      <c r="T1865" t="s">
        <v>1249</v>
      </c>
      <c r="U1865" t="s">
        <v>1467</v>
      </c>
      <c r="V1865" t="s">
        <v>3026</v>
      </c>
      <c r="W1865" t="s">
        <v>3010</v>
      </c>
    </row>
    <row r="1866" spans="1:23" ht="15" customHeight="1" x14ac:dyDescent="0.3">
      <c r="A1866" t="s">
        <v>8</v>
      </c>
      <c r="B1866">
        <v>21</v>
      </c>
      <c r="C1866" t="s">
        <v>1142</v>
      </c>
      <c r="D1866" t="s">
        <v>1167</v>
      </c>
      <c r="E1866" t="s">
        <v>34</v>
      </c>
      <c r="F1866" t="s">
        <v>1168</v>
      </c>
      <c r="G1866" t="s">
        <v>440</v>
      </c>
      <c r="H1866" t="s">
        <v>1276</v>
      </c>
      <c r="I1866" t="s">
        <v>1167</v>
      </c>
      <c r="J1866" t="s">
        <v>3027</v>
      </c>
      <c r="K1866" s="21" t="s">
        <v>3028</v>
      </c>
      <c r="L1866" s="21" t="s">
        <v>1171</v>
      </c>
      <c r="M1866" t="s">
        <v>375</v>
      </c>
      <c r="N1866" t="s">
        <v>159</v>
      </c>
      <c r="R1866" t="s">
        <v>3004</v>
      </c>
      <c r="S1866" t="s">
        <v>3027</v>
      </c>
      <c r="T1866" t="s">
        <v>1249</v>
      </c>
      <c r="U1866" t="s">
        <v>1467</v>
      </c>
      <c r="V1866" t="s">
        <v>3026</v>
      </c>
      <c r="W1866" t="s">
        <v>3010</v>
      </c>
    </row>
    <row r="1867" spans="1:23" ht="15" customHeight="1" x14ac:dyDescent="0.3">
      <c r="A1867" t="s">
        <v>8</v>
      </c>
      <c r="B1867">
        <v>21</v>
      </c>
      <c r="C1867" t="s">
        <v>1142</v>
      </c>
      <c r="D1867" t="s">
        <v>1167</v>
      </c>
      <c r="E1867" t="s">
        <v>34</v>
      </c>
      <c r="F1867" t="s">
        <v>1168</v>
      </c>
      <c r="G1867" t="s">
        <v>440</v>
      </c>
      <c r="H1867" t="s">
        <v>1276</v>
      </c>
      <c r="I1867" t="s">
        <v>1167</v>
      </c>
      <c r="J1867" t="s">
        <v>3027</v>
      </c>
      <c r="K1867" s="21" t="s">
        <v>3028</v>
      </c>
      <c r="L1867" s="21" t="s">
        <v>1171</v>
      </c>
      <c r="M1867" t="s">
        <v>375</v>
      </c>
      <c r="N1867" t="s">
        <v>159</v>
      </c>
      <c r="R1867" t="s">
        <v>3005</v>
      </c>
      <c r="S1867" t="s">
        <v>3027</v>
      </c>
      <c r="T1867" t="s">
        <v>1249</v>
      </c>
      <c r="U1867" t="s">
        <v>1467</v>
      </c>
      <c r="V1867" t="s">
        <v>3026</v>
      </c>
      <c r="W1867" t="s">
        <v>3010</v>
      </c>
    </row>
    <row r="1868" spans="1:23" ht="15" customHeight="1" x14ac:dyDescent="0.3">
      <c r="A1868" t="s">
        <v>8</v>
      </c>
      <c r="B1868">
        <v>21</v>
      </c>
      <c r="C1868" t="s">
        <v>1142</v>
      </c>
      <c r="D1868" t="s">
        <v>1167</v>
      </c>
      <c r="E1868" t="s">
        <v>34</v>
      </c>
      <c r="F1868" t="s">
        <v>1168</v>
      </c>
      <c r="G1868" t="s">
        <v>440</v>
      </c>
      <c r="H1868" t="s">
        <v>1276</v>
      </c>
      <c r="I1868" t="s">
        <v>1167</v>
      </c>
      <c r="J1868" t="s">
        <v>3027</v>
      </c>
      <c r="K1868" s="21" t="s">
        <v>3028</v>
      </c>
      <c r="L1868" s="21" t="s">
        <v>1171</v>
      </c>
      <c r="M1868" t="s">
        <v>375</v>
      </c>
      <c r="N1868" t="s">
        <v>159</v>
      </c>
      <c r="R1868" t="s">
        <v>3006</v>
      </c>
      <c r="S1868" t="s">
        <v>3027</v>
      </c>
      <c r="T1868" t="s">
        <v>1249</v>
      </c>
      <c r="U1868" t="s">
        <v>1467</v>
      </c>
      <c r="V1868" t="s">
        <v>3026</v>
      </c>
      <c r="W1868" t="s">
        <v>3010</v>
      </c>
    </row>
    <row r="1869" spans="1:23" ht="15" customHeight="1" x14ac:dyDescent="0.3">
      <c r="A1869" t="s">
        <v>8</v>
      </c>
      <c r="B1869">
        <v>21</v>
      </c>
      <c r="C1869" t="s">
        <v>1142</v>
      </c>
      <c r="D1869" t="s">
        <v>1167</v>
      </c>
      <c r="E1869" t="s">
        <v>34</v>
      </c>
      <c r="F1869" t="s">
        <v>1168</v>
      </c>
      <c r="G1869" t="s">
        <v>440</v>
      </c>
      <c r="H1869" t="s">
        <v>1276</v>
      </c>
      <c r="I1869" t="s">
        <v>1167</v>
      </c>
      <c r="J1869" t="s">
        <v>3027</v>
      </c>
      <c r="K1869" s="21" t="s">
        <v>3028</v>
      </c>
      <c r="L1869" s="21" t="s">
        <v>1171</v>
      </c>
      <c r="M1869" t="s">
        <v>375</v>
      </c>
      <c r="N1869" t="s">
        <v>159</v>
      </c>
      <c r="R1869" t="s">
        <v>3007</v>
      </c>
      <c r="S1869" t="s">
        <v>3027</v>
      </c>
      <c r="T1869" t="s">
        <v>1249</v>
      </c>
      <c r="U1869" t="s">
        <v>1467</v>
      </c>
      <c r="V1869" t="s">
        <v>3026</v>
      </c>
      <c r="W1869" t="s">
        <v>3010</v>
      </c>
    </row>
    <row r="1870" spans="1:23" ht="15" customHeight="1" x14ac:dyDescent="0.3">
      <c r="A1870" t="s">
        <v>8</v>
      </c>
      <c r="B1870">
        <v>20</v>
      </c>
      <c r="C1870" t="s">
        <v>1142</v>
      </c>
      <c r="D1870" t="s">
        <v>1191</v>
      </c>
      <c r="E1870" t="s">
        <v>34</v>
      </c>
      <c r="F1870" t="s">
        <v>1192</v>
      </c>
      <c r="G1870" t="s">
        <v>440</v>
      </c>
      <c r="H1870" t="s">
        <v>37</v>
      </c>
      <c r="I1870" t="s">
        <v>1191</v>
      </c>
      <c r="J1870" t="s">
        <v>1193</v>
      </c>
      <c r="K1870" t="s">
        <v>1194</v>
      </c>
      <c r="L1870" s="21" t="s">
        <v>1195</v>
      </c>
      <c r="M1870" t="s">
        <v>1196</v>
      </c>
      <c r="N1870" t="s">
        <v>159</v>
      </c>
      <c r="R1870" t="s">
        <v>3029</v>
      </c>
      <c r="S1870" t="s">
        <v>1193</v>
      </c>
      <c r="T1870" t="s">
        <v>45</v>
      </c>
      <c r="U1870" t="s">
        <v>46</v>
      </c>
      <c r="V1870" t="s">
        <v>1199</v>
      </c>
      <c r="W1870" t="s">
        <v>1200</v>
      </c>
    </row>
    <row r="1871" spans="1:23" ht="15" customHeight="1" x14ac:dyDescent="0.3">
      <c r="A1871" t="s">
        <v>8</v>
      </c>
      <c r="B1871">
        <v>20</v>
      </c>
      <c r="C1871" t="s">
        <v>1142</v>
      </c>
      <c r="D1871" t="s">
        <v>1191</v>
      </c>
      <c r="E1871" t="s">
        <v>34</v>
      </c>
      <c r="F1871" t="s">
        <v>1192</v>
      </c>
      <c r="G1871" t="s">
        <v>440</v>
      </c>
      <c r="H1871" t="s">
        <v>37</v>
      </c>
      <c r="I1871" t="s">
        <v>1191</v>
      </c>
      <c r="J1871" t="s">
        <v>1193</v>
      </c>
      <c r="K1871" t="s">
        <v>1194</v>
      </c>
      <c r="L1871" s="21" t="s">
        <v>1195</v>
      </c>
      <c r="M1871" t="s">
        <v>1196</v>
      </c>
      <c r="N1871" t="s">
        <v>159</v>
      </c>
      <c r="R1871" t="s">
        <v>3030</v>
      </c>
      <c r="S1871" t="s">
        <v>1193</v>
      </c>
      <c r="T1871" t="s">
        <v>45</v>
      </c>
      <c r="U1871" t="s">
        <v>46</v>
      </c>
      <c r="V1871" t="s">
        <v>1199</v>
      </c>
      <c r="W1871" t="s">
        <v>1200</v>
      </c>
    </row>
    <row r="1872" spans="1:23" ht="15" customHeight="1" x14ac:dyDescent="0.3">
      <c r="A1872" t="s">
        <v>8</v>
      </c>
      <c r="B1872">
        <v>20</v>
      </c>
      <c r="C1872" t="s">
        <v>1142</v>
      </c>
      <c r="D1872" t="s">
        <v>1191</v>
      </c>
      <c r="E1872" t="s">
        <v>34</v>
      </c>
      <c r="F1872" t="s">
        <v>1192</v>
      </c>
      <c r="G1872" t="s">
        <v>440</v>
      </c>
      <c r="H1872" t="s">
        <v>37</v>
      </c>
      <c r="I1872" t="s">
        <v>1191</v>
      </c>
      <c r="J1872" t="s">
        <v>1193</v>
      </c>
      <c r="K1872" t="s">
        <v>1194</v>
      </c>
      <c r="L1872" s="21" t="s">
        <v>1195</v>
      </c>
      <c r="M1872" t="s">
        <v>1196</v>
      </c>
      <c r="N1872" t="s">
        <v>159</v>
      </c>
      <c r="R1872" t="s">
        <v>3031</v>
      </c>
      <c r="S1872" t="s">
        <v>1193</v>
      </c>
      <c r="T1872" t="s">
        <v>45</v>
      </c>
      <c r="U1872" t="s">
        <v>46</v>
      </c>
      <c r="V1872" t="s">
        <v>1199</v>
      </c>
      <c r="W1872" t="s">
        <v>1200</v>
      </c>
    </row>
    <row r="1873" spans="1:23" ht="15" customHeight="1" x14ac:dyDescent="0.3">
      <c r="A1873" t="s">
        <v>8</v>
      </c>
      <c r="B1873">
        <v>20</v>
      </c>
      <c r="C1873" t="s">
        <v>1142</v>
      </c>
      <c r="D1873" t="s">
        <v>1191</v>
      </c>
      <c r="E1873" t="s">
        <v>34</v>
      </c>
      <c r="F1873" t="s">
        <v>1192</v>
      </c>
      <c r="G1873" t="s">
        <v>440</v>
      </c>
      <c r="H1873" t="s">
        <v>37</v>
      </c>
      <c r="I1873" t="s">
        <v>1191</v>
      </c>
      <c r="J1873" t="s">
        <v>1193</v>
      </c>
      <c r="K1873" t="s">
        <v>1194</v>
      </c>
      <c r="L1873" s="21" t="s">
        <v>1195</v>
      </c>
      <c r="M1873" t="s">
        <v>1196</v>
      </c>
      <c r="N1873" t="s">
        <v>159</v>
      </c>
      <c r="R1873" t="s">
        <v>3032</v>
      </c>
      <c r="S1873" t="s">
        <v>1193</v>
      </c>
      <c r="T1873" t="s">
        <v>45</v>
      </c>
      <c r="U1873" t="s">
        <v>46</v>
      </c>
      <c r="V1873" t="s">
        <v>1199</v>
      </c>
      <c r="W1873" t="s">
        <v>1200</v>
      </c>
    </row>
    <row r="1874" spans="1:23" ht="15" customHeight="1" x14ac:dyDescent="0.3">
      <c r="A1874" t="s">
        <v>8</v>
      </c>
      <c r="B1874">
        <v>20</v>
      </c>
      <c r="C1874" t="s">
        <v>1142</v>
      </c>
      <c r="D1874" t="s">
        <v>1191</v>
      </c>
      <c r="E1874" t="s">
        <v>34</v>
      </c>
      <c r="F1874" t="s">
        <v>1192</v>
      </c>
      <c r="G1874" t="s">
        <v>440</v>
      </c>
      <c r="H1874" t="s">
        <v>37</v>
      </c>
      <c r="I1874" t="s">
        <v>1191</v>
      </c>
      <c r="J1874" t="s">
        <v>1193</v>
      </c>
      <c r="K1874" t="s">
        <v>1194</v>
      </c>
      <c r="L1874" s="21" t="s">
        <v>1195</v>
      </c>
      <c r="M1874" t="s">
        <v>1196</v>
      </c>
      <c r="N1874" t="s">
        <v>159</v>
      </c>
      <c r="R1874" t="s">
        <v>3033</v>
      </c>
      <c r="S1874" t="s">
        <v>1193</v>
      </c>
      <c r="T1874" t="s">
        <v>45</v>
      </c>
      <c r="U1874" t="s">
        <v>46</v>
      </c>
      <c r="V1874" t="s">
        <v>1199</v>
      </c>
      <c r="W1874" t="s">
        <v>1200</v>
      </c>
    </row>
    <row r="1875" spans="1:23" ht="15" customHeight="1" x14ac:dyDescent="0.3">
      <c r="A1875" t="s">
        <v>8</v>
      </c>
      <c r="B1875">
        <v>20</v>
      </c>
      <c r="C1875" t="s">
        <v>1142</v>
      </c>
      <c r="D1875" t="s">
        <v>1191</v>
      </c>
      <c r="E1875" t="s">
        <v>34</v>
      </c>
      <c r="F1875" t="s">
        <v>1192</v>
      </c>
      <c r="G1875" t="s">
        <v>440</v>
      </c>
      <c r="H1875" t="s">
        <v>37</v>
      </c>
      <c r="I1875" t="s">
        <v>1191</v>
      </c>
      <c r="J1875" t="s">
        <v>1193</v>
      </c>
      <c r="K1875" t="s">
        <v>1194</v>
      </c>
      <c r="L1875" s="21" t="s">
        <v>1195</v>
      </c>
      <c r="M1875" t="s">
        <v>1196</v>
      </c>
      <c r="N1875" t="s">
        <v>159</v>
      </c>
      <c r="R1875" t="s">
        <v>3034</v>
      </c>
      <c r="S1875" t="s">
        <v>1193</v>
      </c>
      <c r="T1875" t="s">
        <v>45</v>
      </c>
      <c r="U1875" t="s">
        <v>46</v>
      </c>
      <c r="V1875" t="s">
        <v>1199</v>
      </c>
      <c r="W1875" t="s">
        <v>1200</v>
      </c>
    </row>
    <row r="1876" spans="1:23" ht="15" customHeight="1" x14ac:dyDescent="0.3">
      <c r="A1876" t="s">
        <v>8</v>
      </c>
      <c r="B1876">
        <v>20</v>
      </c>
      <c r="C1876" t="s">
        <v>1142</v>
      </c>
      <c r="D1876" t="s">
        <v>1191</v>
      </c>
      <c r="E1876" t="s">
        <v>34</v>
      </c>
      <c r="F1876" t="s">
        <v>1192</v>
      </c>
      <c r="G1876" t="s">
        <v>440</v>
      </c>
      <c r="H1876" t="s">
        <v>52</v>
      </c>
      <c r="I1876" t="s">
        <v>1191</v>
      </c>
      <c r="J1876" t="s">
        <v>1201</v>
      </c>
      <c r="K1876" s="21" t="s">
        <v>1202</v>
      </c>
      <c r="L1876" s="21" t="s">
        <v>1195</v>
      </c>
      <c r="M1876" t="s">
        <v>1196</v>
      </c>
      <c r="N1876" t="s">
        <v>159</v>
      </c>
      <c r="R1876" t="s">
        <v>3029</v>
      </c>
      <c r="S1876" t="s">
        <v>1201</v>
      </c>
      <c r="T1876" t="s">
        <v>45</v>
      </c>
      <c r="U1876" t="s">
        <v>46</v>
      </c>
      <c r="V1876" t="s">
        <v>1199</v>
      </c>
      <c r="W1876" t="s">
        <v>1203</v>
      </c>
    </row>
    <row r="1877" spans="1:23" ht="15" customHeight="1" x14ac:dyDescent="0.3">
      <c r="A1877" t="s">
        <v>8</v>
      </c>
      <c r="B1877">
        <v>20</v>
      </c>
      <c r="C1877" t="s">
        <v>1142</v>
      </c>
      <c r="D1877" t="s">
        <v>1191</v>
      </c>
      <c r="E1877" t="s">
        <v>34</v>
      </c>
      <c r="F1877" t="s">
        <v>1192</v>
      </c>
      <c r="G1877" t="s">
        <v>440</v>
      </c>
      <c r="H1877" t="s">
        <v>52</v>
      </c>
      <c r="I1877" t="s">
        <v>1191</v>
      </c>
      <c r="J1877" t="s">
        <v>1201</v>
      </c>
      <c r="K1877" s="21" t="s">
        <v>1202</v>
      </c>
      <c r="L1877" s="21" t="s">
        <v>1195</v>
      </c>
      <c r="M1877" t="s">
        <v>1196</v>
      </c>
      <c r="N1877" t="s">
        <v>159</v>
      </c>
      <c r="R1877" t="s">
        <v>3030</v>
      </c>
      <c r="S1877" t="s">
        <v>1201</v>
      </c>
      <c r="T1877" t="s">
        <v>45</v>
      </c>
      <c r="U1877" t="s">
        <v>46</v>
      </c>
      <c r="V1877" t="s">
        <v>1199</v>
      </c>
      <c r="W1877" t="s">
        <v>1203</v>
      </c>
    </row>
    <row r="1878" spans="1:23" ht="15" customHeight="1" x14ac:dyDescent="0.3">
      <c r="A1878" t="s">
        <v>8</v>
      </c>
      <c r="B1878">
        <v>20</v>
      </c>
      <c r="C1878" t="s">
        <v>1142</v>
      </c>
      <c r="D1878" t="s">
        <v>1191</v>
      </c>
      <c r="E1878" t="s">
        <v>34</v>
      </c>
      <c r="F1878" t="s">
        <v>1192</v>
      </c>
      <c r="G1878" t="s">
        <v>440</v>
      </c>
      <c r="H1878" t="s">
        <v>52</v>
      </c>
      <c r="I1878" t="s">
        <v>1191</v>
      </c>
      <c r="J1878" t="s">
        <v>1201</v>
      </c>
      <c r="K1878" s="21" t="s">
        <v>1202</v>
      </c>
      <c r="L1878" s="21" t="s">
        <v>1195</v>
      </c>
      <c r="M1878" t="s">
        <v>1196</v>
      </c>
      <c r="N1878" t="s">
        <v>159</v>
      </c>
      <c r="R1878" t="s">
        <v>3031</v>
      </c>
      <c r="S1878" t="s">
        <v>1201</v>
      </c>
      <c r="T1878" t="s">
        <v>45</v>
      </c>
      <c r="U1878" t="s">
        <v>46</v>
      </c>
      <c r="V1878" t="s">
        <v>1199</v>
      </c>
      <c r="W1878" t="s">
        <v>1203</v>
      </c>
    </row>
    <row r="1879" spans="1:23" ht="15" customHeight="1" x14ac:dyDescent="0.3">
      <c r="A1879" t="s">
        <v>8</v>
      </c>
      <c r="B1879">
        <v>20</v>
      </c>
      <c r="C1879" t="s">
        <v>1142</v>
      </c>
      <c r="D1879" t="s">
        <v>1191</v>
      </c>
      <c r="E1879" t="s">
        <v>34</v>
      </c>
      <c r="F1879" t="s">
        <v>1192</v>
      </c>
      <c r="G1879" t="s">
        <v>440</v>
      </c>
      <c r="H1879" t="s">
        <v>52</v>
      </c>
      <c r="I1879" t="s">
        <v>1191</v>
      </c>
      <c r="J1879" t="s">
        <v>1201</v>
      </c>
      <c r="K1879" s="21" t="s">
        <v>1202</v>
      </c>
      <c r="L1879" s="21" t="s">
        <v>1195</v>
      </c>
      <c r="M1879" t="s">
        <v>1196</v>
      </c>
      <c r="N1879" t="s">
        <v>159</v>
      </c>
      <c r="R1879" t="s">
        <v>3032</v>
      </c>
      <c r="S1879" t="s">
        <v>1201</v>
      </c>
      <c r="T1879" t="s">
        <v>45</v>
      </c>
      <c r="U1879" t="s">
        <v>46</v>
      </c>
      <c r="V1879" t="s">
        <v>1199</v>
      </c>
      <c r="W1879" t="s">
        <v>1203</v>
      </c>
    </row>
    <row r="1880" spans="1:23" ht="15" customHeight="1" x14ac:dyDescent="0.3">
      <c r="A1880" t="s">
        <v>8</v>
      </c>
      <c r="B1880">
        <v>20</v>
      </c>
      <c r="C1880" t="s">
        <v>1142</v>
      </c>
      <c r="D1880" t="s">
        <v>1191</v>
      </c>
      <c r="E1880" t="s">
        <v>34</v>
      </c>
      <c r="F1880" t="s">
        <v>1192</v>
      </c>
      <c r="G1880" t="s">
        <v>440</v>
      </c>
      <c r="H1880" t="s">
        <v>52</v>
      </c>
      <c r="I1880" t="s">
        <v>1191</v>
      </c>
      <c r="J1880" t="s">
        <v>1201</v>
      </c>
      <c r="K1880" s="21" t="s">
        <v>1202</v>
      </c>
      <c r="L1880" s="21" t="s">
        <v>1195</v>
      </c>
      <c r="M1880" t="s">
        <v>1196</v>
      </c>
      <c r="N1880" t="s">
        <v>159</v>
      </c>
      <c r="R1880" t="s">
        <v>3033</v>
      </c>
      <c r="S1880" t="s">
        <v>1201</v>
      </c>
      <c r="T1880" t="s">
        <v>45</v>
      </c>
      <c r="U1880" t="s">
        <v>46</v>
      </c>
      <c r="V1880" t="s">
        <v>1199</v>
      </c>
      <c r="W1880" t="s">
        <v>1203</v>
      </c>
    </row>
    <row r="1881" spans="1:23" ht="15" customHeight="1" x14ac:dyDescent="0.3">
      <c r="A1881" t="s">
        <v>8</v>
      </c>
      <c r="B1881">
        <v>20</v>
      </c>
      <c r="C1881" t="s">
        <v>1142</v>
      </c>
      <c r="D1881" t="s">
        <v>1191</v>
      </c>
      <c r="E1881" t="s">
        <v>34</v>
      </c>
      <c r="F1881" t="s">
        <v>1192</v>
      </c>
      <c r="G1881" t="s">
        <v>440</v>
      </c>
      <c r="H1881" t="s">
        <v>52</v>
      </c>
      <c r="I1881" t="s">
        <v>1191</v>
      </c>
      <c r="J1881" t="s">
        <v>1201</v>
      </c>
      <c r="K1881" s="21" t="s">
        <v>1202</v>
      </c>
      <c r="L1881" s="21" t="s">
        <v>1195</v>
      </c>
      <c r="M1881" t="s">
        <v>1196</v>
      </c>
      <c r="N1881" t="s">
        <v>159</v>
      </c>
      <c r="R1881" t="s">
        <v>3034</v>
      </c>
      <c r="S1881" t="s">
        <v>1201</v>
      </c>
      <c r="T1881" t="s">
        <v>45</v>
      </c>
      <c r="U1881" t="s">
        <v>46</v>
      </c>
      <c r="V1881" t="s">
        <v>1199</v>
      </c>
      <c r="W1881" t="s">
        <v>1203</v>
      </c>
    </row>
    <row r="1882" spans="1:23" ht="15" customHeight="1" x14ac:dyDescent="0.3">
      <c r="A1882" t="s">
        <v>8</v>
      </c>
      <c r="B1882">
        <v>20</v>
      </c>
      <c r="C1882" t="s">
        <v>1142</v>
      </c>
      <c r="D1882" t="s">
        <v>1191</v>
      </c>
      <c r="E1882" t="s">
        <v>34</v>
      </c>
      <c r="F1882" t="s">
        <v>1192</v>
      </c>
      <c r="G1882" t="s">
        <v>440</v>
      </c>
      <c r="H1882" t="s">
        <v>57</v>
      </c>
      <c r="I1882" t="s">
        <v>1191</v>
      </c>
      <c r="J1882" t="s">
        <v>1204</v>
      </c>
      <c r="K1882" s="21" t="s">
        <v>1205</v>
      </c>
      <c r="L1882" s="21" t="s">
        <v>1195</v>
      </c>
      <c r="M1882" t="s">
        <v>1196</v>
      </c>
      <c r="N1882" t="s">
        <v>159</v>
      </c>
      <c r="R1882" t="s">
        <v>3029</v>
      </c>
      <c r="S1882" t="s">
        <v>1204</v>
      </c>
      <c r="T1882" t="s">
        <v>45</v>
      </c>
      <c r="U1882" t="s">
        <v>46</v>
      </c>
      <c r="V1882" t="s">
        <v>1199</v>
      </c>
      <c r="W1882" t="s">
        <v>1206</v>
      </c>
    </row>
    <row r="1883" spans="1:23" ht="15" customHeight="1" x14ac:dyDescent="0.3">
      <c r="A1883" t="s">
        <v>8</v>
      </c>
      <c r="B1883">
        <v>20</v>
      </c>
      <c r="C1883" t="s">
        <v>1142</v>
      </c>
      <c r="D1883" t="s">
        <v>1191</v>
      </c>
      <c r="E1883" t="s">
        <v>34</v>
      </c>
      <c r="F1883" t="s">
        <v>1192</v>
      </c>
      <c r="G1883" t="s">
        <v>440</v>
      </c>
      <c r="H1883" t="s">
        <v>57</v>
      </c>
      <c r="I1883" t="s">
        <v>1191</v>
      </c>
      <c r="J1883" t="s">
        <v>1204</v>
      </c>
      <c r="K1883" s="21" t="s">
        <v>1205</v>
      </c>
      <c r="L1883" s="21" t="s">
        <v>1195</v>
      </c>
      <c r="M1883" t="s">
        <v>1196</v>
      </c>
      <c r="N1883" t="s">
        <v>159</v>
      </c>
      <c r="R1883" t="s">
        <v>3030</v>
      </c>
      <c r="S1883" t="s">
        <v>1204</v>
      </c>
      <c r="T1883" t="s">
        <v>45</v>
      </c>
      <c r="U1883" t="s">
        <v>46</v>
      </c>
      <c r="V1883" t="s">
        <v>1199</v>
      </c>
      <c r="W1883" t="s">
        <v>1206</v>
      </c>
    </row>
    <row r="1884" spans="1:23" ht="15" customHeight="1" x14ac:dyDescent="0.3">
      <c r="A1884" t="s">
        <v>8</v>
      </c>
      <c r="B1884">
        <v>20</v>
      </c>
      <c r="C1884" t="s">
        <v>1142</v>
      </c>
      <c r="D1884" t="s">
        <v>1191</v>
      </c>
      <c r="E1884" t="s">
        <v>34</v>
      </c>
      <c r="F1884" t="s">
        <v>1192</v>
      </c>
      <c r="G1884" t="s">
        <v>440</v>
      </c>
      <c r="H1884" t="s">
        <v>57</v>
      </c>
      <c r="I1884" t="s">
        <v>1191</v>
      </c>
      <c r="J1884" t="s">
        <v>1204</v>
      </c>
      <c r="K1884" s="21" t="s">
        <v>1205</v>
      </c>
      <c r="L1884" s="21" t="s">
        <v>1195</v>
      </c>
      <c r="M1884" t="s">
        <v>1196</v>
      </c>
      <c r="N1884" t="s">
        <v>159</v>
      </c>
      <c r="R1884" t="s">
        <v>3031</v>
      </c>
      <c r="S1884" t="s">
        <v>1204</v>
      </c>
      <c r="T1884" t="s">
        <v>45</v>
      </c>
      <c r="U1884" t="s">
        <v>46</v>
      </c>
      <c r="V1884" t="s">
        <v>1199</v>
      </c>
      <c r="W1884" t="s">
        <v>1206</v>
      </c>
    </row>
    <row r="1885" spans="1:23" ht="15" customHeight="1" x14ac:dyDescent="0.3">
      <c r="A1885" t="s">
        <v>8</v>
      </c>
      <c r="B1885">
        <v>20</v>
      </c>
      <c r="C1885" t="s">
        <v>1142</v>
      </c>
      <c r="D1885" t="s">
        <v>1191</v>
      </c>
      <c r="E1885" t="s">
        <v>34</v>
      </c>
      <c r="F1885" t="s">
        <v>1192</v>
      </c>
      <c r="G1885" t="s">
        <v>440</v>
      </c>
      <c r="H1885" t="s">
        <v>57</v>
      </c>
      <c r="I1885" t="s">
        <v>1191</v>
      </c>
      <c r="J1885" t="s">
        <v>1204</v>
      </c>
      <c r="K1885" s="21" t="s">
        <v>1205</v>
      </c>
      <c r="L1885" s="21" t="s">
        <v>1195</v>
      </c>
      <c r="M1885" t="s">
        <v>1196</v>
      </c>
      <c r="N1885" t="s">
        <v>159</v>
      </c>
      <c r="R1885" t="s">
        <v>3032</v>
      </c>
      <c r="S1885" t="s">
        <v>1204</v>
      </c>
      <c r="T1885" t="s">
        <v>45</v>
      </c>
      <c r="U1885" t="s">
        <v>46</v>
      </c>
      <c r="V1885" t="s">
        <v>1199</v>
      </c>
      <c r="W1885" t="s">
        <v>1206</v>
      </c>
    </row>
    <row r="1886" spans="1:23" ht="15" customHeight="1" x14ac:dyDescent="0.3">
      <c r="A1886" t="s">
        <v>8</v>
      </c>
      <c r="B1886">
        <v>20</v>
      </c>
      <c r="C1886" t="s">
        <v>1142</v>
      </c>
      <c r="D1886" t="s">
        <v>1191</v>
      </c>
      <c r="E1886" t="s">
        <v>34</v>
      </c>
      <c r="F1886" t="s">
        <v>1192</v>
      </c>
      <c r="G1886" t="s">
        <v>440</v>
      </c>
      <c r="H1886" t="s">
        <v>57</v>
      </c>
      <c r="I1886" t="s">
        <v>1191</v>
      </c>
      <c r="J1886" t="s">
        <v>1204</v>
      </c>
      <c r="K1886" s="21" t="s">
        <v>1205</v>
      </c>
      <c r="L1886" s="21" t="s">
        <v>1195</v>
      </c>
      <c r="M1886" t="s">
        <v>1196</v>
      </c>
      <c r="N1886" t="s">
        <v>159</v>
      </c>
      <c r="R1886" t="s">
        <v>3033</v>
      </c>
      <c r="S1886" t="s">
        <v>1204</v>
      </c>
      <c r="T1886" t="s">
        <v>45</v>
      </c>
      <c r="U1886" t="s">
        <v>46</v>
      </c>
      <c r="V1886" t="s">
        <v>1199</v>
      </c>
      <c r="W1886" t="s">
        <v>1206</v>
      </c>
    </row>
    <row r="1887" spans="1:23" ht="15" customHeight="1" x14ac:dyDescent="0.3">
      <c r="A1887" t="s">
        <v>8</v>
      </c>
      <c r="B1887">
        <v>20</v>
      </c>
      <c r="C1887" t="s">
        <v>1142</v>
      </c>
      <c r="D1887" t="s">
        <v>1191</v>
      </c>
      <c r="E1887" t="s">
        <v>34</v>
      </c>
      <c r="F1887" t="s">
        <v>1192</v>
      </c>
      <c r="G1887" t="s">
        <v>440</v>
      </c>
      <c r="H1887" t="s">
        <v>57</v>
      </c>
      <c r="I1887" t="s">
        <v>1191</v>
      </c>
      <c r="J1887" t="s">
        <v>1204</v>
      </c>
      <c r="K1887" s="21" t="s">
        <v>1205</v>
      </c>
      <c r="L1887" s="21" t="s">
        <v>1195</v>
      </c>
      <c r="M1887" t="s">
        <v>1196</v>
      </c>
      <c r="N1887" t="s">
        <v>159</v>
      </c>
      <c r="R1887" t="s">
        <v>3034</v>
      </c>
      <c r="S1887" t="s">
        <v>1204</v>
      </c>
      <c r="T1887" t="s">
        <v>45</v>
      </c>
      <c r="U1887" t="s">
        <v>46</v>
      </c>
      <c r="V1887" t="s">
        <v>1199</v>
      </c>
      <c r="W1887" t="s">
        <v>1206</v>
      </c>
    </row>
    <row r="1888" spans="1:23" ht="15" customHeight="1" x14ac:dyDescent="0.3">
      <c r="A1888" t="s">
        <v>8</v>
      </c>
      <c r="B1888">
        <v>20</v>
      </c>
      <c r="C1888" t="s">
        <v>1142</v>
      </c>
      <c r="D1888" t="s">
        <v>1191</v>
      </c>
      <c r="E1888" t="s">
        <v>34</v>
      </c>
      <c r="F1888" t="s">
        <v>1192</v>
      </c>
      <c r="G1888" t="s">
        <v>440</v>
      </c>
      <c r="H1888" t="s">
        <v>49</v>
      </c>
      <c r="I1888" t="s">
        <v>1191</v>
      </c>
      <c r="J1888" t="s">
        <v>1207</v>
      </c>
      <c r="K1888" s="21" t="s">
        <v>1208</v>
      </c>
      <c r="L1888" s="21" t="s">
        <v>1195</v>
      </c>
      <c r="M1888" t="s">
        <v>1196</v>
      </c>
      <c r="N1888" t="s">
        <v>159</v>
      </c>
      <c r="R1888" t="s">
        <v>3029</v>
      </c>
      <c r="S1888" t="s">
        <v>1207</v>
      </c>
      <c r="T1888" t="s">
        <v>45</v>
      </c>
      <c r="U1888" t="s">
        <v>46</v>
      </c>
      <c r="V1888" t="s">
        <v>1199</v>
      </c>
      <c r="W1888" t="s">
        <v>1209</v>
      </c>
    </row>
    <row r="1889" spans="1:23" ht="15" customHeight="1" x14ac:dyDescent="0.3">
      <c r="A1889" t="s">
        <v>8</v>
      </c>
      <c r="B1889">
        <v>20</v>
      </c>
      <c r="C1889" t="s">
        <v>1142</v>
      </c>
      <c r="D1889" t="s">
        <v>1191</v>
      </c>
      <c r="E1889" t="s">
        <v>34</v>
      </c>
      <c r="F1889" t="s">
        <v>1192</v>
      </c>
      <c r="G1889" t="s">
        <v>440</v>
      </c>
      <c r="H1889" t="s">
        <v>49</v>
      </c>
      <c r="I1889" t="s">
        <v>1191</v>
      </c>
      <c r="J1889" t="s">
        <v>1207</v>
      </c>
      <c r="K1889" s="21" t="s">
        <v>1208</v>
      </c>
      <c r="L1889" s="21" t="s">
        <v>1195</v>
      </c>
      <c r="M1889" t="s">
        <v>1196</v>
      </c>
      <c r="N1889" t="s">
        <v>159</v>
      </c>
      <c r="R1889" t="s">
        <v>3030</v>
      </c>
      <c r="S1889" t="s">
        <v>1207</v>
      </c>
      <c r="T1889" t="s">
        <v>45</v>
      </c>
      <c r="U1889" t="s">
        <v>46</v>
      </c>
      <c r="V1889" t="s">
        <v>1199</v>
      </c>
      <c r="W1889" t="s">
        <v>1209</v>
      </c>
    </row>
    <row r="1890" spans="1:23" ht="15" customHeight="1" x14ac:dyDescent="0.3">
      <c r="A1890" t="s">
        <v>8</v>
      </c>
      <c r="B1890">
        <v>20</v>
      </c>
      <c r="C1890" t="s">
        <v>1142</v>
      </c>
      <c r="D1890" t="s">
        <v>1191</v>
      </c>
      <c r="E1890" t="s">
        <v>34</v>
      </c>
      <c r="F1890" t="s">
        <v>1192</v>
      </c>
      <c r="G1890" t="s">
        <v>440</v>
      </c>
      <c r="H1890" t="s">
        <v>49</v>
      </c>
      <c r="I1890" t="s">
        <v>1191</v>
      </c>
      <c r="J1890" t="s">
        <v>1207</v>
      </c>
      <c r="K1890" s="21" t="s">
        <v>1208</v>
      </c>
      <c r="L1890" s="21" t="s">
        <v>1195</v>
      </c>
      <c r="M1890" t="s">
        <v>1196</v>
      </c>
      <c r="N1890" t="s">
        <v>159</v>
      </c>
      <c r="R1890" t="s">
        <v>3031</v>
      </c>
      <c r="S1890" t="s">
        <v>1207</v>
      </c>
      <c r="T1890" t="s">
        <v>45</v>
      </c>
      <c r="U1890" t="s">
        <v>46</v>
      </c>
      <c r="V1890" t="s">
        <v>1199</v>
      </c>
      <c r="W1890" t="s">
        <v>1209</v>
      </c>
    </row>
    <row r="1891" spans="1:23" ht="15" customHeight="1" x14ac:dyDescent="0.3">
      <c r="A1891" t="s">
        <v>8</v>
      </c>
      <c r="B1891">
        <v>20</v>
      </c>
      <c r="C1891" t="s">
        <v>1142</v>
      </c>
      <c r="D1891" t="s">
        <v>1191</v>
      </c>
      <c r="E1891" t="s">
        <v>34</v>
      </c>
      <c r="F1891" t="s">
        <v>1192</v>
      </c>
      <c r="G1891" t="s">
        <v>440</v>
      </c>
      <c r="H1891" t="s">
        <v>49</v>
      </c>
      <c r="I1891" t="s">
        <v>1191</v>
      </c>
      <c r="J1891" t="s">
        <v>1207</v>
      </c>
      <c r="K1891" s="21" t="s">
        <v>1208</v>
      </c>
      <c r="L1891" s="21" t="s">
        <v>1195</v>
      </c>
      <c r="M1891" t="s">
        <v>1196</v>
      </c>
      <c r="N1891" t="s">
        <v>159</v>
      </c>
      <c r="R1891" t="s">
        <v>3032</v>
      </c>
      <c r="S1891" t="s">
        <v>1207</v>
      </c>
      <c r="T1891" t="s">
        <v>45</v>
      </c>
      <c r="U1891" t="s">
        <v>46</v>
      </c>
      <c r="V1891" t="s">
        <v>1199</v>
      </c>
      <c r="W1891" t="s">
        <v>1209</v>
      </c>
    </row>
    <row r="1892" spans="1:23" ht="15" customHeight="1" x14ac:dyDescent="0.3">
      <c r="A1892" t="s">
        <v>8</v>
      </c>
      <c r="B1892">
        <v>20</v>
      </c>
      <c r="C1892" t="s">
        <v>1142</v>
      </c>
      <c r="D1892" t="s">
        <v>1191</v>
      </c>
      <c r="E1892" t="s">
        <v>34</v>
      </c>
      <c r="F1892" t="s">
        <v>1192</v>
      </c>
      <c r="G1892" t="s">
        <v>440</v>
      </c>
      <c r="H1892" t="s">
        <v>49</v>
      </c>
      <c r="I1892" t="s">
        <v>1191</v>
      </c>
      <c r="J1892" t="s">
        <v>1207</v>
      </c>
      <c r="K1892" s="21" t="s">
        <v>1208</v>
      </c>
      <c r="L1892" s="21" t="s">
        <v>1195</v>
      </c>
      <c r="M1892" t="s">
        <v>1196</v>
      </c>
      <c r="N1892" t="s">
        <v>159</v>
      </c>
      <c r="R1892" t="s">
        <v>3033</v>
      </c>
      <c r="S1892" t="s">
        <v>1207</v>
      </c>
      <c r="T1892" t="s">
        <v>45</v>
      </c>
      <c r="U1892" t="s">
        <v>46</v>
      </c>
      <c r="V1892" t="s">
        <v>1199</v>
      </c>
      <c r="W1892" t="s">
        <v>1209</v>
      </c>
    </row>
    <row r="1893" spans="1:23" ht="15" customHeight="1" x14ac:dyDescent="0.3">
      <c r="A1893" t="s">
        <v>8</v>
      </c>
      <c r="B1893">
        <v>20</v>
      </c>
      <c r="C1893" t="s">
        <v>1142</v>
      </c>
      <c r="D1893" t="s">
        <v>1191</v>
      </c>
      <c r="E1893" t="s">
        <v>34</v>
      </c>
      <c r="F1893" t="s">
        <v>1192</v>
      </c>
      <c r="G1893" t="s">
        <v>440</v>
      </c>
      <c r="H1893" t="s">
        <v>49</v>
      </c>
      <c r="I1893" t="s">
        <v>1191</v>
      </c>
      <c r="J1893" t="s">
        <v>1207</v>
      </c>
      <c r="K1893" s="21" t="s">
        <v>1208</v>
      </c>
      <c r="L1893" s="21" t="s">
        <v>1195</v>
      </c>
      <c r="M1893" t="s">
        <v>1196</v>
      </c>
      <c r="N1893" t="s">
        <v>159</v>
      </c>
      <c r="R1893" t="s">
        <v>3034</v>
      </c>
      <c r="S1893" t="s">
        <v>1207</v>
      </c>
      <c r="T1893" t="s">
        <v>45</v>
      </c>
      <c r="U1893" t="s">
        <v>46</v>
      </c>
      <c r="V1893" t="s">
        <v>1199</v>
      </c>
      <c r="W1893" t="s">
        <v>1209</v>
      </c>
    </row>
    <row r="1894" spans="1:23" ht="15" customHeight="1" x14ac:dyDescent="0.3">
      <c r="A1894" t="s">
        <v>8</v>
      </c>
      <c r="B1894">
        <v>20</v>
      </c>
      <c r="C1894" t="s">
        <v>1142</v>
      </c>
      <c r="D1894" t="s">
        <v>1191</v>
      </c>
      <c r="E1894" t="s">
        <v>34</v>
      </c>
      <c r="F1894" t="s">
        <v>1192</v>
      </c>
      <c r="G1894" t="s">
        <v>440</v>
      </c>
      <c r="H1894" t="s">
        <v>87</v>
      </c>
      <c r="I1894" t="s">
        <v>1191</v>
      </c>
      <c r="J1894" t="s">
        <v>1210</v>
      </c>
      <c r="K1894" s="21" t="s">
        <v>1211</v>
      </c>
      <c r="L1894" s="21" t="s">
        <v>1195</v>
      </c>
      <c r="M1894" t="s">
        <v>1196</v>
      </c>
      <c r="N1894" t="s">
        <v>159</v>
      </c>
      <c r="R1894" t="s">
        <v>3029</v>
      </c>
      <c r="S1894" t="s">
        <v>1210</v>
      </c>
      <c r="T1894" t="s">
        <v>45</v>
      </c>
      <c r="U1894" t="s">
        <v>46</v>
      </c>
      <c r="V1894" t="s">
        <v>1199</v>
      </c>
      <c r="W1894" t="s">
        <v>1212</v>
      </c>
    </row>
    <row r="1895" spans="1:23" ht="15" customHeight="1" x14ac:dyDescent="0.3">
      <c r="A1895" t="s">
        <v>8</v>
      </c>
      <c r="B1895">
        <v>20</v>
      </c>
      <c r="C1895" t="s">
        <v>1142</v>
      </c>
      <c r="D1895" t="s">
        <v>1191</v>
      </c>
      <c r="E1895" t="s">
        <v>34</v>
      </c>
      <c r="F1895" t="s">
        <v>1192</v>
      </c>
      <c r="G1895" t="s">
        <v>440</v>
      </c>
      <c r="H1895" t="s">
        <v>87</v>
      </c>
      <c r="I1895" t="s">
        <v>1191</v>
      </c>
      <c r="J1895" t="s">
        <v>1210</v>
      </c>
      <c r="K1895" s="21" t="s">
        <v>1211</v>
      </c>
      <c r="L1895" s="21" t="s">
        <v>1195</v>
      </c>
      <c r="M1895" t="s">
        <v>1196</v>
      </c>
      <c r="N1895" t="s">
        <v>159</v>
      </c>
      <c r="R1895" t="s">
        <v>3030</v>
      </c>
      <c r="S1895" t="s">
        <v>1210</v>
      </c>
      <c r="T1895" t="s">
        <v>45</v>
      </c>
      <c r="U1895" t="s">
        <v>46</v>
      </c>
      <c r="V1895" t="s">
        <v>1199</v>
      </c>
      <c r="W1895" t="s">
        <v>1212</v>
      </c>
    </row>
    <row r="1896" spans="1:23" ht="15" customHeight="1" x14ac:dyDescent="0.3">
      <c r="A1896" t="s">
        <v>8</v>
      </c>
      <c r="B1896">
        <v>20</v>
      </c>
      <c r="C1896" t="s">
        <v>1142</v>
      </c>
      <c r="D1896" t="s">
        <v>1191</v>
      </c>
      <c r="E1896" t="s">
        <v>34</v>
      </c>
      <c r="F1896" t="s">
        <v>1192</v>
      </c>
      <c r="G1896" t="s">
        <v>440</v>
      </c>
      <c r="H1896" t="s">
        <v>87</v>
      </c>
      <c r="I1896" t="s">
        <v>1191</v>
      </c>
      <c r="J1896" t="s">
        <v>1210</v>
      </c>
      <c r="K1896" s="21" t="s">
        <v>1211</v>
      </c>
      <c r="L1896" s="21" t="s">
        <v>1195</v>
      </c>
      <c r="M1896" t="s">
        <v>1196</v>
      </c>
      <c r="N1896" t="s">
        <v>159</v>
      </c>
      <c r="R1896" t="s">
        <v>3031</v>
      </c>
      <c r="S1896" t="s">
        <v>1210</v>
      </c>
      <c r="T1896" t="s">
        <v>45</v>
      </c>
      <c r="U1896" t="s">
        <v>46</v>
      </c>
      <c r="V1896" t="s">
        <v>1199</v>
      </c>
      <c r="W1896" t="s">
        <v>1212</v>
      </c>
    </row>
    <row r="1897" spans="1:23" ht="15" customHeight="1" x14ac:dyDescent="0.3">
      <c r="A1897" t="s">
        <v>8</v>
      </c>
      <c r="B1897">
        <v>20</v>
      </c>
      <c r="C1897" t="s">
        <v>1142</v>
      </c>
      <c r="D1897" t="s">
        <v>1191</v>
      </c>
      <c r="E1897" t="s">
        <v>34</v>
      </c>
      <c r="F1897" t="s">
        <v>1192</v>
      </c>
      <c r="G1897" t="s">
        <v>440</v>
      </c>
      <c r="H1897" t="s">
        <v>87</v>
      </c>
      <c r="I1897" t="s">
        <v>1191</v>
      </c>
      <c r="J1897" t="s">
        <v>1210</v>
      </c>
      <c r="K1897" s="21" t="s">
        <v>1211</v>
      </c>
      <c r="L1897" s="21" t="s">
        <v>1195</v>
      </c>
      <c r="M1897" t="s">
        <v>1196</v>
      </c>
      <c r="N1897" t="s">
        <v>159</v>
      </c>
      <c r="R1897" t="s">
        <v>3032</v>
      </c>
      <c r="S1897" t="s">
        <v>1210</v>
      </c>
      <c r="T1897" t="s">
        <v>45</v>
      </c>
      <c r="U1897" t="s">
        <v>46</v>
      </c>
      <c r="V1897" t="s">
        <v>1199</v>
      </c>
      <c r="W1897" t="s">
        <v>1212</v>
      </c>
    </row>
    <row r="1898" spans="1:23" ht="15" customHeight="1" x14ac:dyDescent="0.3">
      <c r="A1898" t="s">
        <v>8</v>
      </c>
      <c r="B1898">
        <v>20</v>
      </c>
      <c r="C1898" t="s">
        <v>1142</v>
      </c>
      <c r="D1898" t="s">
        <v>1191</v>
      </c>
      <c r="E1898" t="s">
        <v>34</v>
      </c>
      <c r="F1898" t="s">
        <v>1192</v>
      </c>
      <c r="G1898" t="s">
        <v>440</v>
      </c>
      <c r="H1898" t="s">
        <v>87</v>
      </c>
      <c r="I1898" t="s">
        <v>1191</v>
      </c>
      <c r="J1898" t="s">
        <v>1210</v>
      </c>
      <c r="K1898" s="21" t="s">
        <v>1211</v>
      </c>
      <c r="L1898" s="21" t="s">
        <v>1195</v>
      </c>
      <c r="M1898" t="s">
        <v>1196</v>
      </c>
      <c r="N1898" t="s">
        <v>159</v>
      </c>
      <c r="R1898" t="s">
        <v>3033</v>
      </c>
      <c r="S1898" t="s">
        <v>1210</v>
      </c>
      <c r="T1898" t="s">
        <v>45</v>
      </c>
      <c r="U1898" t="s">
        <v>46</v>
      </c>
      <c r="V1898" t="s">
        <v>1199</v>
      </c>
      <c r="W1898" t="s">
        <v>1212</v>
      </c>
    </row>
    <row r="1899" spans="1:23" ht="15" customHeight="1" x14ac:dyDescent="0.3">
      <c r="A1899" t="s">
        <v>8</v>
      </c>
      <c r="B1899">
        <v>20</v>
      </c>
      <c r="C1899" t="s">
        <v>1142</v>
      </c>
      <c r="D1899" t="s">
        <v>1191</v>
      </c>
      <c r="E1899" t="s">
        <v>34</v>
      </c>
      <c r="F1899" t="s">
        <v>1192</v>
      </c>
      <c r="G1899" t="s">
        <v>440</v>
      </c>
      <c r="H1899" t="s">
        <v>87</v>
      </c>
      <c r="I1899" t="s">
        <v>1191</v>
      </c>
      <c r="J1899" t="s">
        <v>1210</v>
      </c>
      <c r="K1899" s="21" t="s">
        <v>1211</v>
      </c>
      <c r="L1899" s="21" t="s">
        <v>1195</v>
      </c>
      <c r="M1899" t="s">
        <v>1196</v>
      </c>
      <c r="N1899" t="s">
        <v>159</v>
      </c>
      <c r="R1899" t="s">
        <v>3034</v>
      </c>
      <c r="S1899" t="s">
        <v>1210</v>
      </c>
      <c r="T1899" t="s">
        <v>45</v>
      </c>
      <c r="U1899" t="s">
        <v>46</v>
      </c>
      <c r="V1899" t="s">
        <v>1199</v>
      </c>
      <c r="W1899" t="s">
        <v>1212</v>
      </c>
    </row>
    <row r="1900" spans="1:23" ht="15" customHeight="1" x14ac:dyDescent="0.3">
      <c r="A1900" t="s">
        <v>8</v>
      </c>
      <c r="B1900">
        <v>20</v>
      </c>
      <c r="C1900" t="s">
        <v>1142</v>
      </c>
      <c r="D1900" t="s">
        <v>1191</v>
      </c>
      <c r="E1900" t="s">
        <v>34</v>
      </c>
      <c r="F1900" t="s">
        <v>1192</v>
      </c>
      <c r="G1900" t="s">
        <v>440</v>
      </c>
      <c r="H1900" t="s">
        <v>421</v>
      </c>
      <c r="I1900" t="s">
        <v>1191</v>
      </c>
      <c r="J1900" t="s">
        <v>1213</v>
      </c>
      <c r="K1900" s="21" t="s">
        <v>1214</v>
      </c>
      <c r="L1900" s="21" t="s">
        <v>1195</v>
      </c>
      <c r="M1900" t="s">
        <v>1196</v>
      </c>
      <c r="N1900" t="s">
        <v>159</v>
      </c>
      <c r="R1900" t="s">
        <v>3029</v>
      </c>
      <c r="S1900" t="s">
        <v>1213</v>
      </c>
      <c r="T1900" t="s">
        <v>45</v>
      </c>
      <c r="U1900" t="s">
        <v>46</v>
      </c>
      <c r="V1900" t="s">
        <v>1199</v>
      </c>
      <c r="W1900" t="s">
        <v>1215</v>
      </c>
    </row>
    <row r="1901" spans="1:23" ht="15" customHeight="1" x14ac:dyDescent="0.3">
      <c r="A1901" t="s">
        <v>8</v>
      </c>
      <c r="B1901">
        <v>20</v>
      </c>
      <c r="C1901" t="s">
        <v>1142</v>
      </c>
      <c r="D1901" t="s">
        <v>1191</v>
      </c>
      <c r="E1901" t="s">
        <v>34</v>
      </c>
      <c r="F1901" t="s">
        <v>1192</v>
      </c>
      <c r="G1901" t="s">
        <v>440</v>
      </c>
      <c r="H1901" t="s">
        <v>421</v>
      </c>
      <c r="I1901" t="s">
        <v>1191</v>
      </c>
      <c r="J1901" t="s">
        <v>1213</v>
      </c>
      <c r="K1901" s="21" t="s">
        <v>1214</v>
      </c>
      <c r="L1901" s="21" t="s">
        <v>1195</v>
      </c>
      <c r="M1901" t="s">
        <v>1196</v>
      </c>
      <c r="N1901" t="s">
        <v>159</v>
      </c>
      <c r="R1901" t="s">
        <v>3030</v>
      </c>
      <c r="S1901" t="s">
        <v>1213</v>
      </c>
      <c r="T1901" t="s">
        <v>45</v>
      </c>
      <c r="U1901" t="s">
        <v>46</v>
      </c>
      <c r="V1901" t="s">
        <v>1199</v>
      </c>
      <c r="W1901" t="s">
        <v>1215</v>
      </c>
    </row>
    <row r="1902" spans="1:23" ht="15" customHeight="1" x14ac:dyDescent="0.3">
      <c r="A1902" t="s">
        <v>8</v>
      </c>
      <c r="B1902">
        <v>20</v>
      </c>
      <c r="C1902" t="s">
        <v>1142</v>
      </c>
      <c r="D1902" t="s">
        <v>1191</v>
      </c>
      <c r="E1902" t="s">
        <v>34</v>
      </c>
      <c r="F1902" t="s">
        <v>1192</v>
      </c>
      <c r="G1902" t="s">
        <v>440</v>
      </c>
      <c r="H1902" t="s">
        <v>421</v>
      </c>
      <c r="I1902" t="s">
        <v>1191</v>
      </c>
      <c r="J1902" t="s">
        <v>1213</v>
      </c>
      <c r="K1902" s="21" t="s">
        <v>1214</v>
      </c>
      <c r="L1902" s="21" t="s">
        <v>1195</v>
      </c>
      <c r="M1902" t="s">
        <v>1196</v>
      </c>
      <c r="N1902" t="s">
        <v>159</v>
      </c>
      <c r="R1902" t="s">
        <v>3031</v>
      </c>
      <c r="S1902" t="s">
        <v>1213</v>
      </c>
      <c r="T1902" t="s">
        <v>45</v>
      </c>
      <c r="U1902" t="s">
        <v>46</v>
      </c>
      <c r="V1902" t="s">
        <v>1199</v>
      </c>
      <c r="W1902" t="s">
        <v>1215</v>
      </c>
    </row>
    <row r="1903" spans="1:23" ht="15" customHeight="1" x14ac:dyDescent="0.3">
      <c r="A1903" t="s">
        <v>8</v>
      </c>
      <c r="B1903">
        <v>20</v>
      </c>
      <c r="C1903" t="s">
        <v>1142</v>
      </c>
      <c r="D1903" t="s">
        <v>1191</v>
      </c>
      <c r="E1903" t="s">
        <v>34</v>
      </c>
      <c r="F1903" t="s">
        <v>1192</v>
      </c>
      <c r="G1903" t="s">
        <v>440</v>
      </c>
      <c r="H1903" t="s">
        <v>421</v>
      </c>
      <c r="I1903" t="s">
        <v>1191</v>
      </c>
      <c r="J1903" t="s">
        <v>1213</v>
      </c>
      <c r="K1903" s="21" t="s">
        <v>1214</v>
      </c>
      <c r="L1903" s="21" t="s">
        <v>1195</v>
      </c>
      <c r="M1903" t="s">
        <v>1196</v>
      </c>
      <c r="N1903" t="s">
        <v>159</v>
      </c>
      <c r="R1903" t="s">
        <v>3032</v>
      </c>
      <c r="S1903" t="s">
        <v>1213</v>
      </c>
      <c r="T1903" t="s">
        <v>45</v>
      </c>
      <c r="U1903" t="s">
        <v>46</v>
      </c>
      <c r="V1903" t="s">
        <v>1199</v>
      </c>
      <c r="W1903" t="s">
        <v>1215</v>
      </c>
    </row>
    <row r="1904" spans="1:23" ht="15" customHeight="1" x14ac:dyDescent="0.3">
      <c r="A1904" t="s">
        <v>8</v>
      </c>
      <c r="B1904">
        <v>20</v>
      </c>
      <c r="C1904" t="s">
        <v>1142</v>
      </c>
      <c r="D1904" t="s">
        <v>1191</v>
      </c>
      <c r="E1904" t="s">
        <v>34</v>
      </c>
      <c r="F1904" t="s">
        <v>1192</v>
      </c>
      <c r="G1904" t="s">
        <v>440</v>
      </c>
      <c r="H1904" t="s">
        <v>421</v>
      </c>
      <c r="I1904" t="s">
        <v>1191</v>
      </c>
      <c r="J1904" t="s">
        <v>1213</v>
      </c>
      <c r="K1904" s="21" t="s">
        <v>1214</v>
      </c>
      <c r="L1904" s="21" t="s">
        <v>1195</v>
      </c>
      <c r="M1904" t="s">
        <v>1196</v>
      </c>
      <c r="N1904" t="s">
        <v>159</v>
      </c>
      <c r="R1904" t="s">
        <v>3033</v>
      </c>
      <c r="S1904" t="s">
        <v>1213</v>
      </c>
      <c r="T1904" t="s">
        <v>45</v>
      </c>
      <c r="U1904" t="s">
        <v>46</v>
      </c>
      <c r="V1904" t="s">
        <v>1199</v>
      </c>
      <c r="W1904" t="s">
        <v>1215</v>
      </c>
    </row>
    <row r="1905" spans="1:23" ht="15" customHeight="1" x14ac:dyDescent="0.3">
      <c r="A1905" t="s">
        <v>8</v>
      </c>
      <c r="B1905">
        <v>20</v>
      </c>
      <c r="C1905" t="s">
        <v>1142</v>
      </c>
      <c r="D1905" t="s">
        <v>1191</v>
      </c>
      <c r="E1905" t="s">
        <v>34</v>
      </c>
      <c r="F1905" t="s">
        <v>1192</v>
      </c>
      <c r="G1905" t="s">
        <v>440</v>
      </c>
      <c r="H1905" t="s">
        <v>421</v>
      </c>
      <c r="I1905" t="s">
        <v>1191</v>
      </c>
      <c r="J1905" t="s">
        <v>1213</v>
      </c>
      <c r="K1905" s="21" t="s">
        <v>1214</v>
      </c>
      <c r="L1905" s="21" t="s">
        <v>1195</v>
      </c>
      <c r="M1905" t="s">
        <v>1196</v>
      </c>
      <c r="N1905" t="s">
        <v>159</v>
      </c>
      <c r="R1905" t="s">
        <v>3034</v>
      </c>
      <c r="S1905" t="s">
        <v>1213</v>
      </c>
      <c r="T1905" t="s">
        <v>45</v>
      </c>
      <c r="U1905" t="s">
        <v>46</v>
      </c>
      <c r="V1905" t="s">
        <v>1199</v>
      </c>
      <c r="W1905" t="s">
        <v>1215</v>
      </c>
    </row>
    <row r="1906" spans="1:23" ht="15" customHeight="1" x14ac:dyDescent="0.3">
      <c r="A1906" t="s">
        <v>8</v>
      </c>
      <c r="B1906">
        <v>20</v>
      </c>
      <c r="C1906" t="s">
        <v>1142</v>
      </c>
      <c r="D1906" t="s">
        <v>1191</v>
      </c>
      <c r="E1906" t="s">
        <v>34</v>
      </c>
      <c r="F1906" t="s">
        <v>1192</v>
      </c>
      <c r="G1906" t="s">
        <v>440</v>
      </c>
      <c r="H1906" t="s">
        <v>182</v>
      </c>
      <c r="I1906" t="s">
        <v>1191</v>
      </c>
      <c r="J1906" t="s">
        <v>3035</v>
      </c>
      <c r="K1906" s="21" t="s">
        <v>3036</v>
      </c>
      <c r="L1906" s="21" t="s">
        <v>1195</v>
      </c>
      <c r="M1906" t="s">
        <v>1196</v>
      </c>
      <c r="N1906" t="s">
        <v>159</v>
      </c>
      <c r="R1906" t="s">
        <v>3029</v>
      </c>
      <c r="S1906" t="s">
        <v>3035</v>
      </c>
      <c r="T1906" t="s">
        <v>45</v>
      </c>
      <c r="U1906" t="s">
        <v>1486</v>
      </c>
      <c r="V1906" t="s">
        <v>1199</v>
      </c>
      <c r="W1906" t="s">
        <v>3037</v>
      </c>
    </row>
    <row r="1907" spans="1:23" ht="15" customHeight="1" x14ac:dyDescent="0.3">
      <c r="A1907" t="s">
        <v>8</v>
      </c>
      <c r="B1907">
        <v>20</v>
      </c>
      <c r="C1907" t="s">
        <v>1142</v>
      </c>
      <c r="D1907" t="s">
        <v>1191</v>
      </c>
      <c r="E1907" t="s">
        <v>34</v>
      </c>
      <c r="F1907" t="s">
        <v>1192</v>
      </c>
      <c r="G1907" t="s">
        <v>440</v>
      </c>
      <c r="H1907" t="s">
        <v>182</v>
      </c>
      <c r="I1907" t="s">
        <v>1191</v>
      </c>
      <c r="J1907" t="s">
        <v>3035</v>
      </c>
      <c r="K1907" s="21" t="s">
        <v>3036</v>
      </c>
      <c r="L1907" s="21" t="s">
        <v>1195</v>
      </c>
      <c r="M1907" t="s">
        <v>1196</v>
      </c>
      <c r="N1907" t="s">
        <v>159</v>
      </c>
      <c r="R1907" t="s">
        <v>3030</v>
      </c>
      <c r="S1907" t="s">
        <v>3035</v>
      </c>
      <c r="T1907" t="s">
        <v>45</v>
      </c>
      <c r="U1907" t="s">
        <v>1486</v>
      </c>
      <c r="V1907" t="s">
        <v>1199</v>
      </c>
      <c r="W1907" t="s">
        <v>3037</v>
      </c>
    </row>
    <row r="1908" spans="1:23" ht="15" customHeight="1" x14ac:dyDescent="0.3">
      <c r="A1908" t="s">
        <v>8</v>
      </c>
      <c r="B1908">
        <v>20</v>
      </c>
      <c r="C1908" t="s">
        <v>1142</v>
      </c>
      <c r="D1908" t="s">
        <v>1191</v>
      </c>
      <c r="E1908" t="s">
        <v>34</v>
      </c>
      <c r="F1908" t="s">
        <v>1192</v>
      </c>
      <c r="G1908" t="s">
        <v>440</v>
      </c>
      <c r="H1908" t="s">
        <v>182</v>
      </c>
      <c r="I1908" t="s">
        <v>1191</v>
      </c>
      <c r="J1908" t="s">
        <v>3035</v>
      </c>
      <c r="K1908" s="21" t="s">
        <v>3036</v>
      </c>
      <c r="L1908" s="21" t="s">
        <v>1195</v>
      </c>
      <c r="M1908" t="s">
        <v>1196</v>
      </c>
      <c r="N1908" t="s">
        <v>159</v>
      </c>
      <c r="R1908" t="s">
        <v>3031</v>
      </c>
      <c r="S1908" t="s">
        <v>3035</v>
      </c>
      <c r="T1908" t="s">
        <v>45</v>
      </c>
      <c r="U1908" t="s">
        <v>1486</v>
      </c>
      <c r="V1908" t="s">
        <v>1199</v>
      </c>
      <c r="W1908" t="s">
        <v>3037</v>
      </c>
    </row>
    <row r="1909" spans="1:23" ht="15" customHeight="1" x14ac:dyDescent="0.3">
      <c r="A1909" t="s">
        <v>8</v>
      </c>
      <c r="B1909">
        <v>20</v>
      </c>
      <c r="C1909" t="s">
        <v>1142</v>
      </c>
      <c r="D1909" t="s">
        <v>1191</v>
      </c>
      <c r="E1909" t="s">
        <v>34</v>
      </c>
      <c r="F1909" t="s">
        <v>1192</v>
      </c>
      <c r="G1909" t="s">
        <v>440</v>
      </c>
      <c r="H1909" t="s">
        <v>182</v>
      </c>
      <c r="I1909" t="s">
        <v>1191</v>
      </c>
      <c r="J1909" t="s">
        <v>3035</v>
      </c>
      <c r="K1909" s="21" t="s">
        <v>3036</v>
      </c>
      <c r="L1909" s="21" t="s">
        <v>1195</v>
      </c>
      <c r="M1909" t="s">
        <v>1196</v>
      </c>
      <c r="N1909" t="s">
        <v>159</v>
      </c>
      <c r="R1909" t="s">
        <v>3032</v>
      </c>
      <c r="S1909" t="s">
        <v>3035</v>
      </c>
      <c r="T1909" t="s">
        <v>45</v>
      </c>
      <c r="U1909" t="s">
        <v>1486</v>
      </c>
      <c r="V1909" t="s">
        <v>1199</v>
      </c>
      <c r="W1909" t="s">
        <v>3037</v>
      </c>
    </row>
    <row r="1910" spans="1:23" ht="15" customHeight="1" x14ac:dyDescent="0.3">
      <c r="A1910" t="s">
        <v>8</v>
      </c>
      <c r="B1910">
        <v>20</v>
      </c>
      <c r="C1910" t="s">
        <v>1142</v>
      </c>
      <c r="D1910" t="s">
        <v>1191</v>
      </c>
      <c r="E1910" t="s">
        <v>34</v>
      </c>
      <c r="F1910" t="s">
        <v>1192</v>
      </c>
      <c r="G1910" t="s">
        <v>440</v>
      </c>
      <c r="H1910" t="s">
        <v>182</v>
      </c>
      <c r="I1910" t="s">
        <v>1191</v>
      </c>
      <c r="J1910" t="s">
        <v>3035</v>
      </c>
      <c r="K1910" s="21" t="s">
        <v>3036</v>
      </c>
      <c r="L1910" s="21" t="s">
        <v>1195</v>
      </c>
      <c r="M1910" t="s">
        <v>1196</v>
      </c>
      <c r="N1910" t="s">
        <v>159</v>
      </c>
      <c r="R1910" t="s">
        <v>3033</v>
      </c>
      <c r="S1910" t="s">
        <v>3035</v>
      </c>
      <c r="T1910" t="s">
        <v>45</v>
      </c>
      <c r="U1910" t="s">
        <v>1486</v>
      </c>
      <c r="V1910" t="s">
        <v>1199</v>
      </c>
      <c r="W1910" t="s">
        <v>3037</v>
      </c>
    </row>
    <row r="1911" spans="1:23" ht="15" customHeight="1" x14ac:dyDescent="0.3">
      <c r="A1911" t="s">
        <v>8</v>
      </c>
      <c r="B1911">
        <v>20</v>
      </c>
      <c r="C1911" t="s">
        <v>1142</v>
      </c>
      <c r="D1911" t="s">
        <v>1191</v>
      </c>
      <c r="E1911" t="s">
        <v>34</v>
      </c>
      <c r="F1911" t="s">
        <v>1192</v>
      </c>
      <c r="G1911" t="s">
        <v>440</v>
      </c>
      <c r="H1911" t="s">
        <v>182</v>
      </c>
      <c r="I1911" t="s">
        <v>1191</v>
      </c>
      <c r="J1911" t="s">
        <v>3035</v>
      </c>
      <c r="K1911" s="21" t="s">
        <v>3036</v>
      </c>
      <c r="L1911" s="21" t="s">
        <v>1195</v>
      </c>
      <c r="M1911" t="s">
        <v>1196</v>
      </c>
      <c r="N1911" t="s">
        <v>159</v>
      </c>
      <c r="R1911" t="s">
        <v>3034</v>
      </c>
      <c r="S1911" t="s">
        <v>3035</v>
      </c>
      <c r="T1911" t="s">
        <v>45</v>
      </c>
      <c r="U1911" t="s">
        <v>1486</v>
      </c>
      <c r="V1911" t="s">
        <v>1199</v>
      </c>
      <c r="W1911" t="s">
        <v>3037</v>
      </c>
    </row>
    <row r="1912" spans="1:23" ht="15" customHeight="1" x14ac:dyDescent="0.3">
      <c r="A1912" t="s">
        <v>8</v>
      </c>
      <c r="B1912">
        <v>20</v>
      </c>
      <c r="C1912" t="s">
        <v>1142</v>
      </c>
      <c r="D1912" t="s">
        <v>1191</v>
      </c>
      <c r="E1912" t="s">
        <v>34</v>
      </c>
      <c r="F1912" t="s">
        <v>1192</v>
      </c>
      <c r="G1912" t="s">
        <v>440</v>
      </c>
      <c r="H1912" t="s">
        <v>1242</v>
      </c>
      <c r="I1912" t="s">
        <v>1191</v>
      </c>
      <c r="J1912" t="s">
        <v>3038</v>
      </c>
      <c r="K1912" s="21" t="s">
        <v>3039</v>
      </c>
      <c r="L1912" s="21" t="s">
        <v>1195</v>
      </c>
      <c r="M1912" t="s">
        <v>1196</v>
      </c>
      <c r="N1912" t="s">
        <v>159</v>
      </c>
      <c r="R1912" t="s">
        <v>3029</v>
      </c>
      <c r="S1912" t="s">
        <v>3038</v>
      </c>
      <c r="T1912" t="s">
        <v>45</v>
      </c>
      <c r="U1912" t="s">
        <v>1437</v>
      </c>
      <c r="V1912" t="s">
        <v>1199</v>
      </c>
      <c r="W1912" t="s">
        <v>3040</v>
      </c>
    </row>
    <row r="1913" spans="1:23" ht="15" customHeight="1" x14ac:dyDescent="0.3">
      <c r="A1913" t="s">
        <v>8</v>
      </c>
      <c r="B1913">
        <v>20</v>
      </c>
      <c r="C1913" t="s">
        <v>1142</v>
      </c>
      <c r="D1913" t="s">
        <v>1191</v>
      </c>
      <c r="E1913" t="s">
        <v>34</v>
      </c>
      <c r="F1913" t="s">
        <v>1192</v>
      </c>
      <c r="G1913" t="s">
        <v>440</v>
      </c>
      <c r="H1913" t="s">
        <v>1242</v>
      </c>
      <c r="I1913" t="s">
        <v>1191</v>
      </c>
      <c r="J1913" t="s">
        <v>3038</v>
      </c>
      <c r="K1913" s="21" t="s">
        <v>3039</v>
      </c>
      <c r="L1913" s="21" t="s">
        <v>1195</v>
      </c>
      <c r="M1913" t="s">
        <v>1196</v>
      </c>
      <c r="N1913" t="s">
        <v>159</v>
      </c>
      <c r="R1913" t="s">
        <v>3030</v>
      </c>
      <c r="S1913" t="s">
        <v>3038</v>
      </c>
      <c r="T1913" t="s">
        <v>45</v>
      </c>
      <c r="U1913" t="s">
        <v>1437</v>
      </c>
      <c r="V1913" t="s">
        <v>1199</v>
      </c>
      <c r="W1913" t="s">
        <v>3040</v>
      </c>
    </row>
    <row r="1914" spans="1:23" ht="15" customHeight="1" x14ac:dyDescent="0.3">
      <c r="A1914" t="s">
        <v>8</v>
      </c>
      <c r="B1914">
        <v>20</v>
      </c>
      <c r="C1914" t="s">
        <v>1142</v>
      </c>
      <c r="D1914" t="s">
        <v>1191</v>
      </c>
      <c r="E1914" t="s">
        <v>34</v>
      </c>
      <c r="F1914" t="s">
        <v>1192</v>
      </c>
      <c r="G1914" t="s">
        <v>440</v>
      </c>
      <c r="H1914" t="s">
        <v>1242</v>
      </c>
      <c r="I1914" t="s">
        <v>1191</v>
      </c>
      <c r="J1914" t="s">
        <v>3038</v>
      </c>
      <c r="K1914" s="21" t="s">
        <v>3039</v>
      </c>
      <c r="L1914" s="21" t="s">
        <v>1195</v>
      </c>
      <c r="M1914" t="s">
        <v>1196</v>
      </c>
      <c r="N1914" t="s">
        <v>159</v>
      </c>
      <c r="R1914" t="s">
        <v>3031</v>
      </c>
      <c r="S1914" t="s">
        <v>3038</v>
      </c>
      <c r="T1914" t="s">
        <v>45</v>
      </c>
      <c r="U1914" t="s">
        <v>1437</v>
      </c>
      <c r="V1914" t="s">
        <v>1199</v>
      </c>
      <c r="W1914" t="s">
        <v>3040</v>
      </c>
    </row>
    <row r="1915" spans="1:23" ht="15" customHeight="1" x14ac:dyDescent="0.3">
      <c r="A1915" t="s">
        <v>8</v>
      </c>
      <c r="B1915">
        <v>20</v>
      </c>
      <c r="C1915" t="s">
        <v>1142</v>
      </c>
      <c r="D1915" t="s">
        <v>1191</v>
      </c>
      <c r="E1915" t="s">
        <v>34</v>
      </c>
      <c r="F1915" t="s">
        <v>1192</v>
      </c>
      <c r="G1915" t="s">
        <v>440</v>
      </c>
      <c r="H1915" t="s">
        <v>1242</v>
      </c>
      <c r="I1915" t="s">
        <v>1191</v>
      </c>
      <c r="J1915" t="s">
        <v>3038</v>
      </c>
      <c r="K1915" s="21" t="s">
        <v>3039</v>
      </c>
      <c r="L1915" s="21" t="s">
        <v>1195</v>
      </c>
      <c r="M1915" t="s">
        <v>1196</v>
      </c>
      <c r="N1915" t="s">
        <v>159</v>
      </c>
      <c r="R1915" t="s">
        <v>3032</v>
      </c>
      <c r="S1915" t="s">
        <v>3038</v>
      </c>
      <c r="T1915" t="s">
        <v>45</v>
      </c>
      <c r="U1915" t="s">
        <v>1437</v>
      </c>
      <c r="V1915" t="s">
        <v>1199</v>
      </c>
      <c r="W1915" t="s">
        <v>3040</v>
      </c>
    </row>
    <row r="1916" spans="1:23" ht="15" customHeight="1" x14ac:dyDescent="0.3">
      <c r="A1916" t="s">
        <v>8</v>
      </c>
      <c r="B1916">
        <v>20</v>
      </c>
      <c r="C1916" t="s">
        <v>1142</v>
      </c>
      <c r="D1916" t="s">
        <v>1191</v>
      </c>
      <c r="E1916" t="s">
        <v>34</v>
      </c>
      <c r="F1916" t="s">
        <v>1192</v>
      </c>
      <c r="G1916" t="s">
        <v>440</v>
      </c>
      <c r="H1916" t="s">
        <v>1242</v>
      </c>
      <c r="I1916" t="s">
        <v>1191</v>
      </c>
      <c r="J1916" t="s">
        <v>3038</v>
      </c>
      <c r="K1916" s="21" t="s">
        <v>3039</v>
      </c>
      <c r="L1916" s="21" t="s">
        <v>1195</v>
      </c>
      <c r="M1916" t="s">
        <v>1196</v>
      </c>
      <c r="N1916" t="s">
        <v>159</v>
      </c>
      <c r="R1916" t="s">
        <v>3033</v>
      </c>
      <c r="S1916" t="s">
        <v>3038</v>
      </c>
      <c r="T1916" t="s">
        <v>45</v>
      </c>
      <c r="U1916" t="s">
        <v>1437</v>
      </c>
      <c r="V1916" t="s">
        <v>1199</v>
      </c>
      <c r="W1916" t="s">
        <v>3040</v>
      </c>
    </row>
    <row r="1917" spans="1:23" ht="15" customHeight="1" x14ac:dyDescent="0.3">
      <c r="A1917" t="s">
        <v>8</v>
      </c>
      <c r="B1917">
        <v>20</v>
      </c>
      <c r="C1917" t="s">
        <v>1142</v>
      </c>
      <c r="D1917" t="s">
        <v>1191</v>
      </c>
      <c r="E1917" t="s">
        <v>34</v>
      </c>
      <c r="F1917" t="s">
        <v>1192</v>
      </c>
      <c r="G1917" t="s">
        <v>440</v>
      </c>
      <c r="H1917" t="s">
        <v>1242</v>
      </c>
      <c r="I1917" t="s">
        <v>1191</v>
      </c>
      <c r="J1917" t="s">
        <v>3038</v>
      </c>
      <c r="K1917" s="21" t="s">
        <v>3039</v>
      </c>
      <c r="L1917" s="21" t="s">
        <v>1195</v>
      </c>
      <c r="M1917" t="s">
        <v>1196</v>
      </c>
      <c r="N1917" t="s">
        <v>159</v>
      </c>
      <c r="R1917" t="s">
        <v>3034</v>
      </c>
      <c r="S1917" t="s">
        <v>3038</v>
      </c>
      <c r="T1917" t="s">
        <v>45</v>
      </c>
      <c r="U1917" t="s">
        <v>1437</v>
      </c>
      <c r="V1917" t="s">
        <v>1199</v>
      </c>
      <c r="W1917" t="s">
        <v>3040</v>
      </c>
    </row>
    <row r="1918" spans="1:23" ht="15" customHeight="1" x14ac:dyDescent="0.3">
      <c r="A1918" t="s">
        <v>8</v>
      </c>
      <c r="B1918">
        <v>20</v>
      </c>
      <c r="C1918" t="s">
        <v>1142</v>
      </c>
      <c r="D1918" t="s">
        <v>1191</v>
      </c>
      <c r="E1918" t="s">
        <v>34</v>
      </c>
      <c r="F1918" t="s">
        <v>1192</v>
      </c>
      <c r="G1918" t="s">
        <v>440</v>
      </c>
      <c r="H1918" t="s">
        <v>425</v>
      </c>
      <c r="I1918" t="s">
        <v>1191</v>
      </c>
      <c r="J1918" t="s">
        <v>3041</v>
      </c>
      <c r="K1918" s="21" t="s">
        <v>3042</v>
      </c>
      <c r="L1918" s="21" t="s">
        <v>1195</v>
      </c>
      <c r="M1918" t="s">
        <v>1196</v>
      </c>
      <c r="N1918" t="s">
        <v>159</v>
      </c>
      <c r="R1918" t="s">
        <v>3029</v>
      </c>
      <c r="S1918" t="s">
        <v>3041</v>
      </c>
      <c r="T1918" t="s">
        <v>45</v>
      </c>
      <c r="U1918" t="s">
        <v>1416</v>
      </c>
      <c r="V1918" t="s">
        <v>1199</v>
      </c>
      <c r="W1918" t="s">
        <v>3043</v>
      </c>
    </row>
    <row r="1919" spans="1:23" ht="15" customHeight="1" x14ac:dyDescent="0.3">
      <c r="A1919" t="s">
        <v>8</v>
      </c>
      <c r="B1919">
        <v>20</v>
      </c>
      <c r="C1919" t="s">
        <v>1142</v>
      </c>
      <c r="D1919" t="s">
        <v>1191</v>
      </c>
      <c r="E1919" t="s">
        <v>34</v>
      </c>
      <c r="F1919" t="s">
        <v>1192</v>
      </c>
      <c r="G1919" t="s">
        <v>440</v>
      </c>
      <c r="H1919" t="s">
        <v>425</v>
      </c>
      <c r="I1919" t="s">
        <v>1191</v>
      </c>
      <c r="J1919" t="s">
        <v>3041</v>
      </c>
      <c r="K1919" s="21" t="s">
        <v>3042</v>
      </c>
      <c r="L1919" s="21" t="s">
        <v>1195</v>
      </c>
      <c r="M1919" t="s">
        <v>1196</v>
      </c>
      <c r="N1919" t="s">
        <v>159</v>
      </c>
      <c r="R1919" t="s">
        <v>3030</v>
      </c>
      <c r="S1919" t="s">
        <v>3041</v>
      </c>
      <c r="T1919" t="s">
        <v>45</v>
      </c>
      <c r="U1919" t="s">
        <v>1416</v>
      </c>
      <c r="V1919" t="s">
        <v>1199</v>
      </c>
      <c r="W1919" t="s">
        <v>3043</v>
      </c>
    </row>
    <row r="1920" spans="1:23" ht="15" customHeight="1" x14ac:dyDescent="0.3">
      <c r="A1920" t="s">
        <v>8</v>
      </c>
      <c r="B1920">
        <v>20</v>
      </c>
      <c r="C1920" t="s">
        <v>1142</v>
      </c>
      <c r="D1920" t="s">
        <v>1191</v>
      </c>
      <c r="E1920" t="s">
        <v>34</v>
      </c>
      <c r="F1920" t="s">
        <v>1192</v>
      </c>
      <c r="G1920" t="s">
        <v>440</v>
      </c>
      <c r="H1920" t="s">
        <v>425</v>
      </c>
      <c r="I1920" t="s">
        <v>1191</v>
      </c>
      <c r="J1920" t="s">
        <v>3041</v>
      </c>
      <c r="K1920" s="21" t="s">
        <v>3042</v>
      </c>
      <c r="L1920" s="21" t="s">
        <v>1195</v>
      </c>
      <c r="M1920" t="s">
        <v>1196</v>
      </c>
      <c r="N1920" t="s">
        <v>159</v>
      </c>
      <c r="R1920" t="s">
        <v>3031</v>
      </c>
      <c r="S1920" t="s">
        <v>3041</v>
      </c>
      <c r="T1920" t="s">
        <v>45</v>
      </c>
      <c r="U1920" t="s">
        <v>1416</v>
      </c>
      <c r="V1920" t="s">
        <v>1199</v>
      </c>
      <c r="W1920" t="s">
        <v>3043</v>
      </c>
    </row>
    <row r="1921" spans="1:23" ht="15" customHeight="1" x14ac:dyDescent="0.3">
      <c r="A1921" t="s">
        <v>8</v>
      </c>
      <c r="B1921">
        <v>20</v>
      </c>
      <c r="C1921" t="s">
        <v>1142</v>
      </c>
      <c r="D1921" t="s">
        <v>1191</v>
      </c>
      <c r="E1921" t="s">
        <v>34</v>
      </c>
      <c r="F1921" t="s">
        <v>1192</v>
      </c>
      <c r="G1921" t="s">
        <v>440</v>
      </c>
      <c r="H1921" t="s">
        <v>425</v>
      </c>
      <c r="I1921" t="s">
        <v>1191</v>
      </c>
      <c r="J1921" t="s">
        <v>3041</v>
      </c>
      <c r="K1921" s="21" t="s">
        <v>3042</v>
      </c>
      <c r="L1921" s="21" t="s">
        <v>1195</v>
      </c>
      <c r="M1921" t="s">
        <v>1196</v>
      </c>
      <c r="N1921" t="s">
        <v>159</v>
      </c>
      <c r="R1921" t="s">
        <v>3032</v>
      </c>
      <c r="S1921" t="s">
        <v>3041</v>
      </c>
      <c r="T1921" t="s">
        <v>45</v>
      </c>
      <c r="U1921" t="s">
        <v>1416</v>
      </c>
      <c r="V1921" t="s">
        <v>1199</v>
      </c>
      <c r="W1921" t="s">
        <v>3043</v>
      </c>
    </row>
    <row r="1922" spans="1:23" ht="15" customHeight="1" x14ac:dyDescent="0.3">
      <c r="A1922" t="s">
        <v>8</v>
      </c>
      <c r="B1922">
        <v>20</v>
      </c>
      <c r="C1922" t="s">
        <v>1142</v>
      </c>
      <c r="D1922" t="s">
        <v>1191</v>
      </c>
      <c r="E1922" t="s">
        <v>34</v>
      </c>
      <c r="F1922" t="s">
        <v>1192</v>
      </c>
      <c r="G1922" t="s">
        <v>440</v>
      </c>
      <c r="H1922" t="s">
        <v>425</v>
      </c>
      <c r="I1922" t="s">
        <v>1191</v>
      </c>
      <c r="J1922" t="s">
        <v>3041</v>
      </c>
      <c r="K1922" s="21" t="s">
        <v>3042</v>
      </c>
      <c r="L1922" s="21" t="s">
        <v>1195</v>
      </c>
      <c r="M1922" t="s">
        <v>1196</v>
      </c>
      <c r="N1922" t="s">
        <v>159</v>
      </c>
      <c r="R1922" t="s">
        <v>3033</v>
      </c>
      <c r="S1922" t="s">
        <v>3041</v>
      </c>
      <c r="T1922" t="s">
        <v>45</v>
      </c>
      <c r="U1922" t="s">
        <v>1416</v>
      </c>
      <c r="V1922" t="s">
        <v>1199</v>
      </c>
      <c r="W1922" t="s">
        <v>3043</v>
      </c>
    </row>
    <row r="1923" spans="1:23" ht="15" customHeight="1" x14ac:dyDescent="0.3">
      <c r="A1923" t="s">
        <v>8</v>
      </c>
      <c r="B1923">
        <v>20</v>
      </c>
      <c r="C1923" t="s">
        <v>1142</v>
      </c>
      <c r="D1923" t="s">
        <v>1191</v>
      </c>
      <c r="E1923" t="s">
        <v>34</v>
      </c>
      <c r="F1923" t="s">
        <v>1192</v>
      </c>
      <c r="G1923" t="s">
        <v>440</v>
      </c>
      <c r="H1923" t="s">
        <v>425</v>
      </c>
      <c r="I1923" t="s">
        <v>1191</v>
      </c>
      <c r="J1923" t="s">
        <v>3041</v>
      </c>
      <c r="K1923" s="21" t="s">
        <v>3042</v>
      </c>
      <c r="L1923" s="21" t="s">
        <v>1195</v>
      </c>
      <c r="M1923" t="s">
        <v>1196</v>
      </c>
      <c r="N1923" t="s">
        <v>159</v>
      </c>
      <c r="R1923" t="s">
        <v>3034</v>
      </c>
      <c r="S1923" t="s">
        <v>3041</v>
      </c>
      <c r="T1923" t="s">
        <v>45</v>
      </c>
      <c r="U1923" t="s">
        <v>1416</v>
      </c>
      <c r="V1923" t="s">
        <v>1199</v>
      </c>
      <c r="W1923" t="s">
        <v>3043</v>
      </c>
    </row>
    <row r="1924" spans="1:23" ht="15" customHeight="1" x14ac:dyDescent="0.3">
      <c r="A1924" t="s">
        <v>8</v>
      </c>
      <c r="B1924">
        <v>20</v>
      </c>
      <c r="C1924" t="s">
        <v>1142</v>
      </c>
      <c r="D1924" t="s">
        <v>1191</v>
      </c>
      <c r="E1924" t="s">
        <v>34</v>
      </c>
      <c r="F1924" t="s">
        <v>1192</v>
      </c>
      <c r="G1924" t="s">
        <v>440</v>
      </c>
      <c r="H1924" t="s">
        <v>996</v>
      </c>
      <c r="I1924" t="s">
        <v>1191</v>
      </c>
      <c r="J1924" t="s">
        <v>3044</v>
      </c>
      <c r="K1924" s="21" t="s">
        <v>3045</v>
      </c>
      <c r="L1924" s="21" t="s">
        <v>1195</v>
      </c>
      <c r="M1924" t="s">
        <v>1196</v>
      </c>
      <c r="N1924" t="s">
        <v>159</v>
      </c>
      <c r="R1924" t="s">
        <v>3029</v>
      </c>
      <c r="S1924" t="s">
        <v>3044</v>
      </c>
      <c r="T1924" t="s">
        <v>1544</v>
      </c>
      <c r="U1924" t="s">
        <v>1501</v>
      </c>
      <c r="V1924" t="s">
        <v>1199</v>
      </c>
      <c r="W1924" t="s">
        <v>3046</v>
      </c>
    </row>
    <row r="1925" spans="1:23" ht="15" customHeight="1" x14ac:dyDescent="0.3">
      <c r="A1925" t="s">
        <v>8</v>
      </c>
      <c r="B1925">
        <v>20</v>
      </c>
      <c r="C1925" t="s">
        <v>1142</v>
      </c>
      <c r="D1925" t="s">
        <v>1191</v>
      </c>
      <c r="E1925" t="s">
        <v>34</v>
      </c>
      <c r="F1925" t="s">
        <v>1192</v>
      </c>
      <c r="G1925" t="s">
        <v>440</v>
      </c>
      <c r="H1925" t="s">
        <v>996</v>
      </c>
      <c r="I1925" t="s">
        <v>1191</v>
      </c>
      <c r="J1925" t="s">
        <v>3044</v>
      </c>
      <c r="K1925" s="21" t="s">
        <v>3045</v>
      </c>
      <c r="L1925" s="21" t="s">
        <v>1195</v>
      </c>
      <c r="M1925" t="s">
        <v>1196</v>
      </c>
      <c r="N1925" t="s">
        <v>159</v>
      </c>
      <c r="R1925" t="s">
        <v>3030</v>
      </c>
      <c r="S1925" t="s">
        <v>3044</v>
      </c>
      <c r="T1925" t="s">
        <v>1544</v>
      </c>
      <c r="U1925" t="s">
        <v>1501</v>
      </c>
      <c r="V1925" t="s">
        <v>1199</v>
      </c>
      <c r="W1925" t="s">
        <v>3046</v>
      </c>
    </row>
    <row r="1926" spans="1:23" ht="15" customHeight="1" x14ac:dyDescent="0.3">
      <c r="A1926" t="s">
        <v>8</v>
      </c>
      <c r="B1926">
        <v>20</v>
      </c>
      <c r="C1926" t="s">
        <v>1142</v>
      </c>
      <c r="D1926" t="s">
        <v>1191</v>
      </c>
      <c r="E1926" t="s">
        <v>34</v>
      </c>
      <c r="F1926" t="s">
        <v>1192</v>
      </c>
      <c r="G1926" t="s">
        <v>440</v>
      </c>
      <c r="H1926" t="s">
        <v>996</v>
      </c>
      <c r="I1926" t="s">
        <v>1191</v>
      </c>
      <c r="J1926" t="s">
        <v>3044</v>
      </c>
      <c r="K1926" s="21" t="s">
        <v>3045</v>
      </c>
      <c r="L1926" s="21" t="s">
        <v>1195</v>
      </c>
      <c r="M1926" t="s">
        <v>1196</v>
      </c>
      <c r="N1926" t="s">
        <v>159</v>
      </c>
      <c r="R1926" t="s">
        <v>3031</v>
      </c>
      <c r="S1926" t="s">
        <v>3044</v>
      </c>
      <c r="T1926" t="s">
        <v>1544</v>
      </c>
      <c r="U1926" t="s">
        <v>1501</v>
      </c>
      <c r="V1926" t="s">
        <v>1199</v>
      </c>
      <c r="W1926" t="s">
        <v>3046</v>
      </c>
    </row>
    <row r="1927" spans="1:23" ht="15" customHeight="1" x14ac:dyDescent="0.3">
      <c r="A1927" t="s">
        <v>8</v>
      </c>
      <c r="B1927">
        <v>20</v>
      </c>
      <c r="C1927" t="s">
        <v>1142</v>
      </c>
      <c r="D1927" t="s">
        <v>1191</v>
      </c>
      <c r="E1927" t="s">
        <v>34</v>
      </c>
      <c r="F1927" t="s">
        <v>1192</v>
      </c>
      <c r="G1927" t="s">
        <v>440</v>
      </c>
      <c r="H1927" t="s">
        <v>996</v>
      </c>
      <c r="I1927" t="s">
        <v>1191</v>
      </c>
      <c r="J1927" t="s">
        <v>3044</v>
      </c>
      <c r="K1927" s="21" t="s">
        <v>3045</v>
      </c>
      <c r="L1927" s="21" t="s">
        <v>1195</v>
      </c>
      <c r="M1927" t="s">
        <v>1196</v>
      </c>
      <c r="N1927" t="s">
        <v>159</v>
      </c>
      <c r="R1927" t="s">
        <v>3032</v>
      </c>
      <c r="S1927" t="s">
        <v>3044</v>
      </c>
      <c r="T1927" t="s">
        <v>1544</v>
      </c>
      <c r="U1927" t="s">
        <v>1501</v>
      </c>
      <c r="V1927" t="s">
        <v>1199</v>
      </c>
      <c r="W1927" t="s">
        <v>3046</v>
      </c>
    </row>
    <row r="1928" spans="1:23" ht="15" customHeight="1" x14ac:dyDescent="0.3">
      <c r="A1928" t="s">
        <v>8</v>
      </c>
      <c r="B1928">
        <v>20</v>
      </c>
      <c r="C1928" t="s">
        <v>1142</v>
      </c>
      <c r="D1928" t="s">
        <v>1191</v>
      </c>
      <c r="E1928" t="s">
        <v>34</v>
      </c>
      <c r="F1928" t="s">
        <v>1192</v>
      </c>
      <c r="G1928" t="s">
        <v>440</v>
      </c>
      <c r="H1928" t="s">
        <v>996</v>
      </c>
      <c r="I1928" t="s">
        <v>1191</v>
      </c>
      <c r="J1928" t="s">
        <v>3044</v>
      </c>
      <c r="K1928" s="21" t="s">
        <v>3045</v>
      </c>
      <c r="L1928" s="21" t="s">
        <v>1195</v>
      </c>
      <c r="M1928" t="s">
        <v>1196</v>
      </c>
      <c r="N1928" t="s">
        <v>159</v>
      </c>
      <c r="R1928" t="s">
        <v>3033</v>
      </c>
      <c r="S1928" t="s">
        <v>3044</v>
      </c>
      <c r="T1928" t="s">
        <v>1544</v>
      </c>
      <c r="U1928" t="s">
        <v>1501</v>
      </c>
      <c r="V1928" t="s">
        <v>1199</v>
      </c>
      <c r="W1928" t="s">
        <v>3046</v>
      </c>
    </row>
    <row r="1929" spans="1:23" ht="15" customHeight="1" x14ac:dyDescent="0.3">
      <c r="A1929" t="s">
        <v>8</v>
      </c>
      <c r="B1929">
        <v>20</v>
      </c>
      <c r="C1929" t="s">
        <v>1142</v>
      </c>
      <c r="D1929" t="s">
        <v>1191</v>
      </c>
      <c r="E1929" t="s">
        <v>34</v>
      </c>
      <c r="F1929" t="s">
        <v>1192</v>
      </c>
      <c r="G1929" t="s">
        <v>440</v>
      </c>
      <c r="H1929" t="s">
        <v>996</v>
      </c>
      <c r="I1929" t="s">
        <v>1191</v>
      </c>
      <c r="J1929" t="s">
        <v>3044</v>
      </c>
      <c r="K1929" s="21" t="s">
        <v>3045</v>
      </c>
      <c r="L1929" s="21" t="s">
        <v>1195</v>
      </c>
      <c r="M1929" t="s">
        <v>1196</v>
      </c>
      <c r="N1929" t="s">
        <v>159</v>
      </c>
      <c r="R1929" t="s">
        <v>3034</v>
      </c>
      <c r="S1929" t="s">
        <v>3044</v>
      </c>
      <c r="T1929" t="s">
        <v>1544</v>
      </c>
      <c r="U1929" t="s">
        <v>1501</v>
      </c>
      <c r="V1929" t="s">
        <v>1199</v>
      </c>
      <c r="W1929" t="s">
        <v>3046</v>
      </c>
    </row>
    <row r="1930" spans="1:23" ht="15" customHeight="1" x14ac:dyDescent="0.3">
      <c r="A1930" t="s">
        <v>8</v>
      </c>
      <c r="B1930">
        <v>20</v>
      </c>
      <c r="C1930" t="s">
        <v>1142</v>
      </c>
      <c r="D1930" t="s">
        <v>1191</v>
      </c>
      <c r="E1930" t="s">
        <v>34</v>
      </c>
      <c r="F1930" t="s">
        <v>1192</v>
      </c>
      <c r="G1930" t="s">
        <v>440</v>
      </c>
      <c r="H1930" t="s">
        <v>1000</v>
      </c>
      <c r="I1930" t="s">
        <v>1191</v>
      </c>
      <c r="J1930" t="s">
        <v>3047</v>
      </c>
      <c r="K1930" s="21" t="s">
        <v>3048</v>
      </c>
      <c r="L1930" s="21" t="s">
        <v>1195</v>
      </c>
      <c r="M1930" t="s">
        <v>1196</v>
      </c>
      <c r="N1930" t="s">
        <v>159</v>
      </c>
      <c r="R1930" t="s">
        <v>3029</v>
      </c>
      <c r="S1930" t="s">
        <v>3047</v>
      </c>
      <c r="T1930" t="s">
        <v>1249</v>
      </c>
      <c r="U1930" t="s">
        <v>1473</v>
      </c>
      <c r="V1930" t="s">
        <v>3049</v>
      </c>
      <c r="W1930" t="s">
        <v>3037</v>
      </c>
    </row>
    <row r="1931" spans="1:23" ht="15" customHeight="1" x14ac:dyDescent="0.3">
      <c r="A1931" t="s">
        <v>8</v>
      </c>
      <c r="B1931">
        <v>20</v>
      </c>
      <c r="C1931" t="s">
        <v>1142</v>
      </c>
      <c r="D1931" t="s">
        <v>1191</v>
      </c>
      <c r="E1931" t="s">
        <v>34</v>
      </c>
      <c r="F1931" t="s">
        <v>1192</v>
      </c>
      <c r="G1931" t="s">
        <v>440</v>
      </c>
      <c r="H1931" t="s">
        <v>1000</v>
      </c>
      <c r="I1931" t="s">
        <v>1191</v>
      </c>
      <c r="J1931" t="s">
        <v>3047</v>
      </c>
      <c r="K1931" s="21" t="s">
        <v>3048</v>
      </c>
      <c r="L1931" s="21" t="s">
        <v>1195</v>
      </c>
      <c r="M1931" t="s">
        <v>1196</v>
      </c>
      <c r="N1931" t="s">
        <v>159</v>
      </c>
      <c r="R1931" t="s">
        <v>3030</v>
      </c>
      <c r="S1931" t="s">
        <v>3047</v>
      </c>
      <c r="T1931" t="s">
        <v>1249</v>
      </c>
      <c r="U1931" t="s">
        <v>1473</v>
      </c>
      <c r="V1931" t="s">
        <v>3049</v>
      </c>
      <c r="W1931" t="s">
        <v>3037</v>
      </c>
    </row>
    <row r="1932" spans="1:23" ht="15" customHeight="1" x14ac:dyDescent="0.3">
      <c r="A1932" t="s">
        <v>8</v>
      </c>
      <c r="B1932">
        <v>20</v>
      </c>
      <c r="C1932" t="s">
        <v>1142</v>
      </c>
      <c r="D1932" t="s">
        <v>1191</v>
      </c>
      <c r="E1932" t="s">
        <v>34</v>
      </c>
      <c r="F1932" t="s">
        <v>1192</v>
      </c>
      <c r="G1932" t="s">
        <v>440</v>
      </c>
      <c r="H1932" t="s">
        <v>1000</v>
      </c>
      <c r="I1932" t="s">
        <v>1191</v>
      </c>
      <c r="J1932" t="s">
        <v>3047</v>
      </c>
      <c r="K1932" s="21" t="s">
        <v>3048</v>
      </c>
      <c r="L1932" s="21" t="s">
        <v>1195</v>
      </c>
      <c r="M1932" t="s">
        <v>1196</v>
      </c>
      <c r="N1932" t="s">
        <v>159</v>
      </c>
      <c r="R1932" t="s">
        <v>3031</v>
      </c>
      <c r="S1932" t="s">
        <v>3047</v>
      </c>
      <c r="T1932" t="s">
        <v>1249</v>
      </c>
      <c r="U1932" t="s">
        <v>1473</v>
      </c>
      <c r="V1932" t="s">
        <v>3049</v>
      </c>
      <c r="W1932" t="s">
        <v>3037</v>
      </c>
    </row>
    <row r="1933" spans="1:23" ht="15" customHeight="1" x14ac:dyDescent="0.3">
      <c r="A1933" t="s">
        <v>8</v>
      </c>
      <c r="B1933">
        <v>20</v>
      </c>
      <c r="C1933" t="s">
        <v>1142</v>
      </c>
      <c r="D1933" t="s">
        <v>1191</v>
      </c>
      <c r="E1933" t="s">
        <v>34</v>
      </c>
      <c r="F1933" t="s">
        <v>1192</v>
      </c>
      <c r="G1933" t="s">
        <v>440</v>
      </c>
      <c r="H1933" t="s">
        <v>1000</v>
      </c>
      <c r="I1933" t="s">
        <v>1191</v>
      </c>
      <c r="J1933" t="s">
        <v>3047</v>
      </c>
      <c r="K1933" s="21" t="s">
        <v>3048</v>
      </c>
      <c r="L1933" s="21" t="s">
        <v>1195</v>
      </c>
      <c r="M1933" t="s">
        <v>1196</v>
      </c>
      <c r="N1933" t="s">
        <v>159</v>
      </c>
      <c r="R1933" t="s">
        <v>3032</v>
      </c>
      <c r="S1933" t="s">
        <v>3047</v>
      </c>
      <c r="T1933" t="s">
        <v>1249</v>
      </c>
      <c r="U1933" t="s">
        <v>1473</v>
      </c>
      <c r="V1933" t="s">
        <v>3049</v>
      </c>
      <c r="W1933" t="s">
        <v>3037</v>
      </c>
    </row>
    <row r="1934" spans="1:23" ht="15" customHeight="1" x14ac:dyDescent="0.3">
      <c r="A1934" t="s">
        <v>8</v>
      </c>
      <c r="B1934">
        <v>20</v>
      </c>
      <c r="C1934" t="s">
        <v>1142</v>
      </c>
      <c r="D1934" t="s">
        <v>1191</v>
      </c>
      <c r="E1934" t="s">
        <v>34</v>
      </c>
      <c r="F1934" t="s">
        <v>1192</v>
      </c>
      <c r="G1934" t="s">
        <v>440</v>
      </c>
      <c r="H1934" t="s">
        <v>1000</v>
      </c>
      <c r="I1934" t="s">
        <v>1191</v>
      </c>
      <c r="J1934" t="s">
        <v>3047</v>
      </c>
      <c r="K1934" s="21" t="s">
        <v>3048</v>
      </c>
      <c r="L1934" s="21" t="s">
        <v>1195</v>
      </c>
      <c r="M1934" t="s">
        <v>1196</v>
      </c>
      <c r="N1934" t="s">
        <v>159</v>
      </c>
      <c r="R1934" t="s">
        <v>3033</v>
      </c>
      <c r="S1934" t="s">
        <v>3047</v>
      </c>
      <c r="T1934" t="s">
        <v>1249</v>
      </c>
      <c r="U1934" t="s">
        <v>1473</v>
      </c>
      <c r="V1934" t="s">
        <v>3049</v>
      </c>
      <c r="W1934" t="s">
        <v>3037</v>
      </c>
    </row>
    <row r="1935" spans="1:23" ht="15" customHeight="1" x14ac:dyDescent="0.3">
      <c r="A1935" t="s">
        <v>8</v>
      </c>
      <c r="B1935">
        <v>20</v>
      </c>
      <c r="C1935" t="s">
        <v>1142</v>
      </c>
      <c r="D1935" t="s">
        <v>1191</v>
      </c>
      <c r="E1935" t="s">
        <v>34</v>
      </c>
      <c r="F1935" t="s">
        <v>1192</v>
      </c>
      <c r="G1935" t="s">
        <v>440</v>
      </c>
      <c r="H1935" t="s">
        <v>1000</v>
      </c>
      <c r="I1935" t="s">
        <v>1191</v>
      </c>
      <c r="J1935" t="s">
        <v>3047</v>
      </c>
      <c r="K1935" s="21" t="s">
        <v>3048</v>
      </c>
      <c r="L1935" s="21" t="s">
        <v>1195</v>
      </c>
      <c r="M1935" t="s">
        <v>1196</v>
      </c>
      <c r="N1935" t="s">
        <v>159</v>
      </c>
      <c r="R1935" t="s">
        <v>3034</v>
      </c>
      <c r="S1935" t="s">
        <v>3047</v>
      </c>
      <c r="T1935" t="s">
        <v>1249</v>
      </c>
      <c r="U1935" t="s">
        <v>1473</v>
      </c>
      <c r="V1935" t="s">
        <v>3049</v>
      </c>
      <c r="W1935" t="s">
        <v>3037</v>
      </c>
    </row>
    <row r="1936" spans="1:23" ht="15" customHeight="1" x14ac:dyDescent="0.3">
      <c r="A1936" t="s">
        <v>8</v>
      </c>
      <c r="B1936">
        <v>20</v>
      </c>
      <c r="C1936" t="s">
        <v>1142</v>
      </c>
      <c r="D1936" t="s">
        <v>1191</v>
      </c>
      <c r="E1936" t="s">
        <v>34</v>
      </c>
      <c r="F1936" t="s">
        <v>1192</v>
      </c>
      <c r="G1936" t="s">
        <v>440</v>
      </c>
      <c r="H1936" t="s">
        <v>1272</v>
      </c>
      <c r="I1936" t="s">
        <v>1191</v>
      </c>
      <c r="J1936" t="s">
        <v>3050</v>
      </c>
      <c r="K1936" s="21" t="s">
        <v>3051</v>
      </c>
      <c r="L1936" s="21" t="s">
        <v>1195</v>
      </c>
      <c r="M1936" t="s">
        <v>1196</v>
      </c>
      <c r="N1936" t="s">
        <v>159</v>
      </c>
      <c r="R1936" t="s">
        <v>3029</v>
      </c>
      <c r="S1936" t="s">
        <v>3050</v>
      </c>
      <c r="T1936" t="s">
        <v>1249</v>
      </c>
      <c r="U1936" t="s">
        <v>1467</v>
      </c>
      <c r="V1936" t="s">
        <v>3049</v>
      </c>
      <c r="W1936" t="s">
        <v>3037</v>
      </c>
    </row>
    <row r="1937" spans="1:23" ht="15" customHeight="1" x14ac:dyDescent="0.3">
      <c r="A1937" t="s">
        <v>8</v>
      </c>
      <c r="B1937">
        <v>20</v>
      </c>
      <c r="C1937" t="s">
        <v>1142</v>
      </c>
      <c r="D1937" t="s">
        <v>1191</v>
      </c>
      <c r="E1937" t="s">
        <v>34</v>
      </c>
      <c r="F1937" t="s">
        <v>1192</v>
      </c>
      <c r="G1937" t="s">
        <v>440</v>
      </c>
      <c r="H1937" t="s">
        <v>1272</v>
      </c>
      <c r="I1937" t="s">
        <v>1191</v>
      </c>
      <c r="J1937" t="s">
        <v>3050</v>
      </c>
      <c r="K1937" s="21" t="s">
        <v>3051</v>
      </c>
      <c r="L1937" s="21" t="s">
        <v>1195</v>
      </c>
      <c r="M1937" t="s">
        <v>1196</v>
      </c>
      <c r="N1937" t="s">
        <v>159</v>
      </c>
      <c r="R1937" t="s">
        <v>3030</v>
      </c>
      <c r="S1937" t="s">
        <v>3050</v>
      </c>
      <c r="T1937" t="s">
        <v>1249</v>
      </c>
      <c r="U1937" t="s">
        <v>1467</v>
      </c>
      <c r="V1937" t="s">
        <v>3049</v>
      </c>
      <c r="W1937" t="s">
        <v>3037</v>
      </c>
    </row>
    <row r="1938" spans="1:23" ht="15" customHeight="1" x14ac:dyDescent="0.3">
      <c r="A1938" t="s">
        <v>8</v>
      </c>
      <c r="B1938">
        <v>20</v>
      </c>
      <c r="C1938" t="s">
        <v>1142</v>
      </c>
      <c r="D1938" t="s">
        <v>1191</v>
      </c>
      <c r="E1938" t="s">
        <v>34</v>
      </c>
      <c r="F1938" t="s">
        <v>1192</v>
      </c>
      <c r="G1938" t="s">
        <v>440</v>
      </c>
      <c r="H1938" t="s">
        <v>1272</v>
      </c>
      <c r="I1938" t="s">
        <v>1191</v>
      </c>
      <c r="J1938" t="s">
        <v>3050</v>
      </c>
      <c r="K1938" s="21" t="s">
        <v>3051</v>
      </c>
      <c r="L1938" s="21" t="s">
        <v>1195</v>
      </c>
      <c r="M1938" t="s">
        <v>1196</v>
      </c>
      <c r="N1938" t="s">
        <v>159</v>
      </c>
      <c r="R1938" t="s">
        <v>3031</v>
      </c>
      <c r="S1938" t="s">
        <v>3050</v>
      </c>
      <c r="T1938" t="s">
        <v>1249</v>
      </c>
      <c r="U1938" t="s">
        <v>1467</v>
      </c>
      <c r="V1938" t="s">
        <v>3049</v>
      </c>
      <c r="W1938" t="s">
        <v>3037</v>
      </c>
    </row>
    <row r="1939" spans="1:23" ht="15" customHeight="1" x14ac:dyDescent="0.3">
      <c r="A1939" t="s">
        <v>8</v>
      </c>
      <c r="B1939">
        <v>20</v>
      </c>
      <c r="C1939" t="s">
        <v>1142</v>
      </c>
      <c r="D1939" t="s">
        <v>1191</v>
      </c>
      <c r="E1939" t="s">
        <v>34</v>
      </c>
      <c r="F1939" t="s">
        <v>1192</v>
      </c>
      <c r="G1939" t="s">
        <v>440</v>
      </c>
      <c r="H1939" t="s">
        <v>1272</v>
      </c>
      <c r="I1939" t="s">
        <v>1191</v>
      </c>
      <c r="J1939" t="s">
        <v>3050</v>
      </c>
      <c r="K1939" s="21" t="s">
        <v>3051</v>
      </c>
      <c r="L1939" s="21" t="s">
        <v>1195</v>
      </c>
      <c r="M1939" t="s">
        <v>1196</v>
      </c>
      <c r="N1939" t="s">
        <v>159</v>
      </c>
      <c r="R1939" t="s">
        <v>3032</v>
      </c>
      <c r="S1939" t="s">
        <v>3050</v>
      </c>
      <c r="T1939" t="s">
        <v>1249</v>
      </c>
      <c r="U1939" t="s">
        <v>1467</v>
      </c>
      <c r="V1939" t="s">
        <v>3049</v>
      </c>
      <c r="W1939" t="s">
        <v>3037</v>
      </c>
    </row>
    <row r="1940" spans="1:23" ht="15" customHeight="1" x14ac:dyDescent="0.3">
      <c r="A1940" t="s">
        <v>8</v>
      </c>
      <c r="B1940">
        <v>20</v>
      </c>
      <c r="C1940" t="s">
        <v>1142</v>
      </c>
      <c r="D1940" t="s">
        <v>1191</v>
      </c>
      <c r="E1940" t="s">
        <v>34</v>
      </c>
      <c r="F1940" t="s">
        <v>1192</v>
      </c>
      <c r="G1940" t="s">
        <v>440</v>
      </c>
      <c r="H1940" t="s">
        <v>1272</v>
      </c>
      <c r="I1940" t="s">
        <v>1191</v>
      </c>
      <c r="J1940" t="s">
        <v>3050</v>
      </c>
      <c r="K1940" s="21" t="s">
        <v>3051</v>
      </c>
      <c r="L1940" s="21" t="s">
        <v>1195</v>
      </c>
      <c r="M1940" t="s">
        <v>1196</v>
      </c>
      <c r="N1940" t="s">
        <v>159</v>
      </c>
      <c r="R1940" t="s">
        <v>3033</v>
      </c>
      <c r="S1940" t="s">
        <v>3050</v>
      </c>
      <c r="T1940" t="s">
        <v>1249</v>
      </c>
      <c r="U1940" t="s">
        <v>1467</v>
      </c>
      <c r="V1940" t="s">
        <v>3049</v>
      </c>
      <c r="W1940" t="s">
        <v>3037</v>
      </c>
    </row>
    <row r="1941" spans="1:23" ht="15" customHeight="1" x14ac:dyDescent="0.3">
      <c r="A1941" t="s">
        <v>8</v>
      </c>
      <c r="B1941">
        <v>20</v>
      </c>
      <c r="C1941" t="s">
        <v>1142</v>
      </c>
      <c r="D1941" t="s">
        <v>1191</v>
      </c>
      <c r="E1941" t="s">
        <v>34</v>
      </c>
      <c r="F1941" t="s">
        <v>1192</v>
      </c>
      <c r="G1941" t="s">
        <v>440</v>
      </c>
      <c r="H1941" t="s">
        <v>1272</v>
      </c>
      <c r="I1941" t="s">
        <v>1191</v>
      </c>
      <c r="J1941" t="s">
        <v>3050</v>
      </c>
      <c r="K1941" s="21" t="s">
        <v>3051</v>
      </c>
      <c r="L1941" s="21" t="s">
        <v>1195</v>
      </c>
      <c r="M1941" t="s">
        <v>1196</v>
      </c>
      <c r="N1941" t="s">
        <v>159</v>
      </c>
      <c r="R1941" t="s">
        <v>3034</v>
      </c>
      <c r="S1941" t="s">
        <v>3050</v>
      </c>
      <c r="T1941" t="s">
        <v>1249</v>
      </c>
      <c r="U1941" t="s">
        <v>1467</v>
      </c>
      <c r="V1941" t="s">
        <v>3049</v>
      </c>
      <c r="W1941" t="s">
        <v>3037</v>
      </c>
    </row>
    <row r="1942" spans="1:23" ht="15" customHeight="1" x14ac:dyDescent="0.3">
      <c r="A1942" t="s">
        <v>8</v>
      </c>
      <c r="B1942">
        <v>22</v>
      </c>
      <c r="C1942" t="s">
        <v>1142</v>
      </c>
      <c r="D1942" t="s">
        <v>3052</v>
      </c>
      <c r="E1942" t="s">
        <v>34</v>
      </c>
      <c r="F1942" t="s">
        <v>3053</v>
      </c>
      <c r="G1942" t="s">
        <v>36</v>
      </c>
      <c r="H1942" t="s">
        <v>37</v>
      </c>
      <c r="I1942" t="s">
        <v>3052</v>
      </c>
      <c r="J1942" t="s">
        <v>3054</v>
      </c>
      <c r="K1942" t="s">
        <v>3055</v>
      </c>
      <c r="L1942" s="21" t="s">
        <v>3056</v>
      </c>
      <c r="M1942" t="s">
        <v>3057</v>
      </c>
      <c r="N1942" t="s">
        <v>42</v>
      </c>
      <c r="P1942" s="21" t="s">
        <v>3058</v>
      </c>
      <c r="R1942" t="s">
        <v>3059</v>
      </c>
      <c r="S1942" t="s">
        <v>3054</v>
      </c>
      <c r="T1942" t="s">
        <v>45</v>
      </c>
      <c r="U1942" t="s">
        <v>1437</v>
      </c>
      <c r="V1942" t="s">
        <v>3060</v>
      </c>
      <c r="W1942" t="s">
        <v>3061</v>
      </c>
    </row>
    <row r="1943" spans="1:23" ht="15" customHeight="1" x14ac:dyDescent="0.3">
      <c r="A1943" t="s">
        <v>8</v>
      </c>
      <c r="B1943">
        <v>22</v>
      </c>
      <c r="C1943" t="s">
        <v>1142</v>
      </c>
      <c r="D1943" t="s">
        <v>3052</v>
      </c>
      <c r="E1943" t="s">
        <v>34</v>
      </c>
      <c r="F1943" t="s">
        <v>3053</v>
      </c>
      <c r="G1943" t="s">
        <v>36</v>
      </c>
      <c r="H1943" t="s">
        <v>52</v>
      </c>
      <c r="I1943" t="s">
        <v>3052</v>
      </c>
      <c r="J1943" t="s">
        <v>3062</v>
      </c>
      <c r="K1943" s="21" t="s">
        <v>3063</v>
      </c>
      <c r="L1943" s="21" t="s">
        <v>3056</v>
      </c>
      <c r="M1943" t="s">
        <v>3057</v>
      </c>
      <c r="N1943" t="s">
        <v>42</v>
      </c>
      <c r="P1943" s="21" t="s">
        <v>3058</v>
      </c>
      <c r="R1943" t="s">
        <v>3059</v>
      </c>
      <c r="S1943" t="s">
        <v>3062</v>
      </c>
      <c r="T1943" t="s">
        <v>1249</v>
      </c>
      <c r="U1943" t="s">
        <v>1473</v>
      </c>
      <c r="V1943" t="s">
        <v>3060</v>
      </c>
      <c r="W1943" t="s">
        <v>3064</v>
      </c>
    </row>
    <row r="1944" spans="1:23" ht="15" customHeight="1" x14ac:dyDescent="0.3">
      <c r="A1944" t="s">
        <v>8</v>
      </c>
      <c r="B1944">
        <v>5</v>
      </c>
      <c r="C1944" t="s">
        <v>3065</v>
      </c>
      <c r="D1944" t="s">
        <v>3066</v>
      </c>
      <c r="E1944" t="s">
        <v>3067</v>
      </c>
      <c r="F1944" t="s">
        <v>3068</v>
      </c>
      <c r="G1944" t="s">
        <v>36</v>
      </c>
      <c r="H1944" t="s">
        <v>3066</v>
      </c>
      <c r="I1944" t="s">
        <v>3066</v>
      </c>
      <c r="J1944" t="s">
        <v>3069</v>
      </c>
      <c r="K1944" t="s">
        <v>3070</v>
      </c>
      <c r="L1944" t="s">
        <v>3070</v>
      </c>
      <c r="M1944" t="s">
        <v>691</v>
      </c>
      <c r="N1944" t="s">
        <v>42</v>
      </c>
      <c r="P1944" t="s">
        <v>3071</v>
      </c>
      <c r="R1944" t="s">
        <v>3072</v>
      </c>
      <c r="S1944" t="s">
        <v>3069</v>
      </c>
      <c r="T1944" t="s">
        <v>1231</v>
      </c>
      <c r="U1944" t="s">
        <v>1232</v>
      </c>
      <c r="V1944" t="s">
        <v>3073</v>
      </c>
      <c r="W1944" t="s">
        <v>3074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9CC53-32DE-4BA9-9B8D-29C963CFCBD5}">
  <dimension ref="A1:AF369"/>
  <sheetViews>
    <sheetView zoomScale="85" zoomScaleNormal="85" workbookViewId="0">
      <selection activeCell="R286" sqref="R286"/>
    </sheetView>
  </sheetViews>
  <sheetFormatPr defaultColWidth="9.109375" defaultRowHeight="30" customHeight="1" x14ac:dyDescent="0.3"/>
  <cols>
    <col min="1" max="1" width="9.109375" style="5" customWidth="1"/>
    <col min="2" max="4" width="9.109375" style="5" hidden="1" customWidth="1"/>
    <col min="5" max="5" width="9.109375" style="5" customWidth="1"/>
    <col min="6" max="6" width="10.88671875" style="5" hidden="1" customWidth="1"/>
    <col min="7" max="7" width="6" style="5" hidden="1" customWidth="1"/>
    <col min="8" max="8" width="9.109375" style="5"/>
    <col min="9" max="9" width="16" style="5" customWidth="1"/>
    <col min="10" max="10" width="0" style="5" hidden="1" customWidth="1"/>
    <col min="11" max="11" width="13.33203125" style="5" hidden="1" customWidth="1"/>
    <col min="12" max="12" width="4.44140625" style="5" hidden="1" customWidth="1"/>
    <col min="13" max="13" width="3.88671875" style="5" customWidth="1"/>
    <col min="14" max="14" width="0" style="5" hidden="1" customWidth="1"/>
    <col min="15" max="15" width="26.5546875" style="5" hidden="1" customWidth="1"/>
    <col min="16" max="16" width="16.88671875" style="5" hidden="1" customWidth="1"/>
    <col min="17" max="17" width="0" style="5" hidden="1" customWidth="1"/>
    <col min="18" max="18" width="25.44140625" style="5" customWidth="1"/>
    <col min="19" max="19" width="19.5546875" style="5" hidden="1" customWidth="1"/>
    <col min="20" max="20" width="0" style="5" hidden="1" customWidth="1"/>
    <col min="21" max="21" width="15.88671875" style="5" hidden="1" customWidth="1"/>
    <col min="22" max="22" width="17.5546875" style="5" hidden="1" customWidth="1"/>
    <col min="23" max="23" width="0" style="5" hidden="1" customWidth="1"/>
    <col min="24" max="24" width="97" style="1" customWidth="1"/>
    <col min="25" max="25" width="52" style="5" hidden="1" customWidth="1"/>
    <col min="26" max="26" width="29.5546875" style="5" hidden="1" customWidth="1"/>
    <col min="27" max="27" width="27.6640625" style="5" customWidth="1"/>
    <col min="28" max="28" width="39.88671875" style="5" customWidth="1"/>
    <col min="29" max="29" width="9.109375" style="5" customWidth="1"/>
    <col min="30" max="30" width="9.109375" style="5" hidden="1" customWidth="1"/>
    <col min="31" max="31" width="9.109375" style="5" customWidth="1"/>
    <col min="32" max="32" width="17" style="5" customWidth="1"/>
    <col min="33" max="16384" width="9.109375" style="5"/>
  </cols>
  <sheetData>
    <row r="1" spans="1:32" s="1" customFormat="1" ht="30" customHeight="1" x14ac:dyDescent="0.3">
      <c r="A1" s="1" t="s">
        <v>0</v>
      </c>
      <c r="B1" s="1" t="s">
        <v>1</v>
      </c>
      <c r="C1" s="1" t="s">
        <v>2</v>
      </c>
      <c r="D1" s="1" t="s">
        <v>3</v>
      </c>
      <c r="E1" s="1" t="s">
        <v>4</v>
      </c>
      <c r="F1" s="1" t="s">
        <v>5</v>
      </c>
      <c r="G1" s="1" t="s">
        <v>6</v>
      </c>
      <c r="H1" s="2"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3" t="s">
        <v>23</v>
      </c>
      <c r="Y1" s="1" t="s">
        <v>24</v>
      </c>
      <c r="Z1" s="1" t="s">
        <v>25</v>
      </c>
      <c r="AA1" s="1" t="s">
        <v>26</v>
      </c>
      <c r="AB1" s="4" t="s">
        <v>27</v>
      </c>
      <c r="AC1" s="3" t="s">
        <v>28</v>
      </c>
      <c r="AD1" s="1" t="s">
        <v>29</v>
      </c>
      <c r="AE1" s="1" t="s">
        <v>30</v>
      </c>
      <c r="AF1" s="1" t="s">
        <v>31</v>
      </c>
    </row>
    <row r="2" spans="1:32" ht="30" customHeight="1" x14ac:dyDescent="0.3">
      <c r="A2" s="5">
        <f t="shared" ref="A2:A65" si="0">ROW(A1)</f>
        <v>1</v>
      </c>
      <c r="B2" s="5">
        <f t="shared" ref="B2:C17" si="1">IF(H1=H2,B1,B1+1)</f>
        <v>1</v>
      </c>
      <c r="C2" s="5">
        <f t="shared" si="1"/>
        <v>2</v>
      </c>
      <c r="D2" s="5">
        <f t="shared" ref="D2:D65" si="2">IF(AD1=AD2,D1,D1+1)</f>
        <v>3</v>
      </c>
      <c r="E2" s="5" t="s">
        <v>32</v>
      </c>
      <c r="F2" s="5" t="s">
        <v>8</v>
      </c>
      <c r="G2" s="5">
        <v>390</v>
      </c>
      <c r="H2" s="6" t="s">
        <v>33</v>
      </c>
      <c r="I2" s="7" t="s">
        <v>33</v>
      </c>
      <c r="J2" s="5" t="s">
        <v>34</v>
      </c>
      <c r="K2" s="5" t="s">
        <v>35</v>
      </c>
      <c r="L2" s="5" t="s">
        <v>36</v>
      </c>
      <c r="M2" s="8" t="s">
        <v>37</v>
      </c>
      <c r="N2" s="5" t="s">
        <v>33</v>
      </c>
      <c r="O2" s="5" t="s">
        <v>38</v>
      </c>
      <c r="P2" s="5" t="s">
        <v>39</v>
      </c>
      <c r="Q2" s="1" t="s">
        <v>40</v>
      </c>
      <c r="R2" s="5" t="s">
        <v>41</v>
      </c>
      <c r="S2" s="5" t="s">
        <v>42</v>
      </c>
      <c r="U2" s="5" t="s">
        <v>43</v>
      </c>
      <c r="X2" s="9" t="s">
        <v>44</v>
      </c>
      <c r="Y2" s="5" t="s">
        <v>38</v>
      </c>
      <c r="Z2" s="5" t="s">
        <v>45</v>
      </c>
      <c r="AA2" s="5" t="s">
        <v>46</v>
      </c>
      <c r="AB2" s="5" t="s">
        <v>47</v>
      </c>
      <c r="AC2" s="5" t="s">
        <v>48</v>
      </c>
      <c r="AD2" s="5" t="str">
        <f>_xlfn.CONCAT(Table58911[[#This Row],[&lt;&lt;NOLA&gt;&gt;
NIEM Element]],Table58911[[#This Row],[Repeat Values per attribute]])</f>
        <v>nc:AddressFullTexta</v>
      </c>
    </row>
    <row r="3" spans="1:32" ht="30" customHeight="1" x14ac:dyDescent="0.3">
      <c r="A3" s="5">
        <f t="shared" si="0"/>
        <v>2</v>
      </c>
      <c r="B3" s="5">
        <f t="shared" si="1"/>
        <v>1</v>
      </c>
      <c r="C3" s="5">
        <f t="shared" si="1"/>
        <v>2</v>
      </c>
      <c r="D3" s="5">
        <f t="shared" si="2"/>
        <v>3</v>
      </c>
      <c r="E3" s="5" t="s">
        <v>49</v>
      </c>
      <c r="F3" s="5" t="s">
        <v>8</v>
      </c>
      <c r="G3" s="5">
        <v>390</v>
      </c>
      <c r="H3" s="6" t="s">
        <v>33</v>
      </c>
      <c r="I3" s="7" t="s">
        <v>33</v>
      </c>
      <c r="J3" s="5" t="s">
        <v>34</v>
      </c>
      <c r="K3" s="5" t="s">
        <v>35</v>
      </c>
      <c r="L3" s="5" t="s">
        <v>36</v>
      </c>
      <c r="M3" s="8" t="s">
        <v>37</v>
      </c>
      <c r="N3" s="5" t="s">
        <v>33</v>
      </c>
      <c r="O3" s="5" t="s">
        <v>38</v>
      </c>
      <c r="P3" s="5" t="s">
        <v>39</v>
      </c>
      <c r="Q3" s="1" t="s">
        <v>40</v>
      </c>
      <c r="R3" s="5" t="s">
        <v>41</v>
      </c>
      <c r="S3" s="5" t="s">
        <v>42</v>
      </c>
      <c r="U3" s="5" t="s">
        <v>43</v>
      </c>
      <c r="X3" s="9" t="s">
        <v>50</v>
      </c>
      <c r="Y3" s="5" t="s">
        <v>38</v>
      </c>
      <c r="Z3" s="5" t="s">
        <v>45</v>
      </c>
      <c r="AA3" s="5" t="s">
        <v>46</v>
      </c>
      <c r="AB3" s="5" t="s">
        <v>47</v>
      </c>
      <c r="AC3" s="5" t="s">
        <v>48</v>
      </c>
      <c r="AD3" s="5" t="str">
        <f>_xlfn.CONCAT(Table58911[[#This Row],[&lt;&lt;NOLA&gt;&gt;
NIEM Element]],Table58911[[#This Row],[Repeat Values per attribute]])</f>
        <v>nc:AddressFullTexta</v>
      </c>
    </row>
    <row r="4" spans="1:32" ht="30" customHeight="1" x14ac:dyDescent="0.3">
      <c r="A4" s="5">
        <f t="shared" si="0"/>
        <v>3</v>
      </c>
      <c r="B4" s="5">
        <f t="shared" si="1"/>
        <v>1</v>
      </c>
      <c r="C4" s="5">
        <f t="shared" si="1"/>
        <v>2</v>
      </c>
      <c r="D4" s="5">
        <f t="shared" si="2"/>
        <v>3</v>
      </c>
      <c r="E4" s="5" t="s">
        <v>49</v>
      </c>
      <c r="F4" s="5" t="s">
        <v>8</v>
      </c>
      <c r="G4" s="5">
        <v>390</v>
      </c>
      <c r="H4" s="6" t="s">
        <v>33</v>
      </c>
      <c r="I4" s="7" t="s">
        <v>33</v>
      </c>
      <c r="J4" s="5" t="s">
        <v>34</v>
      </c>
      <c r="K4" s="5" t="s">
        <v>35</v>
      </c>
      <c r="L4" s="5" t="s">
        <v>36</v>
      </c>
      <c r="M4" s="8" t="s">
        <v>37</v>
      </c>
      <c r="N4" s="5" t="s">
        <v>33</v>
      </c>
      <c r="O4" s="5" t="s">
        <v>38</v>
      </c>
      <c r="P4" s="5" t="s">
        <v>39</v>
      </c>
      <c r="Q4" s="1" t="s">
        <v>40</v>
      </c>
      <c r="R4" s="5" t="s">
        <v>41</v>
      </c>
      <c r="S4" s="5" t="s">
        <v>42</v>
      </c>
      <c r="U4" s="5" t="s">
        <v>43</v>
      </c>
      <c r="X4" s="9" t="s">
        <v>51</v>
      </c>
      <c r="Y4" s="5" t="s">
        <v>38</v>
      </c>
      <c r="Z4" s="5" t="s">
        <v>45</v>
      </c>
      <c r="AA4" s="5" t="s">
        <v>46</v>
      </c>
      <c r="AB4" s="5" t="s">
        <v>47</v>
      </c>
      <c r="AC4" s="5" t="s">
        <v>48</v>
      </c>
      <c r="AD4" s="5" t="str">
        <f>_xlfn.CONCAT(Table58911[[#This Row],[&lt;&lt;NOLA&gt;&gt;
NIEM Element]],Table58911[[#This Row],[Repeat Values per attribute]])</f>
        <v>nc:AddressFullTexta</v>
      </c>
    </row>
    <row r="5" spans="1:32" ht="30" customHeight="1" x14ac:dyDescent="0.3">
      <c r="A5" s="5">
        <f t="shared" si="0"/>
        <v>4</v>
      </c>
      <c r="B5" s="5">
        <f t="shared" si="1"/>
        <v>1</v>
      </c>
      <c r="C5" s="5">
        <f t="shared" si="1"/>
        <v>2</v>
      </c>
      <c r="D5" s="5">
        <f t="shared" si="2"/>
        <v>4</v>
      </c>
      <c r="E5" s="5" t="s">
        <v>49</v>
      </c>
      <c r="F5" s="5" t="s">
        <v>8</v>
      </c>
      <c r="G5" s="5">
        <v>390</v>
      </c>
      <c r="H5" s="6" t="s">
        <v>33</v>
      </c>
      <c r="I5" s="7" t="s">
        <v>33</v>
      </c>
      <c r="J5" s="5" t="s">
        <v>34</v>
      </c>
      <c r="K5" s="5" t="s">
        <v>35</v>
      </c>
      <c r="L5" s="5" t="s">
        <v>36</v>
      </c>
      <c r="M5" s="8" t="s">
        <v>52</v>
      </c>
      <c r="N5" s="5" t="s">
        <v>33</v>
      </c>
      <c r="O5" s="5" t="s">
        <v>53</v>
      </c>
      <c r="P5" s="1" t="s">
        <v>54</v>
      </c>
      <c r="Q5" s="1" t="s">
        <v>40</v>
      </c>
      <c r="R5" s="5" t="s">
        <v>41</v>
      </c>
      <c r="S5" s="5" t="s">
        <v>42</v>
      </c>
      <c r="U5" s="5" t="s">
        <v>43</v>
      </c>
      <c r="X5" s="9" t="s">
        <v>44</v>
      </c>
      <c r="Y5" s="5" t="s">
        <v>53</v>
      </c>
      <c r="Z5" s="5" t="s">
        <v>45</v>
      </c>
      <c r="AA5" s="5" t="s">
        <v>46</v>
      </c>
      <c r="AB5" s="5" t="s">
        <v>55</v>
      </c>
      <c r="AC5" s="5" t="s">
        <v>56</v>
      </c>
      <c r="AD5" s="5" t="str">
        <f>_xlfn.CONCAT(Table58911[[#This Row],[&lt;&lt;NOLA&gt;&gt;
NIEM Element]],Table58911[[#This Row],[Repeat Values per attribute]])</f>
        <v>nc:AddressFullTextb</v>
      </c>
    </row>
    <row r="6" spans="1:32" ht="30" customHeight="1" x14ac:dyDescent="0.3">
      <c r="A6" s="5">
        <f t="shared" si="0"/>
        <v>5</v>
      </c>
      <c r="B6" s="5">
        <f t="shared" si="1"/>
        <v>1</v>
      </c>
      <c r="C6" s="5">
        <f t="shared" si="1"/>
        <v>2</v>
      </c>
      <c r="D6" s="5">
        <f t="shared" si="2"/>
        <v>4</v>
      </c>
      <c r="E6" s="5" t="s">
        <v>49</v>
      </c>
      <c r="F6" s="5" t="s">
        <v>8</v>
      </c>
      <c r="G6" s="5">
        <v>390</v>
      </c>
      <c r="H6" s="6" t="s">
        <v>33</v>
      </c>
      <c r="I6" s="7" t="s">
        <v>33</v>
      </c>
      <c r="J6" s="5" t="s">
        <v>34</v>
      </c>
      <c r="K6" s="5" t="s">
        <v>35</v>
      </c>
      <c r="L6" s="5" t="s">
        <v>36</v>
      </c>
      <c r="M6" s="8" t="s">
        <v>52</v>
      </c>
      <c r="N6" s="5" t="s">
        <v>33</v>
      </c>
      <c r="O6" s="5" t="s">
        <v>53</v>
      </c>
      <c r="P6" s="1" t="s">
        <v>54</v>
      </c>
      <c r="Q6" s="1" t="s">
        <v>40</v>
      </c>
      <c r="R6" s="5" t="s">
        <v>41</v>
      </c>
      <c r="S6" s="5" t="s">
        <v>42</v>
      </c>
      <c r="U6" s="5" t="s">
        <v>43</v>
      </c>
      <c r="X6" s="9" t="s">
        <v>50</v>
      </c>
      <c r="Y6" s="5" t="s">
        <v>53</v>
      </c>
      <c r="Z6" s="5" t="s">
        <v>45</v>
      </c>
      <c r="AA6" s="5" t="s">
        <v>46</v>
      </c>
      <c r="AB6" s="5" t="s">
        <v>55</v>
      </c>
      <c r="AC6" s="5" t="s">
        <v>56</v>
      </c>
      <c r="AD6" s="5" t="str">
        <f>_xlfn.CONCAT(Table58911[[#This Row],[&lt;&lt;NOLA&gt;&gt;
NIEM Element]],Table58911[[#This Row],[Repeat Values per attribute]])</f>
        <v>nc:AddressFullTextb</v>
      </c>
    </row>
    <row r="7" spans="1:32" ht="30" customHeight="1" x14ac:dyDescent="0.3">
      <c r="A7" s="5">
        <f t="shared" si="0"/>
        <v>6</v>
      </c>
      <c r="B7" s="5">
        <f t="shared" si="1"/>
        <v>1</v>
      </c>
      <c r="C7" s="5">
        <f t="shared" si="1"/>
        <v>2</v>
      </c>
      <c r="D7" s="5">
        <f t="shared" si="2"/>
        <v>4</v>
      </c>
      <c r="E7" s="5" t="s">
        <v>49</v>
      </c>
      <c r="F7" s="5" t="s">
        <v>8</v>
      </c>
      <c r="G7" s="5">
        <v>390</v>
      </c>
      <c r="H7" s="6" t="s">
        <v>33</v>
      </c>
      <c r="I7" s="7" t="s">
        <v>33</v>
      </c>
      <c r="J7" s="5" t="s">
        <v>34</v>
      </c>
      <c r="K7" s="5" t="s">
        <v>35</v>
      </c>
      <c r="L7" s="5" t="s">
        <v>36</v>
      </c>
      <c r="M7" s="8" t="s">
        <v>52</v>
      </c>
      <c r="N7" s="5" t="s">
        <v>33</v>
      </c>
      <c r="O7" s="5" t="s">
        <v>53</v>
      </c>
      <c r="P7" s="1" t="s">
        <v>54</v>
      </c>
      <c r="Q7" s="1" t="s">
        <v>40</v>
      </c>
      <c r="R7" s="5" t="s">
        <v>41</v>
      </c>
      <c r="S7" s="5" t="s">
        <v>42</v>
      </c>
      <c r="U7" s="5" t="s">
        <v>43</v>
      </c>
      <c r="X7" s="9" t="s">
        <v>51</v>
      </c>
      <c r="Y7" s="5" t="s">
        <v>53</v>
      </c>
      <c r="Z7" s="5" t="s">
        <v>45</v>
      </c>
      <c r="AA7" s="5" t="s">
        <v>46</v>
      </c>
      <c r="AB7" s="5" t="s">
        <v>55</v>
      </c>
      <c r="AC7" s="5" t="s">
        <v>56</v>
      </c>
      <c r="AD7" s="5" t="str">
        <f>_xlfn.CONCAT(Table58911[[#This Row],[&lt;&lt;NOLA&gt;&gt;
NIEM Element]],Table58911[[#This Row],[Repeat Values per attribute]])</f>
        <v>nc:AddressFullTextb</v>
      </c>
    </row>
    <row r="8" spans="1:32" ht="30" customHeight="1" x14ac:dyDescent="0.3">
      <c r="A8" s="5">
        <f t="shared" si="0"/>
        <v>7</v>
      </c>
      <c r="B8" s="5">
        <f t="shared" si="1"/>
        <v>1</v>
      </c>
      <c r="C8" s="5">
        <f t="shared" si="1"/>
        <v>2</v>
      </c>
      <c r="D8" s="5">
        <f t="shared" si="2"/>
        <v>5</v>
      </c>
      <c r="E8" s="5" t="s">
        <v>49</v>
      </c>
      <c r="F8" s="5" t="s">
        <v>8</v>
      </c>
      <c r="G8" s="5">
        <v>390</v>
      </c>
      <c r="H8" s="6" t="s">
        <v>33</v>
      </c>
      <c r="I8" s="7" t="s">
        <v>33</v>
      </c>
      <c r="J8" s="5" t="s">
        <v>34</v>
      </c>
      <c r="K8" s="5" t="s">
        <v>35</v>
      </c>
      <c r="L8" s="5" t="s">
        <v>36</v>
      </c>
      <c r="M8" s="8" t="s">
        <v>57</v>
      </c>
      <c r="N8" s="5" t="s">
        <v>33</v>
      </c>
      <c r="O8" s="5" t="s">
        <v>58</v>
      </c>
      <c r="P8" s="1" t="s">
        <v>59</v>
      </c>
      <c r="Q8" s="1" t="s">
        <v>40</v>
      </c>
      <c r="R8" s="5" t="s">
        <v>41</v>
      </c>
      <c r="S8" s="5" t="s">
        <v>42</v>
      </c>
      <c r="U8" s="5" t="s">
        <v>43</v>
      </c>
      <c r="X8" s="9" t="s">
        <v>44</v>
      </c>
      <c r="Y8" s="5" t="s">
        <v>58</v>
      </c>
      <c r="Z8" s="5" t="s">
        <v>45</v>
      </c>
      <c r="AA8" s="5" t="s">
        <v>46</v>
      </c>
      <c r="AB8" s="5" t="s">
        <v>60</v>
      </c>
      <c r="AC8" s="5" t="s">
        <v>61</v>
      </c>
      <c r="AD8" s="5" t="str">
        <f>_xlfn.CONCAT(Table58911[[#This Row],[&lt;&lt;NOLA&gt;&gt;
NIEM Element]],Table58911[[#This Row],[Repeat Values per attribute]])</f>
        <v>nc:AddressFullTextc</v>
      </c>
    </row>
    <row r="9" spans="1:32" ht="30" customHeight="1" x14ac:dyDescent="0.3">
      <c r="A9" s="5">
        <f t="shared" si="0"/>
        <v>8</v>
      </c>
      <c r="B9" s="5">
        <f t="shared" si="1"/>
        <v>1</v>
      </c>
      <c r="C9" s="5">
        <f t="shared" si="1"/>
        <v>2</v>
      </c>
      <c r="D9" s="5">
        <f t="shared" si="2"/>
        <v>5</v>
      </c>
      <c r="E9" s="5" t="s">
        <v>49</v>
      </c>
      <c r="F9" s="5" t="s">
        <v>8</v>
      </c>
      <c r="G9" s="5">
        <v>390</v>
      </c>
      <c r="H9" s="6" t="s">
        <v>33</v>
      </c>
      <c r="I9" s="7" t="s">
        <v>33</v>
      </c>
      <c r="J9" s="5" t="s">
        <v>34</v>
      </c>
      <c r="K9" s="5" t="s">
        <v>35</v>
      </c>
      <c r="L9" s="5" t="s">
        <v>36</v>
      </c>
      <c r="M9" s="8" t="s">
        <v>57</v>
      </c>
      <c r="N9" s="5" t="s">
        <v>33</v>
      </c>
      <c r="O9" s="5" t="s">
        <v>58</v>
      </c>
      <c r="P9" s="1" t="s">
        <v>59</v>
      </c>
      <c r="Q9" s="1" t="s">
        <v>40</v>
      </c>
      <c r="R9" s="5" t="s">
        <v>41</v>
      </c>
      <c r="S9" s="5" t="s">
        <v>42</v>
      </c>
      <c r="U9" s="5" t="s">
        <v>43</v>
      </c>
      <c r="X9" s="9" t="s">
        <v>50</v>
      </c>
      <c r="Y9" s="5" t="s">
        <v>58</v>
      </c>
      <c r="Z9" s="5" t="s">
        <v>45</v>
      </c>
      <c r="AA9" s="5" t="s">
        <v>46</v>
      </c>
      <c r="AB9" s="5" t="s">
        <v>60</v>
      </c>
      <c r="AC9" s="5" t="s">
        <v>61</v>
      </c>
      <c r="AD9" s="5" t="str">
        <f>_xlfn.CONCAT(Table58911[[#This Row],[&lt;&lt;NOLA&gt;&gt;
NIEM Element]],Table58911[[#This Row],[Repeat Values per attribute]])</f>
        <v>nc:AddressFullTextc</v>
      </c>
    </row>
    <row r="10" spans="1:32" ht="30" customHeight="1" x14ac:dyDescent="0.3">
      <c r="A10" s="5">
        <f t="shared" si="0"/>
        <v>9</v>
      </c>
      <c r="B10" s="5">
        <f t="shared" si="1"/>
        <v>1</v>
      </c>
      <c r="C10" s="5">
        <f t="shared" si="1"/>
        <v>2</v>
      </c>
      <c r="D10" s="5">
        <f t="shared" si="2"/>
        <v>5</v>
      </c>
      <c r="E10" s="5" t="s">
        <v>49</v>
      </c>
      <c r="F10" s="5" t="s">
        <v>8</v>
      </c>
      <c r="G10" s="5">
        <v>390</v>
      </c>
      <c r="H10" s="6" t="s">
        <v>33</v>
      </c>
      <c r="I10" s="7" t="s">
        <v>33</v>
      </c>
      <c r="J10" s="5" t="s">
        <v>34</v>
      </c>
      <c r="K10" s="5" t="s">
        <v>35</v>
      </c>
      <c r="L10" s="5" t="s">
        <v>36</v>
      </c>
      <c r="M10" s="8" t="s">
        <v>57</v>
      </c>
      <c r="N10" s="5" t="s">
        <v>33</v>
      </c>
      <c r="O10" s="5" t="s">
        <v>58</v>
      </c>
      <c r="P10" s="1" t="s">
        <v>59</v>
      </c>
      <c r="Q10" s="1" t="s">
        <v>40</v>
      </c>
      <c r="R10" s="5" t="s">
        <v>41</v>
      </c>
      <c r="S10" s="5" t="s">
        <v>42</v>
      </c>
      <c r="U10" s="5" t="s">
        <v>43</v>
      </c>
      <c r="X10" s="9" t="s">
        <v>51</v>
      </c>
      <c r="Y10" s="5" t="s">
        <v>58</v>
      </c>
      <c r="Z10" s="5" t="s">
        <v>45</v>
      </c>
      <c r="AA10" s="5" t="s">
        <v>46</v>
      </c>
      <c r="AB10" s="5" t="s">
        <v>60</v>
      </c>
      <c r="AC10" s="5" t="s">
        <v>61</v>
      </c>
      <c r="AD10" s="5" t="str">
        <f>_xlfn.CONCAT(Table58911[[#This Row],[&lt;&lt;NOLA&gt;&gt;
NIEM Element]],Table58911[[#This Row],[Repeat Values per attribute]])</f>
        <v>nc:AddressFullTextc</v>
      </c>
    </row>
    <row r="11" spans="1:32" ht="30" customHeight="1" x14ac:dyDescent="0.3">
      <c r="A11" s="5">
        <f t="shared" si="0"/>
        <v>10</v>
      </c>
      <c r="B11" s="5">
        <f t="shared" si="1"/>
        <v>1</v>
      </c>
      <c r="C11" s="5">
        <f t="shared" si="1"/>
        <v>2</v>
      </c>
      <c r="D11" s="5">
        <f t="shared" si="2"/>
        <v>6</v>
      </c>
      <c r="E11" s="5" t="s">
        <v>49</v>
      </c>
      <c r="F11" s="5" t="s">
        <v>8</v>
      </c>
      <c r="G11" s="5">
        <v>390</v>
      </c>
      <c r="H11" s="6" t="s">
        <v>33</v>
      </c>
      <c r="I11" s="7" t="s">
        <v>33</v>
      </c>
      <c r="J11" s="5" t="s">
        <v>34</v>
      </c>
      <c r="K11" s="5" t="s">
        <v>35</v>
      </c>
      <c r="L11" s="5" t="s">
        <v>36</v>
      </c>
      <c r="M11" s="8" t="s">
        <v>49</v>
      </c>
      <c r="N11" s="5" t="s">
        <v>33</v>
      </c>
      <c r="O11" s="5" t="s">
        <v>62</v>
      </c>
      <c r="P11" s="1" t="s">
        <v>63</v>
      </c>
      <c r="Q11" s="1" t="s">
        <v>40</v>
      </c>
      <c r="R11" s="5" t="s">
        <v>41</v>
      </c>
      <c r="S11" s="5" t="s">
        <v>42</v>
      </c>
      <c r="U11" s="5" t="s">
        <v>43</v>
      </c>
      <c r="X11" s="9" t="s">
        <v>44</v>
      </c>
      <c r="Y11" s="5" t="s">
        <v>62</v>
      </c>
      <c r="Z11" s="5" t="s">
        <v>45</v>
      </c>
      <c r="AA11" s="5" t="s">
        <v>46</v>
      </c>
      <c r="AB11" s="5" t="s">
        <v>64</v>
      </c>
      <c r="AC11" s="5" t="s">
        <v>65</v>
      </c>
      <c r="AD11" s="5" t="str">
        <f>_xlfn.CONCAT(Table58911[[#This Row],[&lt;&lt;NOLA&gt;&gt;
NIEM Element]],Table58911[[#This Row],[Repeat Values per attribute]])</f>
        <v>nc:AddressFullTextd</v>
      </c>
    </row>
    <row r="12" spans="1:32" ht="30" customHeight="1" x14ac:dyDescent="0.3">
      <c r="A12" s="5">
        <f t="shared" si="0"/>
        <v>11</v>
      </c>
      <c r="B12" s="5">
        <f t="shared" si="1"/>
        <v>1</v>
      </c>
      <c r="C12" s="5">
        <f t="shared" si="1"/>
        <v>2</v>
      </c>
      <c r="D12" s="5">
        <f t="shared" si="2"/>
        <v>6</v>
      </c>
      <c r="E12" s="5" t="s">
        <v>49</v>
      </c>
      <c r="F12" s="5" t="s">
        <v>8</v>
      </c>
      <c r="G12" s="5">
        <v>390</v>
      </c>
      <c r="H12" s="6" t="s">
        <v>33</v>
      </c>
      <c r="I12" s="7" t="s">
        <v>33</v>
      </c>
      <c r="J12" s="5" t="s">
        <v>34</v>
      </c>
      <c r="K12" s="5" t="s">
        <v>35</v>
      </c>
      <c r="L12" s="5" t="s">
        <v>36</v>
      </c>
      <c r="M12" s="8" t="s">
        <v>49</v>
      </c>
      <c r="N12" s="5" t="s">
        <v>33</v>
      </c>
      <c r="O12" s="5" t="s">
        <v>62</v>
      </c>
      <c r="P12" s="1" t="s">
        <v>63</v>
      </c>
      <c r="Q12" s="1" t="s">
        <v>40</v>
      </c>
      <c r="R12" s="5" t="s">
        <v>41</v>
      </c>
      <c r="S12" s="5" t="s">
        <v>42</v>
      </c>
      <c r="U12" s="5" t="s">
        <v>43</v>
      </c>
      <c r="X12" s="9" t="s">
        <v>50</v>
      </c>
      <c r="Y12" s="5" t="s">
        <v>62</v>
      </c>
      <c r="Z12" s="5" t="s">
        <v>45</v>
      </c>
      <c r="AA12" s="5" t="s">
        <v>46</v>
      </c>
      <c r="AB12" s="5" t="s">
        <v>64</v>
      </c>
      <c r="AC12" s="5" t="s">
        <v>65</v>
      </c>
      <c r="AD12" s="5" t="str">
        <f>_xlfn.CONCAT(Table58911[[#This Row],[&lt;&lt;NOLA&gt;&gt;
NIEM Element]],Table58911[[#This Row],[Repeat Values per attribute]])</f>
        <v>nc:AddressFullTextd</v>
      </c>
    </row>
    <row r="13" spans="1:32" ht="30" customHeight="1" x14ac:dyDescent="0.3">
      <c r="A13" s="5">
        <f t="shared" si="0"/>
        <v>12</v>
      </c>
      <c r="B13" s="5">
        <f t="shared" si="1"/>
        <v>1</v>
      </c>
      <c r="C13" s="5">
        <f t="shared" si="1"/>
        <v>2</v>
      </c>
      <c r="D13" s="5">
        <f t="shared" si="2"/>
        <v>6</v>
      </c>
      <c r="E13" s="5" t="s">
        <v>49</v>
      </c>
      <c r="F13" s="5" t="s">
        <v>8</v>
      </c>
      <c r="G13" s="5">
        <v>390</v>
      </c>
      <c r="H13" s="6" t="s">
        <v>33</v>
      </c>
      <c r="I13" s="7" t="s">
        <v>33</v>
      </c>
      <c r="J13" s="5" t="s">
        <v>34</v>
      </c>
      <c r="K13" s="5" t="s">
        <v>35</v>
      </c>
      <c r="L13" s="5" t="s">
        <v>36</v>
      </c>
      <c r="M13" s="8" t="s">
        <v>49</v>
      </c>
      <c r="N13" s="5" t="s">
        <v>33</v>
      </c>
      <c r="O13" s="5" t="s">
        <v>62</v>
      </c>
      <c r="P13" s="1" t="s">
        <v>63</v>
      </c>
      <c r="Q13" s="1" t="s">
        <v>40</v>
      </c>
      <c r="R13" s="5" t="s">
        <v>41</v>
      </c>
      <c r="S13" s="5" t="s">
        <v>42</v>
      </c>
      <c r="U13" s="5" t="s">
        <v>43</v>
      </c>
      <c r="X13" s="9" t="s">
        <v>51</v>
      </c>
      <c r="Y13" s="5" t="s">
        <v>62</v>
      </c>
      <c r="Z13" s="5" t="s">
        <v>45</v>
      </c>
      <c r="AA13" s="5" t="s">
        <v>46</v>
      </c>
      <c r="AB13" s="5" t="s">
        <v>64</v>
      </c>
      <c r="AC13" s="5" t="s">
        <v>65</v>
      </c>
      <c r="AD13" s="5" t="str">
        <f>_xlfn.CONCAT(Table58911[[#This Row],[&lt;&lt;NOLA&gt;&gt;
NIEM Element]],Table58911[[#This Row],[Repeat Values per attribute]])</f>
        <v>nc:AddressFullTextd</v>
      </c>
    </row>
    <row r="14" spans="1:32" ht="30" customHeight="1" x14ac:dyDescent="0.3">
      <c r="A14" s="5">
        <f t="shared" si="0"/>
        <v>13</v>
      </c>
      <c r="B14" s="5">
        <f t="shared" si="1"/>
        <v>1</v>
      </c>
      <c r="C14" s="5">
        <f t="shared" si="1"/>
        <v>3</v>
      </c>
      <c r="D14" s="5">
        <f t="shared" si="2"/>
        <v>7</v>
      </c>
      <c r="E14" s="5" t="s">
        <v>32</v>
      </c>
      <c r="F14" s="5" t="s">
        <v>8</v>
      </c>
      <c r="G14" s="5">
        <v>394</v>
      </c>
      <c r="H14" s="6" t="s">
        <v>33</v>
      </c>
      <c r="I14" s="7" t="s">
        <v>66</v>
      </c>
      <c r="J14" s="5" t="s">
        <v>34</v>
      </c>
      <c r="K14" s="5" t="s">
        <v>67</v>
      </c>
      <c r="L14" s="5" t="s">
        <v>36</v>
      </c>
      <c r="M14" s="8" t="s">
        <v>37</v>
      </c>
      <c r="N14" s="5" t="s">
        <v>66</v>
      </c>
      <c r="O14" s="5" t="s">
        <v>68</v>
      </c>
      <c r="P14" s="5" t="s">
        <v>69</v>
      </c>
      <c r="Q14" s="1" t="s">
        <v>70</v>
      </c>
      <c r="R14" s="5" t="s">
        <v>71</v>
      </c>
      <c r="S14" s="5" t="s">
        <v>72</v>
      </c>
      <c r="U14" s="5" t="s">
        <v>73</v>
      </c>
      <c r="X14" s="9" t="s">
        <v>74</v>
      </c>
      <c r="Y14" s="5" t="s">
        <v>68</v>
      </c>
      <c r="Z14" s="5" t="s">
        <v>45</v>
      </c>
      <c r="AA14" s="5" t="s">
        <v>46</v>
      </c>
      <c r="AB14" s="5" t="s">
        <v>75</v>
      </c>
      <c r="AC14" s="5" t="s">
        <v>76</v>
      </c>
      <c r="AD14" s="5" t="str">
        <f>_xlfn.CONCAT(Table58911[[#This Row],[&lt;&lt;NOLA&gt;&gt;
NIEM Element]],Table58911[[#This Row],[Repeat Values per attribute]])</f>
        <v>nc:AddressCityNamea</v>
      </c>
    </row>
    <row r="15" spans="1:32" ht="30" customHeight="1" x14ac:dyDescent="0.3">
      <c r="A15" s="5">
        <f t="shared" si="0"/>
        <v>14</v>
      </c>
      <c r="B15" s="5">
        <f t="shared" si="1"/>
        <v>1</v>
      </c>
      <c r="C15" s="5">
        <f t="shared" si="1"/>
        <v>3</v>
      </c>
      <c r="D15" s="5">
        <f t="shared" si="2"/>
        <v>7</v>
      </c>
      <c r="E15" s="5" t="s">
        <v>49</v>
      </c>
      <c r="F15" s="5" t="s">
        <v>8</v>
      </c>
      <c r="G15" s="5">
        <v>394</v>
      </c>
      <c r="H15" s="6" t="s">
        <v>33</v>
      </c>
      <c r="I15" s="7" t="s">
        <v>66</v>
      </c>
      <c r="J15" s="5" t="s">
        <v>34</v>
      </c>
      <c r="K15" s="5" t="s">
        <v>67</v>
      </c>
      <c r="L15" s="5" t="s">
        <v>36</v>
      </c>
      <c r="M15" s="8" t="s">
        <v>37</v>
      </c>
      <c r="N15" s="5" t="s">
        <v>66</v>
      </c>
      <c r="O15" s="5" t="s">
        <v>68</v>
      </c>
      <c r="P15" s="5" t="s">
        <v>69</v>
      </c>
      <c r="Q15" s="1" t="s">
        <v>70</v>
      </c>
      <c r="R15" s="5" t="s">
        <v>71</v>
      </c>
      <c r="S15" s="5" t="s">
        <v>72</v>
      </c>
      <c r="U15" s="5" t="s">
        <v>73</v>
      </c>
      <c r="X15" s="9" t="s">
        <v>77</v>
      </c>
      <c r="Y15" s="5" t="s">
        <v>68</v>
      </c>
      <c r="Z15" s="5" t="s">
        <v>45</v>
      </c>
      <c r="AA15" s="5" t="s">
        <v>46</v>
      </c>
      <c r="AB15" s="5" t="s">
        <v>75</v>
      </c>
      <c r="AC15" s="5" t="s">
        <v>76</v>
      </c>
      <c r="AD15" s="5" t="str">
        <f>_xlfn.CONCAT(Table58911[[#This Row],[&lt;&lt;NOLA&gt;&gt;
NIEM Element]],Table58911[[#This Row],[Repeat Values per attribute]])</f>
        <v>nc:AddressCityNamea</v>
      </c>
    </row>
    <row r="16" spans="1:32" ht="30" customHeight="1" x14ac:dyDescent="0.3">
      <c r="A16" s="5">
        <f t="shared" si="0"/>
        <v>15</v>
      </c>
      <c r="B16" s="5">
        <f t="shared" si="1"/>
        <v>1</v>
      </c>
      <c r="C16" s="5">
        <f t="shared" si="1"/>
        <v>3</v>
      </c>
      <c r="D16" s="5">
        <f t="shared" si="2"/>
        <v>7</v>
      </c>
      <c r="E16" s="5" t="s">
        <v>49</v>
      </c>
      <c r="F16" s="5" t="s">
        <v>8</v>
      </c>
      <c r="G16" s="5">
        <v>394</v>
      </c>
      <c r="H16" s="6" t="s">
        <v>33</v>
      </c>
      <c r="I16" s="7" t="s">
        <v>66</v>
      </c>
      <c r="J16" s="5" t="s">
        <v>34</v>
      </c>
      <c r="K16" s="5" t="s">
        <v>67</v>
      </c>
      <c r="L16" s="5" t="s">
        <v>36</v>
      </c>
      <c r="M16" s="8" t="s">
        <v>37</v>
      </c>
      <c r="N16" s="5" t="s">
        <v>66</v>
      </c>
      <c r="O16" s="5" t="s">
        <v>68</v>
      </c>
      <c r="P16" s="5" t="s">
        <v>69</v>
      </c>
      <c r="Q16" s="1" t="s">
        <v>70</v>
      </c>
      <c r="R16" s="5" t="s">
        <v>71</v>
      </c>
      <c r="S16" s="5" t="s">
        <v>72</v>
      </c>
      <c r="U16" s="5" t="s">
        <v>73</v>
      </c>
      <c r="X16" s="9" t="s">
        <v>78</v>
      </c>
      <c r="Y16" s="5" t="s">
        <v>68</v>
      </c>
      <c r="Z16" s="5" t="s">
        <v>45</v>
      </c>
      <c r="AA16" s="5" t="s">
        <v>46</v>
      </c>
      <c r="AB16" s="5" t="s">
        <v>75</v>
      </c>
      <c r="AC16" s="5" t="s">
        <v>76</v>
      </c>
      <c r="AD16" s="5" t="str">
        <f>_xlfn.CONCAT(Table58911[[#This Row],[&lt;&lt;NOLA&gt;&gt;
NIEM Element]],Table58911[[#This Row],[Repeat Values per attribute]])</f>
        <v>nc:AddressCityNamea</v>
      </c>
    </row>
    <row r="17" spans="1:30" ht="30" customHeight="1" x14ac:dyDescent="0.3">
      <c r="A17" s="5">
        <f t="shared" si="0"/>
        <v>16</v>
      </c>
      <c r="B17" s="5">
        <f t="shared" si="1"/>
        <v>1</v>
      </c>
      <c r="C17" s="5">
        <f t="shared" si="1"/>
        <v>3</v>
      </c>
      <c r="D17" s="5">
        <f t="shared" si="2"/>
        <v>8</v>
      </c>
      <c r="E17" s="5" t="s">
        <v>49</v>
      </c>
      <c r="F17" s="5" t="s">
        <v>8</v>
      </c>
      <c r="G17" s="5">
        <v>394</v>
      </c>
      <c r="H17" s="6" t="s">
        <v>33</v>
      </c>
      <c r="I17" s="7" t="s">
        <v>66</v>
      </c>
      <c r="J17" s="5" t="s">
        <v>34</v>
      </c>
      <c r="K17" s="5" t="s">
        <v>67</v>
      </c>
      <c r="L17" s="5" t="s">
        <v>36</v>
      </c>
      <c r="M17" s="8" t="s">
        <v>52</v>
      </c>
      <c r="N17" s="5" t="s">
        <v>66</v>
      </c>
      <c r="O17" s="5" t="s">
        <v>79</v>
      </c>
      <c r="P17" s="1" t="s">
        <v>80</v>
      </c>
      <c r="Q17" s="1" t="s">
        <v>70</v>
      </c>
      <c r="R17" s="5" t="s">
        <v>71</v>
      </c>
      <c r="S17" s="5" t="s">
        <v>72</v>
      </c>
      <c r="U17" s="5" t="s">
        <v>73</v>
      </c>
      <c r="X17" s="9" t="s">
        <v>74</v>
      </c>
      <c r="Y17" s="5" t="s">
        <v>79</v>
      </c>
      <c r="Z17" s="5" t="s">
        <v>45</v>
      </c>
      <c r="AA17" s="5" t="s">
        <v>46</v>
      </c>
      <c r="AB17" s="5" t="s">
        <v>81</v>
      </c>
      <c r="AC17" s="5" t="s">
        <v>82</v>
      </c>
      <c r="AD17" s="5" t="str">
        <f>_xlfn.CONCAT(Table58911[[#This Row],[&lt;&lt;NOLA&gt;&gt;
NIEM Element]],Table58911[[#This Row],[Repeat Values per attribute]])</f>
        <v>nc:AddressCityNameb</v>
      </c>
    </row>
    <row r="18" spans="1:30" ht="30" customHeight="1" x14ac:dyDescent="0.3">
      <c r="A18" s="5">
        <f t="shared" si="0"/>
        <v>17</v>
      </c>
      <c r="B18" s="5">
        <f t="shared" ref="B18:C33" si="3">IF(H17=H18,B17,B17+1)</f>
        <v>1</v>
      </c>
      <c r="C18" s="5">
        <f t="shared" si="3"/>
        <v>3</v>
      </c>
      <c r="D18" s="5">
        <f t="shared" si="2"/>
        <v>8</v>
      </c>
      <c r="E18" s="5" t="s">
        <v>49</v>
      </c>
      <c r="F18" s="5" t="s">
        <v>8</v>
      </c>
      <c r="G18" s="5">
        <v>394</v>
      </c>
      <c r="H18" s="6" t="s">
        <v>33</v>
      </c>
      <c r="I18" s="7" t="s">
        <v>66</v>
      </c>
      <c r="J18" s="5" t="s">
        <v>34</v>
      </c>
      <c r="K18" s="5" t="s">
        <v>67</v>
      </c>
      <c r="L18" s="5" t="s">
        <v>36</v>
      </c>
      <c r="M18" s="8" t="s">
        <v>52</v>
      </c>
      <c r="N18" s="5" t="s">
        <v>66</v>
      </c>
      <c r="O18" s="5" t="s">
        <v>79</v>
      </c>
      <c r="P18" s="1" t="s">
        <v>80</v>
      </c>
      <c r="Q18" s="1" t="s">
        <v>70</v>
      </c>
      <c r="R18" s="5" t="s">
        <v>71</v>
      </c>
      <c r="S18" s="5" t="s">
        <v>72</v>
      </c>
      <c r="U18" s="5" t="s">
        <v>73</v>
      </c>
      <c r="X18" s="9" t="s">
        <v>77</v>
      </c>
      <c r="Y18" s="5" t="s">
        <v>79</v>
      </c>
      <c r="Z18" s="5" t="s">
        <v>45</v>
      </c>
      <c r="AA18" s="5" t="s">
        <v>46</v>
      </c>
      <c r="AB18" s="5" t="s">
        <v>81</v>
      </c>
      <c r="AC18" s="5" t="s">
        <v>82</v>
      </c>
      <c r="AD18" s="5" t="str">
        <f>_xlfn.CONCAT(Table58911[[#This Row],[&lt;&lt;NOLA&gt;&gt;
NIEM Element]],Table58911[[#This Row],[Repeat Values per attribute]])</f>
        <v>nc:AddressCityNameb</v>
      </c>
    </row>
    <row r="19" spans="1:30" ht="30" customHeight="1" x14ac:dyDescent="0.3">
      <c r="A19" s="5">
        <f t="shared" si="0"/>
        <v>18</v>
      </c>
      <c r="B19" s="5">
        <f t="shared" si="3"/>
        <v>1</v>
      </c>
      <c r="C19" s="5">
        <f t="shared" si="3"/>
        <v>3</v>
      </c>
      <c r="D19" s="5">
        <f t="shared" si="2"/>
        <v>8</v>
      </c>
      <c r="E19" s="5" t="s">
        <v>49</v>
      </c>
      <c r="F19" s="5" t="s">
        <v>8</v>
      </c>
      <c r="G19" s="5">
        <v>394</v>
      </c>
      <c r="H19" s="6" t="s">
        <v>33</v>
      </c>
      <c r="I19" s="7" t="s">
        <v>66</v>
      </c>
      <c r="J19" s="5" t="s">
        <v>34</v>
      </c>
      <c r="K19" s="5" t="s">
        <v>67</v>
      </c>
      <c r="L19" s="5" t="s">
        <v>36</v>
      </c>
      <c r="M19" s="8" t="s">
        <v>52</v>
      </c>
      <c r="N19" s="5" t="s">
        <v>66</v>
      </c>
      <c r="O19" s="5" t="s">
        <v>79</v>
      </c>
      <c r="P19" s="1" t="s">
        <v>80</v>
      </c>
      <c r="Q19" s="1" t="s">
        <v>70</v>
      </c>
      <c r="R19" s="5" t="s">
        <v>71</v>
      </c>
      <c r="S19" s="5" t="s">
        <v>72</v>
      </c>
      <c r="U19" s="5" t="s">
        <v>73</v>
      </c>
      <c r="X19" s="9" t="s">
        <v>78</v>
      </c>
      <c r="Y19" s="5" t="s">
        <v>79</v>
      </c>
      <c r="Z19" s="5" t="s">
        <v>45</v>
      </c>
      <c r="AA19" s="5" t="s">
        <v>46</v>
      </c>
      <c r="AB19" s="5" t="s">
        <v>81</v>
      </c>
      <c r="AC19" s="5" t="s">
        <v>82</v>
      </c>
      <c r="AD19" s="5" t="str">
        <f>_xlfn.CONCAT(Table58911[[#This Row],[&lt;&lt;NOLA&gt;&gt;
NIEM Element]],Table58911[[#This Row],[Repeat Values per attribute]])</f>
        <v>nc:AddressCityNameb</v>
      </c>
    </row>
    <row r="20" spans="1:30" ht="30" customHeight="1" x14ac:dyDescent="0.3">
      <c r="A20" s="5">
        <f t="shared" si="0"/>
        <v>19</v>
      </c>
      <c r="B20" s="5">
        <f t="shared" si="3"/>
        <v>1</v>
      </c>
      <c r="C20" s="5">
        <f t="shared" si="3"/>
        <v>3</v>
      </c>
      <c r="D20" s="5">
        <f t="shared" si="2"/>
        <v>9</v>
      </c>
      <c r="E20" s="5" t="s">
        <v>49</v>
      </c>
      <c r="F20" s="5" t="s">
        <v>8</v>
      </c>
      <c r="G20" s="5">
        <v>394</v>
      </c>
      <c r="H20" s="6" t="s">
        <v>33</v>
      </c>
      <c r="I20" s="7" t="s">
        <v>66</v>
      </c>
      <c r="J20" s="5" t="s">
        <v>34</v>
      </c>
      <c r="K20" s="5" t="s">
        <v>67</v>
      </c>
      <c r="L20" s="5" t="s">
        <v>36</v>
      </c>
      <c r="M20" s="8" t="s">
        <v>57</v>
      </c>
      <c r="N20" s="5" t="s">
        <v>66</v>
      </c>
      <c r="O20" s="5" t="s">
        <v>83</v>
      </c>
      <c r="P20" s="1" t="s">
        <v>84</v>
      </c>
      <c r="Q20" s="1" t="s">
        <v>70</v>
      </c>
      <c r="R20" s="5" t="s">
        <v>71</v>
      </c>
      <c r="S20" s="5" t="s">
        <v>72</v>
      </c>
      <c r="U20" s="5" t="s">
        <v>73</v>
      </c>
      <c r="X20" s="9" t="s">
        <v>74</v>
      </c>
      <c r="Y20" s="5" t="s">
        <v>83</v>
      </c>
      <c r="Z20" s="5" t="s">
        <v>45</v>
      </c>
      <c r="AA20" s="5" t="s">
        <v>46</v>
      </c>
      <c r="AB20" s="5" t="s">
        <v>85</v>
      </c>
      <c r="AC20" s="5" t="s">
        <v>86</v>
      </c>
      <c r="AD20" s="5" t="str">
        <f>_xlfn.CONCAT(Table58911[[#This Row],[&lt;&lt;NOLA&gt;&gt;
NIEM Element]],Table58911[[#This Row],[Repeat Values per attribute]])</f>
        <v>nc:AddressCityNamec</v>
      </c>
    </row>
    <row r="21" spans="1:30" ht="30" customHeight="1" x14ac:dyDescent="0.3">
      <c r="A21" s="5">
        <f t="shared" si="0"/>
        <v>20</v>
      </c>
      <c r="B21" s="5">
        <f t="shared" si="3"/>
        <v>1</v>
      </c>
      <c r="C21" s="5">
        <f t="shared" si="3"/>
        <v>3</v>
      </c>
      <c r="D21" s="5">
        <f t="shared" si="2"/>
        <v>9</v>
      </c>
      <c r="E21" s="5" t="s">
        <v>49</v>
      </c>
      <c r="F21" s="5" t="s">
        <v>8</v>
      </c>
      <c r="G21" s="5">
        <v>394</v>
      </c>
      <c r="H21" s="6" t="s">
        <v>33</v>
      </c>
      <c r="I21" s="7" t="s">
        <v>66</v>
      </c>
      <c r="J21" s="5" t="s">
        <v>34</v>
      </c>
      <c r="K21" s="5" t="s">
        <v>67</v>
      </c>
      <c r="L21" s="5" t="s">
        <v>36</v>
      </c>
      <c r="M21" s="8" t="s">
        <v>57</v>
      </c>
      <c r="N21" s="5" t="s">
        <v>66</v>
      </c>
      <c r="O21" s="5" t="s">
        <v>83</v>
      </c>
      <c r="P21" s="1" t="s">
        <v>84</v>
      </c>
      <c r="Q21" s="1" t="s">
        <v>70</v>
      </c>
      <c r="R21" s="5" t="s">
        <v>71</v>
      </c>
      <c r="S21" s="5" t="s">
        <v>72</v>
      </c>
      <c r="U21" s="5" t="s">
        <v>73</v>
      </c>
      <c r="X21" s="9" t="s">
        <v>77</v>
      </c>
      <c r="Y21" s="5" t="s">
        <v>83</v>
      </c>
      <c r="Z21" s="5" t="s">
        <v>45</v>
      </c>
      <c r="AA21" s="5" t="s">
        <v>46</v>
      </c>
      <c r="AB21" s="5" t="s">
        <v>85</v>
      </c>
      <c r="AC21" s="5" t="s">
        <v>86</v>
      </c>
      <c r="AD21" s="5" t="str">
        <f>_xlfn.CONCAT(Table58911[[#This Row],[&lt;&lt;NOLA&gt;&gt;
NIEM Element]],Table58911[[#This Row],[Repeat Values per attribute]])</f>
        <v>nc:AddressCityNamec</v>
      </c>
    </row>
    <row r="22" spans="1:30" ht="30" customHeight="1" x14ac:dyDescent="0.3">
      <c r="A22" s="5">
        <f t="shared" si="0"/>
        <v>21</v>
      </c>
      <c r="B22" s="5">
        <f t="shared" si="3"/>
        <v>1</v>
      </c>
      <c r="C22" s="5">
        <f t="shared" si="3"/>
        <v>3</v>
      </c>
      <c r="D22" s="5">
        <f t="shared" si="2"/>
        <v>9</v>
      </c>
      <c r="E22" s="5" t="s">
        <v>49</v>
      </c>
      <c r="F22" s="5" t="s">
        <v>8</v>
      </c>
      <c r="G22" s="5">
        <v>394</v>
      </c>
      <c r="H22" s="6" t="s">
        <v>33</v>
      </c>
      <c r="I22" s="7" t="s">
        <v>66</v>
      </c>
      <c r="J22" s="5" t="s">
        <v>34</v>
      </c>
      <c r="K22" s="5" t="s">
        <v>67</v>
      </c>
      <c r="L22" s="5" t="s">
        <v>36</v>
      </c>
      <c r="M22" s="8" t="s">
        <v>57</v>
      </c>
      <c r="N22" s="5" t="s">
        <v>66</v>
      </c>
      <c r="O22" s="5" t="s">
        <v>83</v>
      </c>
      <c r="P22" s="1" t="s">
        <v>84</v>
      </c>
      <c r="Q22" s="1" t="s">
        <v>70</v>
      </c>
      <c r="R22" s="5" t="s">
        <v>71</v>
      </c>
      <c r="S22" s="5" t="s">
        <v>72</v>
      </c>
      <c r="U22" s="5" t="s">
        <v>73</v>
      </c>
      <c r="X22" s="9" t="s">
        <v>78</v>
      </c>
      <c r="Y22" s="5" t="s">
        <v>83</v>
      </c>
      <c r="Z22" s="5" t="s">
        <v>45</v>
      </c>
      <c r="AA22" s="5" t="s">
        <v>46</v>
      </c>
      <c r="AB22" s="5" t="s">
        <v>85</v>
      </c>
      <c r="AC22" s="5" t="s">
        <v>86</v>
      </c>
      <c r="AD22" s="5" t="str">
        <f>_xlfn.CONCAT(Table58911[[#This Row],[&lt;&lt;NOLA&gt;&gt;
NIEM Element]],Table58911[[#This Row],[Repeat Values per attribute]])</f>
        <v>nc:AddressCityNamec</v>
      </c>
    </row>
    <row r="23" spans="1:30" ht="30" customHeight="1" x14ac:dyDescent="0.3">
      <c r="A23" s="5">
        <f t="shared" si="0"/>
        <v>22</v>
      </c>
      <c r="B23" s="5">
        <f t="shared" si="3"/>
        <v>1</v>
      </c>
      <c r="C23" s="5">
        <f t="shared" si="3"/>
        <v>3</v>
      </c>
      <c r="D23" s="5">
        <f t="shared" si="2"/>
        <v>10</v>
      </c>
      <c r="E23" s="5" t="s">
        <v>32</v>
      </c>
      <c r="F23" s="5" t="s">
        <v>8</v>
      </c>
      <c r="G23" s="5">
        <v>394</v>
      </c>
      <c r="H23" s="6" t="s">
        <v>33</v>
      </c>
      <c r="I23" s="7" t="s">
        <v>66</v>
      </c>
      <c r="J23" s="5" t="s">
        <v>34</v>
      </c>
      <c r="K23" s="5" t="s">
        <v>67</v>
      </c>
      <c r="L23" s="5" t="s">
        <v>36</v>
      </c>
      <c r="M23" s="8" t="s">
        <v>87</v>
      </c>
      <c r="N23" s="5" t="s">
        <v>66</v>
      </c>
      <c r="O23" s="5" t="s">
        <v>88</v>
      </c>
      <c r="P23" s="1" t="s">
        <v>89</v>
      </c>
      <c r="Q23" s="1" t="s">
        <v>70</v>
      </c>
      <c r="R23" s="5" t="s">
        <v>71</v>
      </c>
      <c r="S23" s="5" t="s">
        <v>72</v>
      </c>
      <c r="U23" s="5" t="s">
        <v>73</v>
      </c>
      <c r="X23" s="9" t="s">
        <v>74</v>
      </c>
      <c r="Y23" s="5" t="s">
        <v>88</v>
      </c>
      <c r="Z23" s="5" t="s">
        <v>45</v>
      </c>
      <c r="AA23" s="5" t="s">
        <v>90</v>
      </c>
      <c r="AB23" s="5" t="s">
        <v>91</v>
      </c>
      <c r="AC23" s="5" t="s">
        <v>92</v>
      </c>
      <c r="AD23" s="5" t="str">
        <f>_xlfn.CONCAT(Table58911[[#This Row],[&lt;&lt;NOLA&gt;&gt;
NIEM Element]],Table58911[[#This Row],[Repeat Values per attribute]])</f>
        <v>nc:AddressCityNamee</v>
      </c>
    </row>
    <row r="24" spans="1:30" ht="30" customHeight="1" x14ac:dyDescent="0.3">
      <c r="A24" s="5">
        <f t="shared" si="0"/>
        <v>23</v>
      </c>
      <c r="B24" s="5">
        <f t="shared" si="3"/>
        <v>1</v>
      </c>
      <c r="C24" s="5">
        <f t="shared" si="3"/>
        <v>3</v>
      </c>
      <c r="D24" s="5">
        <f t="shared" si="2"/>
        <v>10</v>
      </c>
      <c r="E24" s="5" t="s">
        <v>49</v>
      </c>
      <c r="F24" s="5" t="s">
        <v>8</v>
      </c>
      <c r="G24" s="5">
        <v>394</v>
      </c>
      <c r="H24" s="6" t="s">
        <v>33</v>
      </c>
      <c r="I24" s="7" t="s">
        <v>66</v>
      </c>
      <c r="J24" s="5" t="s">
        <v>34</v>
      </c>
      <c r="K24" s="5" t="s">
        <v>67</v>
      </c>
      <c r="L24" s="5" t="s">
        <v>36</v>
      </c>
      <c r="M24" s="8" t="s">
        <v>87</v>
      </c>
      <c r="N24" s="5" t="s">
        <v>66</v>
      </c>
      <c r="O24" s="5" t="s">
        <v>88</v>
      </c>
      <c r="P24" s="1" t="s">
        <v>89</v>
      </c>
      <c r="Q24" s="1" t="s">
        <v>70</v>
      </c>
      <c r="R24" s="5" t="s">
        <v>71</v>
      </c>
      <c r="S24" s="5" t="s">
        <v>72</v>
      </c>
      <c r="U24" s="5" t="s">
        <v>73</v>
      </c>
      <c r="X24" s="9" t="s">
        <v>77</v>
      </c>
      <c r="Y24" s="5" t="s">
        <v>88</v>
      </c>
      <c r="Z24" s="5" t="s">
        <v>45</v>
      </c>
      <c r="AA24" s="5" t="s">
        <v>90</v>
      </c>
      <c r="AB24" s="5" t="s">
        <v>91</v>
      </c>
      <c r="AC24" s="5" t="s">
        <v>92</v>
      </c>
      <c r="AD24" s="5" t="str">
        <f>_xlfn.CONCAT(Table58911[[#This Row],[&lt;&lt;NOLA&gt;&gt;
NIEM Element]],Table58911[[#This Row],[Repeat Values per attribute]])</f>
        <v>nc:AddressCityNamee</v>
      </c>
    </row>
    <row r="25" spans="1:30" ht="30" customHeight="1" x14ac:dyDescent="0.3">
      <c r="A25" s="5">
        <f t="shared" si="0"/>
        <v>24</v>
      </c>
      <c r="B25" s="5">
        <f t="shared" si="3"/>
        <v>1</v>
      </c>
      <c r="C25" s="5">
        <f t="shared" si="3"/>
        <v>3</v>
      </c>
      <c r="D25" s="5">
        <f t="shared" si="2"/>
        <v>10</v>
      </c>
      <c r="E25" s="5" t="s">
        <v>49</v>
      </c>
      <c r="F25" s="5" t="s">
        <v>8</v>
      </c>
      <c r="G25" s="5">
        <v>394</v>
      </c>
      <c r="H25" s="6" t="s">
        <v>33</v>
      </c>
      <c r="I25" s="7" t="s">
        <v>66</v>
      </c>
      <c r="J25" s="5" t="s">
        <v>34</v>
      </c>
      <c r="K25" s="5" t="s">
        <v>67</v>
      </c>
      <c r="L25" s="5" t="s">
        <v>36</v>
      </c>
      <c r="M25" s="8" t="s">
        <v>87</v>
      </c>
      <c r="N25" s="5" t="s">
        <v>66</v>
      </c>
      <c r="O25" s="5" t="s">
        <v>88</v>
      </c>
      <c r="P25" s="1" t="s">
        <v>89</v>
      </c>
      <c r="Q25" s="1" t="s">
        <v>70</v>
      </c>
      <c r="R25" s="5" t="s">
        <v>71</v>
      </c>
      <c r="S25" s="5" t="s">
        <v>72</v>
      </c>
      <c r="U25" s="5" t="s">
        <v>73</v>
      </c>
      <c r="X25" s="9" t="s">
        <v>78</v>
      </c>
      <c r="Y25" s="5" t="s">
        <v>88</v>
      </c>
      <c r="Z25" s="5" t="s">
        <v>45</v>
      </c>
      <c r="AA25" s="5" t="s">
        <v>90</v>
      </c>
      <c r="AB25" s="5" t="s">
        <v>91</v>
      </c>
      <c r="AC25" s="5" t="s">
        <v>92</v>
      </c>
      <c r="AD25" s="5" t="str">
        <f>_xlfn.CONCAT(Table58911[[#This Row],[&lt;&lt;NOLA&gt;&gt;
NIEM Element]],Table58911[[#This Row],[Repeat Values per attribute]])</f>
        <v>nc:AddressCityNamee</v>
      </c>
    </row>
    <row r="26" spans="1:30" ht="30" customHeight="1" x14ac:dyDescent="0.3">
      <c r="A26" s="5">
        <f t="shared" si="0"/>
        <v>25</v>
      </c>
      <c r="B26" s="5">
        <f t="shared" si="3"/>
        <v>1</v>
      </c>
      <c r="C26" s="5">
        <f t="shared" si="3"/>
        <v>4</v>
      </c>
      <c r="D26" s="5">
        <f t="shared" si="2"/>
        <v>11</v>
      </c>
      <c r="E26" s="5" t="s">
        <v>49</v>
      </c>
      <c r="F26" s="5" t="s">
        <v>8</v>
      </c>
      <c r="G26" s="5">
        <v>391</v>
      </c>
      <c r="H26" s="6" t="s">
        <v>33</v>
      </c>
      <c r="I26" s="7" t="s">
        <v>93</v>
      </c>
      <c r="J26" s="5" t="s">
        <v>34</v>
      </c>
      <c r="K26" s="5" t="s">
        <v>94</v>
      </c>
      <c r="L26" s="5" t="s">
        <v>36</v>
      </c>
      <c r="M26" s="8" t="s">
        <v>37</v>
      </c>
      <c r="N26" s="5" t="s">
        <v>93</v>
      </c>
      <c r="O26" s="5" t="s">
        <v>95</v>
      </c>
      <c r="P26" s="5" t="s">
        <v>96</v>
      </c>
      <c r="Q26" s="1" t="s">
        <v>97</v>
      </c>
      <c r="R26" s="5" t="s">
        <v>98</v>
      </c>
      <c r="S26" s="5" t="s">
        <v>72</v>
      </c>
      <c r="U26" s="5" t="s">
        <v>99</v>
      </c>
      <c r="X26" s="9" t="s">
        <v>100</v>
      </c>
      <c r="Y26" s="5" t="s">
        <v>95</v>
      </c>
      <c r="Z26" s="5" t="s">
        <v>45</v>
      </c>
      <c r="AC26" s="5" t="s">
        <v>101</v>
      </c>
      <c r="AD26" s="5" t="str">
        <f>_xlfn.CONCAT(Table58911[[#This Row],[&lt;&lt;NOLA&gt;&gt;
NIEM Element]],Table58911[[#This Row],[Repeat Values per attribute]])</f>
        <v>nc:CountryNamea</v>
      </c>
    </row>
    <row r="27" spans="1:30" ht="30" customHeight="1" x14ac:dyDescent="0.3">
      <c r="A27" s="5">
        <f t="shared" si="0"/>
        <v>26</v>
      </c>
      <c r="B27" s="5">
        <f t="shared" si="3"/>
        <v>1</v>
      </c>
      <c r="C27" s="5">
        <f t="shared" si="3"/>
        <v>4</v>
      </c>
      <c r="D27" s="5">
        <f t="shared" si="2"/>
        <v>11</v>
      </c>
      <c r="E27" s="5" t="s">
        <v>49</v>
      </c>
      <c r="F27" s="5" t="s">
        <v>8</v>
      </c>
      <c r="G27" s="5">
        <v>391</v>
      </c>
      <c r="H27" s="6" t="s">
        <v>33</v>
      </c>
      <c r="I27" s="7" t="s">
        <v>93</v>
      </c>
      <c r="J27" s="5" t="s">
        <v>34</v>
      </c>
      <c r="K27" s="5" t="s">
        <v>94</v>
      </c>
      <c r="L27" s="5" t="s">
        <v>36</v>
      </c>
      <c r="M27" s="8" t="s">
        <v>37</v>
      </c>
      <c r="N27" s="5" t="s">
        <v>93</v>
      </c>
      <c r="O27" s="5" t="s">
        <v>95</v>
      </c>
      <c r="P27" s="5" t="s">
        <v>96</v>
      </c>
      <c r="Q27" s="1" t="s">
        <v>97</v>
      </c>
      <c r="R27" s="5" t="s">
        <v>98</v>
      </c>
      <c r="S27" s="5" t="s">
        <v>72</v>
      </c>
      <c r="U27" s="5" t="s">
        <v>99</v>
      </c>
      <c r="X27" s="9" t="s">
        <v>102</v>
      </c>
      <c r="Y27" s="5" t="s">
        <v>95</v>
      </c>
      <c r="Z27" s="5" t="s">
        <v>45</v>
      </c>
      <c r="AC27" s="5" t="s">
        <v>101</v>
      </c>
      <c r="AD27" s="5" t="str">
        <f>_xlfn.CONCAT(Table58911[[#This Row],[&lt;&lt;NOLA&gt;&gt;
NIEM Element]],Table58911[[#This Row],[Repeat Values per attribute]])</f>
        <v>nc:CountryNamea</v>
      </c>
    </row>
    <row r="28" spans="1:30" ht="30" customHeight="1" x14ac:dyDescent="0.3">
      <c r="A28" s="5">
        <f t="shared" si="0"/>
        <v>27</v>
      </c>
      <c r="B28" s="5">
        <f t="shared" si="3"/>
        <v>1</v>
      </c>
      <c r="C28" s="5">
        <f t="shared" si="3"/>
        <v>4</v>
      </c>
      <c r="D28" s="5">
        <f t="shared" si="2"/>
        <v>11</v>
      </c>
      <c r="E28" s="5" t="s">
        <v>49</v>
      </c>
      <c r="F28" s="5" t="s">
        <v>8</v>
      </c>
      <c r="G28" s="5">
        <v>391</v>
      </c>
      <c r="H28" s="6" t="s">
        <v>33</v>
      </c>
      <c r="I28" s="7" t="s">
        <v>93</v>
      </c>
      <c r="J28" s="5" t="s">
        <v>34</v>
      </c>
      <c r="K28" s="5" t="s">
        <v>94</v>
      </c>
      <c r="L28" s="5" t="s">
        <v>36</v>
      </c>
      <c r="M28" s="8" t="s">
        <v>37</v>
      </c>
      <c r="N28" s="5" t="s">
        <v>93</v>
      </c>
      <c r="O28" s="5" t="s">
        <v>95</v>
      </c>
      <c r="P28" s="5" t="s">
        <v>96</v>
      </c>
      <c r="Q28" s="1" t="s">
        <v>97</v>
      </c>
      <c r="R28" s="5" t="s">
        <v>98</v>
      </c>
      <c r="S28" s="5" t="s">
        <v>72</v>
      </c>
      <c r="U28" s="5" t="s">
        <v>99</v>
      </c>
      <c r="X28" s="9" t="s">
        <v>103</v>
      </c>
      <c r="Y28" s="5" t="s">
        <v>95</v>
      </c>
      <c r="Z28" s="5" t="s">
        <v>45</v>
      </c>
      <c r="AC28" s="5" t="s">
        <v>101</v>
      </c>
      <c r="AD28" s="5" t="str">
        <f>_xlfn.CONCAT(Table58911[[#This Row],[&lt;&lt;NOLA&gt;&gt;
NIEM Element]],Table58911[[#This Row],[Repeat Values per attribute]])</f>
        <v>nc:CountryNamea</v>
      </c>
    </row>
    <row r="29" spans="1:30" ht="30" customHeight="1" x14ac:dyDescent="0.3">
      <c r="A29" s="5">
        <f t="shared" si="0"/>
        <v>28</v>
      </c>
      <c r="B29" s="5">
        <f t="shared" si="3"/>
        <v>1</v>
      </c>
      <c r="C29" s="5">
        <f t="shared" si="3"/>
        <v>4</v>
      </c>
      <c r="D29" s="5">
        <f t="shared" si="2"/>
        <v>11</v>
      </c>
      <c r="E29" s="5" t="s">
        <v>49</v>
      </c>
      <c r="F29" s="5" t="s">
        <v>8</v>
      </c>
      <c r="G29" s="5">
        <v>391</v>
      </c>
      <c r="H29" s="6" t="s">
        <v>33</v>
      </c>
      <c r="I29" s="7" t="s">
        <v>93</v>
      </c>
      <c r="J29" s="5" t="s">
        <v>34</v>
      </c>
      <c r="K29" s="5" t="s">
        <v>94</v>
      </c>
      <c r="L29" s="5" t="s">
        <v>36</v>
      </c>
      <c r="M29" s="8" t="s">
        <v>37</v>
      </c>
      <c r="N29" s="5" t="s">
        <v>93</v>
      </c>
      <c r="O29" s="5" t="s">
        <v>95</v>
      </c>
      <c r="P29" s="5" t="s">
        <v>96</v>
      </c>
      <c r="Q29" s="1" t="s">
        <v>97</v>
      </c>
      <c r="R29" s="5" t="s">
        <v>98</v>
      </c>
      <c r="S29" s="5" t="s">
        <v>72</v>
      </c>
      <c r="U29" s="5" t="s">
        <v>99</v>
      </c>
      <c r="X29" s="9" t="s">
        <v>104</v>
      </c>
      <c r="Y29" s="5" t="s">
        <v>95</v>
      </c>
      <c r="Z29" s="5" t="s">
        <v>45</v>
      </c>
      <c r="AC29" s="5" t="s">
        <v>101</v>
      </c>
      <c r="AD29" s="5" t="str">
        <f>_xlfn.CONCAT(Table58911[[#This Row],[&lt;&lt;NOLA&gt;&gt;
NIEM Element]],Table58911[[#This Row],[Repeat Values per attribute]])</f>
        <v>nc:CountryNamea</v>
      </c>
    </row>
    <row r="30" spans="1:30" ht="30" customHeight="1" x14ac:dyDescent="0.3">
      <c r="A30" s="5">
        <f t="shared" si="0"/>
        <v>29</v>
      </c>
      <c r="B30" s="5">
        <f t="shared" si="3"/>
        <v>1</v>
      </c>
      <c r="C30" s="5">
        <f t="shared" si="3"/>
        <v>5</v>
      </c>
      <c r="D30" s="5">
        <f t="shared" si="2"/>
        <v>12</v>
      </c>
      <c r="E30" s="5" t="s">
        <v>49</v>
      </c>
      <c r="F30" s="5" t="s">
        <v>8</v>
      </c>
      <c r="G30" s="5">
        <v>392</v>
      </c>
      <c r="H30" s="6" t="s">
        <v>33</v>
      </c>
      <c r="I30" s="7" t="s">
        <v>105</v>
      </c>
      <c r="J30" s="5" t="s">
        <v>34</v>
      </c>
      <c r="K30" s="5" t="s">
        <v>94</v>
      </c>
      <c r="L30" s="5" t="s">
        <v>36</v>
      </c>
      <c r="M30" s="8" t="s">
        <v>37</v>
      </c>
      <c r="N30" s="5" t="s">
        <v>105</v>
      </c>
      <c r="O30" s="5" t="s">
        <v>95</v>
      </c>
      <c r="P30" s="5" t="s">
        <v>96</v>
      </c>
      <c r="Q30" s="1" t="s">
        <v>97</v>
      </c>
      <c r="R30" s="5" t="s">
        <v>106</v>
      </c>
      <c r="S30" s="5" t="s">
        <v>72</v>
      </c>
      <c r="U30" s="5" t="s">
        <v>107</v>
      </c>
      <c r="X30" s="9" t="s">
        <v>108</v>
      </c>
      <c r="Y30" s="5" t="s">
        <v>95</v>
      </c>
      <c r="Z30" s="5" t="s">
        <v>45</v>
      </c>
      <c r="AA30" s="5" t="s">
        <v>46</v>
      </c>
      <c r="AB30" s="5" t="s">
        <v>109</v>
      </c>
      <c r="AC30" s="5" t="s">
        <v>101</v>
      </c>
      <c r="AD30" s="5" t="str">
        <f>_xlfn.CONCAT(Table58911[[#This Row],[&lt;&lt;NOLA&gt;&gt;
NIEM Element]],Table58911[[#This Row],[Repeat Values per attribute]])</f>
        <v>nc:StateNamea</v>
      </c>
    </row>
    <row r="31" spans="1:30" ht="30" customHeight="1" x14ac:dyDescent="0.3">
      <c r="A31" s="5">
        <f t="shared" si="0"/>
        <v>30</v>
      </c>
      <c r="B31" s="5">
        <f t="shared" si="3"/>
        <v>1</v>
      </c>
      <c r="C31" s="5">
        <f t="shared" si="3"/>
        <v>5</v>
      </c>
      <c r="D31" s="5">
        <f t="shared" si="2"/>
        <v>12</v>
      </c>
      <c r="E31" s="5" t="s">
        <v>32</v>
      </c>
      <c r="F31" s="5" t="s">
        <v>8</v>
      </c>
      <c r="G31" s="5">
        <v>392</v>
      </c>
      <c r="H31" s="6" t="s">
        <v>33</v>
      </c>
      <c r="I31" s="7" t="s">
        <v>105</v>
      </c>
      <c r="J31" s="5" t="s">
        <v>34</v>
      </c>
      <c r="K31" s="5" t="s">
        <v>94</v>
      </c>
      <c r="L31" s="5" t="s">
        <v>36</v>
      </c>
      <c r="M31" s="8" t="s">
        <v>37</v>
      </c>
      <c r="N31" s="5" t="s">
        <v>105</v>
      </c>
      <c r="O31" s="5" t="s">
        <v>95</v>
      </c>
      <c r="P31" s="5" t="s">
        <v>96</v>
      </c>
      <c r="Q31" s="1" t="s">
        <v>97</v>
      </c>
      <c r="R31" s="5" t="s">
        <v>106</v>
      </c>
      <c r="S31" s="5" t="s">
        <v>72</v>
      </c>
      <c r="U31" s="5" t="s">
        <v>107</v>
      </c>
      <c r="X31" s="9" t="s">
        <v>110</v>
      </c>
      <c r="Y31" s="5" t="s">
        <v>95</v>
      </c>
      <c r="Z31" s="5" t="s">
        <v>45</v>
      </c>
      <c r="AA31" s="5" t="s">
        <v>46</v>
      </c>
      <c r="AB31" s="5" t="s">
        <v>109</v>
      </c>
      <c r="AC31" s="5" t="s">
        <v>101</v>
      </c>
      <c r="AD31" s="5" t="str">
        <f>_xlfn.CONCAT(Table58911[[#This Row],[&lt;&lt;NOLA&gt;&gt;
NIEM Element]],Table58911[[#This Row],[Repeat Values per attribute]])</f>
        <v>nc:StateNamea</v>
      </c>
    </row>
    <row r="32" spans="1:30" ht="30" customHeight="1" x14ac:dyDescent="0.3">
      <c r="A32" s="5">
        <f t="shared" si="0"/>
        <v>31</v>
      </c>
      <c r="B32" s="5">
        <f t="shared" si="3"/>
        <v>1</v>
      </c>
      <c r="C32" s="5">
        <f t="shared" si="3"/>
        <v>5</v>
      </c>
      <c r="D32" s="5">
        <f t="shared" si="2"/>
        <v>12</v>
      </c>
      <c r="E32" s="5" t="s">
        <v>49</v>
      </c>
      <c r="F32" s="5" t="s">
        <v>8</v>
      </c>
      <c r="G32" s="5">
        <v>392</v>
      </c>
      <c r="H32" s="6" t="s">
        <v>33</v>
      </c>
      <c r="I32" s="7" t="s">
        <v>105</v>
      </c>
      <c r="J32" s="5" t="s">
        <v>34</v>
      </c>
      <c r="K32" s="5" t="s">
        <v>94</v>
      </c>
      <c r="L32" s="5" t="s">
        <v>36</v>
      </c>
      <c r="M32" s="8" t="s">
        <v>37</v>
      </c>
      <c r="N32" s="5" t="s">
        <v>105</v>
      </c>
      <c r="O32" s="5" t="s">
        <v>95</v>
      </c>
      <c r="P32" s="5" t="s">
        <v>96</v>
      </c>
      <c r="Q32" s="1" t="s">
        <v>97</v>
      </c>
      <c r="R32" s="5" t="s">
        <v>106</v>
      </c>
      <c r="S32" s="5" t="s">
        <v>72</v>
      </c>
      <c r="U32" s="5" t="s">
        <v>107</v>
      </c>
      <c r="X32" s="9" t="s">
        <v>111</v>
      </c>
      <c r="Y32" s="5" t="s">
        <v>95</v>
      </c>
      <c r="Z32" s="5" t="s">
        <v>45</v>
      </c>
      <c r="AA32" s="5" t="s">
        <v>46</v>
      </c>
      <c r="AB32" s="5" t="s">
        <v>109</v>
      </c>
      <c r="AC32" s="5" t="s">
        <v>101</v>
      </c>
      <c r="AD32" s="5" t="str">
        <f>_xlfn.CONCAT(Table58911[[#This Row],[&lt;&lt;NOLA&gt;&gt;
NIEM Element]],Table58911[[#This Row],[Repeat Values per attribute]])</f>
        <v>nc:StateNamea</v>
      </c>
    </row>
    <row r="33" spans="1:30" ht="30" customHeight="1" x14ac:dyDescent="0.3">
      <c r="A33" s="5">
        <f t="shared" si="0"/>
        <v>32</v>
      </c>
      <c r="B33" s="5">
        <f t="shared" si="3"/>
        <v>1</v>
      </c>
      <c r="C33" s="5">
        <f t="shared" si="3"/>
        <v>5</v>
      </c>
      <c r="D33" s="5">
        <f t="shared" si="2"/>
        <v>12</v>
      </c>
      <c r="E33" s="5" t="s">
        <v>49</v>
      </c>
      <c r="F33" s="5" t="s">
        <v>8</v>
      </c>
      <c r="G33" s="5">
        <v>392</v>
      </c>
      <c r="H33" s="6" t="s">
        <v>33</v>
      </c>
      <c r="I33" s="7" t="s">
        <v>105</v>
      </c>
      <c r="J33" s="5" t="s">
        <v>34</v>
      </c>
      <c r="K33" s="5" t="s">
        <v>94</v>
      </c>
      <c r="L33" s="5" t="s">
        <v>36</v>
      </c>
      <c r="M33" s="8" t="s">
        <v>37</v>
      </c>
      <c r="N33" s="5" t="s">
        <v>105</v>
      </c>
      <c r="O33" s="5" t="s">
        <v>95</v>
      </c>
      <c r="P33" s="5" t="s">
        <v>96</v>
      </c>
      <c r="Q33" s="1" t="s">
        <v>97</v>
      </c>
      <c r="R33" s="5" t="s">
        <v>106</v>
      </c>
      <c r="S33" s="5" t="s">
        <v>72</v>
      </c>
      <c r="U33" s="5" t="s">
        <v>107</v>
      </c>
      <c r="X33" s="9" t="s">
        <v>112</v>
      </c>
      <c r="Y33" s="5" t="s">
        <v>95</v>
      </c>
      <c r="Z33" s="5" t="s">
        <v>45</v>
      </c>
      <c r="AA33" s="5" t="s">
        <v>46</v>
      </c>
      <c r="AB33" s="5" t="s">
        <v>109</v>
      </c>
      <c r="AC33" s="5" t="s">
        <v>101</v>
      </c>
      <c r="AD33" s="5" t="str">
        <f>_xlfn.CONCAT(Table58911[[#This Row],[&lt;&lt;NOLA&gt;&gt;
NIEM Element]],Table58911[[#This Row],[Repeat Values per attribute]])</f>
        <v>nc:StateNamea</v>
      </c>
    </row>
    <row r="34" spans="1:30" ht="30" customHeight="1" x14ac:dyDescent="0.3">
      <c r="A34" s="5">
        <f t="shared" si="0"/>
        <v>33</v>
      </c>
      <c r="B34" s="5">
        <f t="shared" ref="B34:C49" si="4">IF(H33=H34,B33,B33+1)</f>
        <v>1</v>
      </c>
      <c r="C34" s="5">
        <f t="shared" si="4"/>
        <v>6</v>
      </c>
      <c r="D34" s="5">
        <f t="shared" si="2"/>
        <v>13</v>
      </c>
      <c r="E34" s="5" t="s">
        <v>49</v>
      </c>
      <c r="F34" s="5" t="s">
        <v>8</v>
      </c>
      <c r="G34" s="5">
        <v>393</v>
      </c>
      <c r="H34" s="6" t="s">
        <v>33</v>
      </c>
      <c r="I34" s="7" t="s">
        <v>113</v>
      </c>
      <c r="J34" s="5" t="s">
        <v>34</v>
      </c>
      <c r="K34" s="5" t="s">
        <v>114</v>
      </c>
      <c r="L34" s="5" t="s">
        <v>36</v>
      </c>
      <c r="M34" s="8" t="s">
        <v>37</v>
      </c>
      <c r="N34" s="5" t="s">
        <v>113</v>
      </c>
      <c r="O34" s="5" t="s">
        <v>115</v>
      </c>
      <c r="P34" s="5" t="s">
        <v>116</v>
      </c>
      <c r="Q34" s="1" t="s">
        <v>117</v>
      </c>
      <c r="R34" s="5" t="s">
        <v>118</v>
      </c>
      <c r="S34" s="5" t="s">
        <v>42</v>
      </c>
      <c r="U34" s="5" t="s">
        <v>119</v>
      </c>
      <c r="X34" s="9" t="s">
        <v>120</v>
      </c>
      <c r="Y34" s="5" t="s">
        <v>115</v>
      </c>
      <c r="Z34" s="5" t="s">
        <v>45</v>
      </c>
      <c r="AA34" s="5" t="s">
        <v>46</v>
      </c>
      <c r="AB34" s="5" t="s">
        <v>121</v>
      </c>
      <c r="AC34" s="5" t="s">
        <v>122</v>
      </c>
      <c r="AD34" s="5" t="str">
        <f>_xlfn.CONCAT(Table58911[[#This Row],[&lt;&lt;NOLA&gt;&gt;
NIEM Element]],Table58911[[#This Row],[Repeat Values per attribute]])</f>
        <v>nc:AddressRouteNamea</v>
      </c>
    </row>
    <row r="35" spans="1:30" ht="30" customHeight="1" x14ac:dyDescent="0.3">
      <c r="A35" s="5">
        <f t="shared" si="0"/>
        <v>34</v>
      </c>
      <c r="B35" s="5">
        <f t="shared" si="4"/>
        <v>1</v>
      </c>
      <c r="C35" s="5">
        <f t="shared" si="4"/>
        <v>6</v>
      </c>
      <c r="D35" s="5">
        <f t="shared" si="2"/>
        <v>13</v>
      </c>
      <c r="E35" s="5" t="s">
        <v>49</v>
      </c>
      <c r="F35" s="5" t="s">
        <v>8</v>
      </c>
      <c r="G35" s="5">
        <v>393</v>
      </c>
      <c r="H35" s="6" t="s">
        <v>33</v>
      </c>
      <c r="I35" s="7" t="s">
        <v>113</v>
      </c>
      <c r="J35" s="5" t="s">
        <v>34</v>
      </c>
      <c r="K35" s="5" t="s">
        <v>114</v>
      </c>
      <c r="L35" s="5" t="s">
        <v>36</v>
      </c>
      <c r="M35" s="8" t="s">
        <v>37</v>
      </c>
      <c r="N35" s="5" t="s">
        <v>113</v>
      </c>
      <c r="O35" s="5" t="s">
        <v>115</v>
      </c>
      <c r="P35" s="5" t="s">
        <v>116</v>
      </c>
      <c r="Q35" s="1" t="s">
        <v>117</v>
      </c>
      <c r="R35" s="5" t="s">
        <v>118</v>
      </c>
      <c r="S35" s="5" t="s">
        <v>42</v>
      </c>
      <c r="U35" s="5" t="s">
        <v>119</v>
      </c>
      <c r="X35" s="9" t="s">
        <v>123</v>
      </c>
      <c r="Y35" s="5" t="s">
        <v>115</v>
      </c>
      <c r="Z35" s="5" t="s">
        <v>45</v>
      </c>
      <c r="AA35" s="5" t="s">
        <v>46</v>
      </c>
      <c r="AB35" s="5" t="s">
        <v>121</v>
      </c>
      <c r="AC35" s="5" t="s">
        <v>122</v>
      </c>
      <c r="AD35" s="5" t="str">
        <f>_xlfn.CONCAT(Table58911[[#This Row],[&lt;&lt;NOLA&gt;&gt;
NIEM Element]],Table58911[[#This Row],[Repeat Values per attribute]])</f>
        <v>nc:AddressRouteNamea</v>
      </c>
    </row>
    <row r="36" spans="1:30" ht="30" customHeight="1" x14ac:dyDescent="0.3">
      <c r="A36" s="5">
        <f t="shared" si="0"/>
        <v>35</v>
      </c>
      <c r="B36" s="5">
        <f t="shared" si="4"/>
        <v>1</v>
      </c>
      <c r="C36" s="5">
        <f t="shared" si="4"/>
        <v>6</v>
      </c>
      <c r="D36" s="5">
        <f t="shared" si="2"/>
        <v>13</v>
      </c>
      <c r="E36" s="5" t="s">
        <v>49</v>
      </c>
      <c r="F36" s="5" t="s">
        <v>8</v>
      </c>
      <c r="G36" s="5">
        <v>393</v>
      </c>
      <c r="H36" s="6" t="s">
        <v>33</v>
      </c>
      <c r="I36" s="7" t="s">
        <v>113</v>
      </c>
      <c r="J36" s="5" t="s">
        <v>34</v>
      </c>
      <c r="K36" s="5" t="s">
        <v>114</v>
      </c>
      <c r="L36" s="5" t="s">
        <v>36</v>
      </c>
      <c r="M36" s="8" t="s">
        <v>37</v>
      </c>
      <c r="N36" s="5" t="s">
        <v>113</v>
      </c>
      <c r="O36" s="5" t="s">
        <v>115</v>
      </c>
      <c r="P36" s="5" t="s">
        <v>116</v>
      </c>
      <c r="Q36" s="1" t="s">
        <v>117</v>
      </c>
      <c r="R36" s="5" t="s">
        <v>118</v>
      </c>
      <c r="S36" s="5" t="s">
        <v>42</v>
      </c>
      <c r="U36" s="5" t="s">
        <v>119</v>
      </c>
      <c r="X36" s="9" t="s">
        <v>124</v>
      </c>
      <c r="Y36" s="5" t="s">
        <v>115</v>
      </c>
      <c r="Z36" s="5" t="s">
        <v>45</v>
      </c>
      <c r="AA36" s="5" t="s">
        <v>46</v>
      </c>
      <c r="AB36" s="5" t="s">
        <v>121</v>
      </c>
      <c r="AC36" s="5" t="s">
        <v>122</v>
      </c>
      <c r="AD36" s="5" t="str">
        <f>_xlfn.CONCAT(Table58911[[#This Row],[&lt;&lt;NOLA&gt;&gt;
NIEM Element]],Table58911[[#This Row],[Repeat Values per attribute]])</f>
        <v>nc:AddressRouteNamea</v>
      </c>
    </row>
    <row r="37" spans="1:30" ht="30" customHeight="1" x14ac:dyDescent="0.3">
      <c r="A37" s="5">
        <f t="shared" si="0"/>
        <v>36</v>
      </c>
      <c r="B37" s="5">
        <f t="shared" si="4"/>
        <v>1</v>
      </c>
      <c r="C37" s="5">
        <f t="shared" si="4"/>
        <v>6</v>
      </c>
      <c r="D37" s="5">
        <f t="shared" si="2"/>
        <v>14</v>
      </c>
      <c r="E37" s="5" t="s">
        <v>49</v>
      </c>
      <c r="F37" s="5" t="s">
        <v>8</v>
      </c>
      <c r="G37" s="5">
        <v>393</v>
      </c>
      <c r="H37" s="6" t="s">
        <v>33</v>
      </c>
      <c r="I37" s="7" t="s">
        <v>113</v>
      </c>
      <c r="J37" s="5" t="s">
        <v>34</v>
      </c>
      <c r="K37" s="5" t="s">
        <v>114</v>
      </c>
      <c r="L37" s="5" t="s">
        <v>36</v>
      </c>
      <c r="M37" s="8" t="s">
        <v>52</v>
      </c>
      <c r="N37" s="5" t="s">
        <v>113</v>
      </c>
      <c r="O37" s="5" t="s">
        <v>125</v>
      </c>
      <c r="P37" s="1" t="s">
        <v>126</v>
      </c>
      <c r="Q37" s="1" t="s">
        <v>117</v>
      </c>
      <c r="R37" s="5" t="s">
        <v>118</v>
      </c>
      <c r="S37" s="5" t="s">
        <v>42</v>
      </c>
      <c r="U37" s="5" t="s">
        <v>119</v>
      </c>
      <c r="X37" s="9" t="s">
        <v>120</v>
      </c>
      <c r="Y37" s="5" t="s">
        <v>125</v>
      </c>
      <c r="Z37" s="5" t="s">
        <v>45</v>
      </c>
      <c r="AA37" s="5" t="s">
        <v>46</v>
      </c>
      <c r="AB37" s="5" t="s">
        <v>127</v>
      </c>
      <c r="AC37" s="5" t="s">
        <v>128</v>
      </c>
      <c r="AD37" s="5" t="str">
        <f>_xlfn.CONCAT(Table58911[[#This Row],[&lt;&lt;NOLA&gt;&gt;
NIEM Element]],Table58911[[#This Row],[Repeat Values per attribute]])</f>
        <v>nc:AddressRouteNameb</v>
      </c>
    </row>
    <row r="38" spans="1:30" ht="30" customHeight="1" x14ac:dyDescent="0.3">
      <c r="A38" s="5">
        <f t="shared" si="0"/>
        <v>37</v>
      </c>
      <c r="B38" s="5">
        <f t="shared" si="4"/>
        <v>1</v>
      </c>
      <c r="C38" s="5">
        <f t="shared" si="4"/>
        <v>6</v>
      </c>
      <c r="D38" s="5">
        <f t="shared" si="2"/>
        <v>14</v>
      </c>
      <c r="E38" s="5" t="s">
        <v>49</v>
      </c>
      <c r="F38" s="5" t="s">
        <v>8</v>
      </c>
      <c r="G38" s="5">
        <v>393</v>
      </c>
      <c r="H38" s="6" t="s">
        <v>33</v>
      </c>
      <c r="I38" s="7" t="s">
        <v>113</v>
      </c>
      <c r="J38" s="5" t="s">
        <v>34</v>
      </c>
      <c r="K38" s="5" t="s">
        <v>114</v>
      </c>
      <c r="L38" s="5" t="s">
        <v>36</v>
      </c>
      <c r="M38" s="8" t="s">
        <v>52</v>
      </c>
      <c r="N38" s="5" t="s">
        <v>113</v>
      </c>
      <c r="O38" s="5" t="s">
        <v>125</v>
      </c>
      <c r="P38" s="1" t="s">
        <v>126</v>
      </c>
      <c r="Q38" s="1" t="s">
        <v>117</v>
      </c>
      <c r="R38" s="5" t="s">
        <v>118</v>
      </c>
      <c r="S38" s="5" t="s">
        <v>42</v>
      </c>
      <c r="U38" s="5" t="s">
        <v>119</v>
      </c>
      <c r="X38" s="9" t="s">
        <v>123</v>
      </c>
      <c r="Y38" s="5" t="s">
        <v>125</v>
      </c>
      <c r="Z38" s="5" t="s">
        <v>45</v>
      </c>
      <c r="AA38" s="5" t="s">
        <v>46</v>
      </c>
      <c r="AB38" s="5" t="s">
        <v>127</v>
      </c>
      <c r="AC38" s="5" t="s">
        <v>128</v>
      </c>
      <c r="AD38" s="5" t="str">
        <f>_xlfn.CONCAT(Table58911[[#This Row],[&lt;&lt;NOLA&gt;&gt;
NIEM Element]],Table58911[[#This Row],[Repeat Values per attribute]])</f>
        <v>nc:AddressRouteNameb</v>
      </c>
    </row>
    <row r="39" spans="1:30" ht="30" customHeight="1" x14ac:dyDescent="0.3">
      <c r="A39" s="5">
        <f t="shared" si="0"/>
        <v>38</v>
      </c>
      <c r="B39" s="5">
        <f t="shared" si="4"/>
        <v>1</v>
      </c>
      <c r="C39" s="5">
        <f t="shared" si="4"/>
        <v>6</v>
      </c>
      <c r="D39" s="5">
        <f t="shared" si="2"/>
        <v>14</v>
      </c>
      <c r="E39" s="5" t="s">
        <v>49</v>
      </c>
      <c r="F39" s="5" t="s">
        <v>8</v>
      </c>
      <c r="G39" s="5">
        <v>393</v>
      </c>
      <c r="H39" s="6" t="s">
        <v>33</v>
      </c>
      <c r="I39" s="7" t="s">
        <v>113</v>
      </c>
      <c r="J39" s="5" t="s">
        <v>34</v>
      </c>
      <c r="K39" s="5" t="s">
        <v>114</v>
      </c>
      <c r="L39" s="5" t="s">
        <v>36</v>
      </c>
      <c r="M39" s="8" t="s">
        <v>52</v>
      </c>
      <c r="N39" s="5" t="s">
        <v>113</v>
      </c>
      <c r="O39" s="5" t="s">
        <v>125</v>
      </c>
      <c r="P39" s="1" t="s">
        <v>126</v>
      </c>
      <c r="Q39" s="1" t="s">
        <v>117</v>
      </c>
      <c r="R39" s="5" t="s">
        <v>118</v>
      </c>
      <c r="S39" s="5" t="s">
        <v>42</v>
      </c>
      <c r="U39" s="5" t="s">
        <v>119</v>
      </c>
      <c r="X39" s="9" t="s">
        <v>124</v>
      </c>
      <c r="Y39" s="5" t="s">
        <v>125</v>
      </c>
      <c r="Z39" s="5" t="s">
        <v>45</v>
      </c>
      <c r="AA39" s="5" t="s">
        <v>46</v>
      </c>
      <c r="AB39" s="5" t="s">
        <v>127</v>
      </c>
      <c r="AC39" s="5" t="s">
        <v>128</v>
      </c>
      <c r="AD39" s="5" t="str">
        <f>_xlfn.CONCAT(Table58911[[#This Row],[&lt;&lt;NOLA&gt;&gt;
NIEM Element]],Table58911[[#This Row],[Repeat Values per attribute]])</f>
        <v>nc:AddressRouteNameb</v>
      </c>
    </row>
    <row r="40" spans="1:30" ht="30" customHeight="1" x14ac:dyDescent="0.3">
      <c r="A40" s="5">
        <f t="shared" si="0"/>
        <v>39</v>
      </c>
      <c r="B40" s="5">
        <f t="shared" si="4"/>
        <v>1</v>
      </c>
      <c r="C40" s="5">
        <f t="shared" si="4"/>
        <v>7</v>
      </c>
      <c r="D40" s="5">
        <f t="shared" si="2"/>
        <v>15</v>
      </c>
      <c r="E40" s="5" t="s">
        <v>32</v>
      </c>
      <c r="F40" s="5" t="s">
        <v>8</v>
      </c>
      <c r="G40" s="5">
        <v>395</v>
      </c>
      <c r="H40" s="6" t="s">
        <v>33</v>
      </c>
      <c r="I40" s="7" t="s">
        <v>129</v>
      </c>
      <c r="J40" s="5" t="s">
        <v>34</v>
      </c>
      <c r="K40" s="5" t="s">
        <v>130</v>
      </c>
      <c r="L40" s="5" t="s">
        <v>36</v>
      </c>
      <c r="M40" s="8" t="s">
        <v>37</v>
      </c>
      <c r="N40" s="5" t="s">
        <v>129</v>
      </c>
      <c r="O40" s="5" t="s">
        <v>131</v>
      </c>
      <c r="P40" s="5" t="s">
        <v>132</v>
      </c>
      <c r="Q40" s="1" t="s">
        <v>133</v>
      </c>
      <c r="R40" s="5" t="s">
        <v>134</v>
      </c>
      <c r="S40" s="5" t="s">
        <v>42</v>
      </c>
      <c r="U40" s="5" t="s">
        <v>135</v>
      </c>
      <c r="X40" s="9" t="s">
        <v>136</v>
      </c>
      <c r="Y40" s="5" t="s">
        <v>131</v>
      </c>
      <c r="Z40" s="5" t="s">
        <v>45</v>
      </c>
      <c r="AA40" s="5" t="s">
        <v>46</v>
      </c>
      <c r="AB40" s="5" t="s">
        <v>137</v>
      </c>
      <c r="AC40" s="5" t="s">
        <v>138</v>
      </c>
      <c r="AD40" s="5" t="str">
        <f>_xlfn.CONCAT(Table58911[[#This Row],[&lt;&lt;NOLA&gt;&gt;
NIEM Element]],Table58911[[#This Row],[Repeat Values per attribute]])</f>
        <v>nc:AddressSecondaryUnitTexta</v>
      </c>
    </row>
    <row r="41" spans="1:30" ht="30" customHeight="1" x14ac:dyDescent="0.3">
      <c r="A41" s="5">
        <f t="shared" si="0"/>
        <v>40</v>
      </c>
      <c r="B41" s="5">
        <f t="shared" si="4"/>
        <v>1</v>
      </c>
      <c r="C41" s="5">
        <f t="shared" si="4"/>
        <v>7</v>
      </c>
      <c r="D41" s="5">
        <f t="shared" si="2"/>
        <v>15</v>
      </c>
      <c r="E41" s="5" t="s">
        <v>49</v>
      </c>
      <c r="F41" s="5" t="s">
        <v>8</v>
      </c>
      <c r="G41" s="5">
        <v>395</v>
      </c>
      <c r="H41" s="6" t="s">
        <v>33</v>
      </c>
      <c r="I41" s="7" t="s">
        <v>129</v>
      </c>
      <c r="J41" s="5" t="s">
        <v>34</v>
      </c>
      <c r="K41" s="5" t="s">
        <v>130</v>
      </c>
      <c r="L41" s="5" t="s">
        <v>36</v>
      </c>
      <c r="M41" s="8" t="s">
        <v>37</v>
      </c>
      <c r="N41" s="5" t="s">
        <v>129</v>
      </c>
      <c r="O41" s="5" t="s">
        <v>131</v>
      </c>
      <c r="P41" s="5" t="s">
        <v>132</v>
      </c>
      <c r="Q41" s="1" t="s">
        <v>133</v>
      </c>
      <c r="R41" s="5" t="s">
        <v>134</v>
      </c>
      <c r="S41" s="5" t="s">
        <v>42</v>
      </c>
      <c r="U41" s="5" t="s">
        <v>135</v>
      </c>
      <c r="X41" s="9" t="s">
        <v>139</v>
      </c>
      <c r="Y41" s="5" t="s">
        <v>131</v>
      </c>
      <c r="Z41" s="5" t="s">
        <v>45</v>
      </c>
      <c r="AA41" s="5" t="s">
        <v>46</v>
      </c>
      <c r="AB41" s="5" t="s">
        <v>137</v>
      </c>
      <c r="AC41" s="5" t="s">
        <v>138</v>
      </c>
      <c r="AD41" s="5" t="str">
        <f>_xlfn.CONCAT(Table58911[[#This Row],[&lt;&lt;NOLA&gt;&gt;
NIEM Element]],Table58911[[#This Row],[Repeat Values per attribute]])</f>
        <v>nc:AddressSecondaryUnitTexta</v>
      </c>
    </row>
    <row r="42" spans="1:30" ht="30" customHeight="1" x14ac:dyDescent="0.3">
      <c r="A42" s="5">
        <f t="shared" si="0"/>
        <v>41</v>
      </c>
      <c r="B42" s="5">
        <f t="shared" si="4"/>
        <v>1</v>
      </c>
      <c r="C42" s="5">
        <f t="shared" si="4"/>
        <v>7</v>
      </c>
      <c r="D42" s="5">
        <f t="shared" si="2"/>
        <v>15</v>
      </c>
      <c r="E42" s="5" t="s">
        <v>49</v>
      </c>
      <c r="F42" s="5" t="s">
        <v>8</v>
      </c>
      <c r="G42" s="5">
        <v>395</v>
      </c>
      <c r="H42" s="6" t="s">
        <v>33</v>
      </c>
      <c r="I42" s="7" t="s">
        <v>129</v>
      </c>
      <c r="J42" s="5" t="s">
        <v>34</v>
      </c>
      <c r="K42" s="5" t="s">
        <v>130</v>
      </c>
      <c r="L42" s="5" t="s">
        <v>36</v>
      </c>
      <c r="M42" s="8" t="s">
        <v>37</v>
      </c>
      <c r="N42" s="5" t="s">
        <v>129</v>
      </c>
      <c r="O42" s="5" t="s">
        <v>131</v>
      </c>
      <c r="P42" s="5" t="s">
        <v>132</v>
      </c>
      <c r="Q42" s="1" t="s">
        <v>133</v>
      </c>
      <c r="R42" s="5" t="s">
        <v>134</v>
      </c>
      <c r="S42" s="5" t="s">
        <v>42</v>
      </c>
      <c r="U42" s="5" t="s">
        <v>135</v>
      </c>
      <c r="X42" s="9" t="s">
        <v>140</v>
      </c>
      <c r="Y42" s="5" t="s">
        <v>131</v>
      </c>
      <c r="Z42" s="5" t="s">
        <v>45</v>
      </c>
      <c r="AA42" s="5" t="s">
        <v>46</v>
      </c>
      <c r="AB42" s="5" t="s">
        <v>137</v>
      </c>
      <c r="AC42" s="5" t="s">
        <v>138</v>
      </c>
      <c r="AD42" s="5" t="str">
        <f>_xlfn.CONCAT(Table58911[[#This Row],[&lt;&lt;NOLA&gt;&gt;
NIEM Element]],Table58911[[#This Row],[Repeat Values per attribute]])</f>
        <v>nc:AddressSecondaryUnitTexta</v>
      </c>
    </row>
    <row r="43" spans="1:30" ht="30" customHeight="1" x14ac:dyDescent="0.3">
      <c r="A43" s="5">
        <f t="shared" si="0"/>
        <v>42</v>
      </c>
      <c r="B43" s="5">
        <f t="shared" si="4"/>
        <v>1</v>
      </c>
      <c r="C43" s="5">
        <f t="shared" si="4"/>
        <v>7</v>
      </c>
      <c r="D43" s="5">
        <f t="shared" si="2"/>
        <v>16</v>
      </c>
      <c r="E43" s="5" t="s">
        <v>49</v>
      </c>
      <c r="F43" s="5" t="s">
        <v>8</v>
      </c>
      <c r="G43" s="5">
        <v>395</v>
      </c>
      <c r="H43" s="6" t="s">
        <v>33</v>
      </c>
      <c r="I43" s="7" t="s">
        <v>129</v>
      </c>
      <c r="J43" s="5" t="s">
        <v>34</v>
      </c>
      <c r="K43" s="5" t="s">
        <v>130</v>
      </c>
      <c r="L43" s="5" t="s">
        <v>36</v>
      </c>
      <c r="M43" s="8" t="s">
        <v>52</v>
      </c>
      <c r="N43" s="5" t="s">
        <v>129</v>
      </c>
      <c r="O43" s="5" t="s">
        <v>141</v>
      </c>
      <c r="P43" s="1" t="s">
        <v>142</v>
      </c>
      <c r="Q43" s="1" t="s">
        <v>133</v>
      </c>
      <c r="R43" s="5" t="s">
        <v>134</v>
      </c>
      <c r="S43" s="5" t="s">
        <v>42</v>
      </c>
      <c r="U43" s="5" t="s">
        <v>135</v>
      </c>
      <c r="X43" s="9" t="s">
        <v>136</v>
      </c>
      <c r="Y43" s="5" t="s">
        <v>141</v>
      </c>
      <c r="Z43" s="5" t="s">
        <v>45</v>
      </c>
      <c r="AA43" s="5" t="s">
        <v>46</v>
      </c>
      <c r="AB43" s="5" t="s">
        <v>143</v>
      </c>
      <c r="AC43" s="5" t="s">
        <v>144</v>
      </c>
      <c r="AD43" s="5" t="str">
        <f>_xlfn.CONCAT(Table58911[[#This Row],[&lt;&lt;NOLA&gt;&gt;
NIEM Element]],Table58911[[#This Row],[Repeat Values per attribute]])</f>
        <v>nc:AddressSecondaryUnitTextb</v>
      </c>
    </row>
    <row r="44" spans="1:30" ht="30" customHeight="1" x14ac:dyDescent="0.3">
      <c r="A44" s="5">
        <f t="shared" si="0"/>
        <v>43</v>
      </c>
      <c r="B44" s="5">
        <f t="shared" si="4"/>
        <v>1</v>
      </c>
      <c r="C44" s="5">
        <f t="shared" si="4"/>
        <v>7</v>
      </c>
      <c r="D44" s="5">
        <f t="shared" si="2"/>
        <v>16</v>
      </c>
      <c r="E44" s="5" t="s">
        <v>49</v>
      </c>
      <c r="F44" s="5" t="s">
        <v>8</v>
      </c>
      <c r="G44" s="5">
        <v>395</v>
      </c>
      <c r="H44" s="6" t="s">
        <v>33</v>
      </c>
      <c r="I44" s="7" t="s">
        <v>129</v>
      </c>
      <c r="J44" s="5" t="s">
        <v>34</v>
      </c>
      <c r="K44" s="5" t="s">
        <v>130</v>
      </c>
      <c r="L44" s="5" t="s">
        <v>36</v>
      </c>
      <c r="M44" s="8" t="s">
        <v>52</v>
      </c>
      <c r="N44" s="5" t="s">
        <v>129</v>
      </c>
      <c r="O44" s="5" t="s">
        <v>141</v>
      </c>
      <c r="P44" s="1" t="s">
        <v>142</v>
      </c>
      <c r="Q44" s="1" t="s">
        <v>133</v>
      </c>
      <c r="R44" s="5" t="s">
        <v>134</v>
      </c>
      <c r="S44" s="5" t="s">
        <v>42</v>
      </c>
      <c r="U44" s="5" t="s">
        <v>135</v>
      </c>
      <c r="X44" s="9" t="s">
        <v>139</v>
      </c>
      <c r="Y44" s="5" t="s">
        <v>141</v>
      </c>
      <c r="Z44" s="5" t="s">
        <v>45</v>
      </c>
      <c r="AA44" s="5" t="s">
        <v>46</v>
      </c>
      <c r="AB44" s="5" t="s">
        <v>143</v>
      </c>
      <c r="AC44" s="5" t="s">
        <v>144</v>
      </c>
      <c r="AD44" s="5" t="str">
        <f>_xlfn.CONCAT(Table58911[[#This Row],[&lt;&lt;NOLA&gt;&gt;
NIEM Element]],Table58911[[#This Row],[Repeat Values per attribute]])</f>
        <v>nc:AddressSecondaryUnitTextb</v>
      </c>
    </row>
    <row r="45" spans="1:30" ht="30" customHeight="1" x14ac:dyDescent="0.3">
      <c r="A45" s="5">
        <f t="shared" si="0"/>
        <v>44</v>
      </c>
      <c r="B45" s="5">
        <f t="shared" si="4"/>
        <v>1</v>
      </c>
      <c r="C45" s="5">
        <f t="shared" si="4"/>
        <v>7</v>
      </c>
      <c r="D45" s="5">
        <f t="shared" si="2"/>
        <v>16</v>
      </c>
      <c r="E45" s="5" t="s">
        <v>49</v>
      </c>
      <c r="F45" s="5" t="s">
        <v>8</v>
      </c>
      <c r="G45" s="5">
        <v>395</v>
      </c>
      <c r="H45" s="6" t="s">
        <v>33</v>
      </c>
      <c r="I45" s="7" t="s">
        <v>129</v>
      </c>
      <c r="J45" s="5" t="s">
        <v>34</v>
      </c>
      <c r="K45" s="5" t="s">
        <v>130</v>
      </c>
      <c r="L45" s="5" t="s">
        <v>36</v>
      </c>
      <c r="M45" s="8" t="s">
        <v>52</v>
      </c>
      <c r="N45" s="5" t="s">
        <v>129</v>
      </c>
      <c r="O45" s="5" t="s">
        <v>141</v>
      </c>
      <c r="P45" s="1" t="s">
        <v>142</v>
      </c>
      <c r="Q45" s="1" t="s">
        <v>133</v>
      </c>
      <c r="R45" s="5" t="s">
        <v>134</v>
      </c>
      <c r="S45" s="5" t="s">
        <v>42</v>
      </c>
      <c r="U45" s="5" t="s">
        <v>135</v>
      </c>
      <c r="X45" s="9" t="s">
        <v>140</v>
      </c>
      <c r="Y45" s="5" t="s">
        <v>141</v>
      </c>
      <c r="Z45" s="5" t="s">
        <v>45</v>
      </c>
      <c r="AA45" s="5" t="s">
        <v>46</v>
      </c>
      <c r="AB45" s="5" t="s">
        <v>143</v>
      </c>
      <c r="AC45" s="5" t="s">
        <v>144</v>
      </c>
      <c r="AD45" s="5" t="str">
        <f>_xlfn.CONCAT(Table58911[[#This Row],[&lt;&lt;NOLA&gt;&gt;
NIEM Element]],Table58911[[#This Row],[Repeat Values per attribute]])</f>
        <v>nc:AddressSecondaryUnitTextb</v>
      </c>
    </row>
    <row r="46" spans="1:30" ht="30" customHeight="1" x14ac:dyDescent="0.3">
      <c r="A46" s="5">
        <f t="shared" si="0"/>
        <v>45</v>
      </c>
      <c r="B46" s="5">
        <f t="shared" si="4"/>
        <v>1</v>
      </c>
      <c r="C46" s="5">
        <f t="shared" si="4"/>
        <v>7</v>
      </c>
      <c r="D46" s="5">
        <f t="shared" si="2"/>
        <v>17</v>
      </c>
      <c r="E46" s="5" t="s">
        <v>49</v>
      </c>
      <c r="F46" s="5" t="s">
        <v>8</v>
      </c>
      <c r="G46" s="5">
        <v>395</v>
      </c>
      <c r="H46" s="6" t="s">
        <v>33</v>
      </c>
      <c r="I46" s="7" t="s">
        <v>129</v>
      </c>
      <c r="J46" s="5" t="s">
        <v>34</v>
      </c>
      <c r="K46" s="5" t="s">
        <v>130</v>
      </c>
      <c r="L46" s="5" t="s">
        <v>36</v>
      </c>
      <c r="M46" s="8" t="s">
        <v>57</v>
      </c>
      <c r="N46" s="5" t="s">
        <v>129</v>
      </c>
      <c r="O46" s="5" t="s">
        <v>145</v>
      </c>
      <c r="P46" s="1" t="s">
        <v>146</v>
      </c>
      <c r="Q46" s="1" t="s">
        <v>133</v>
      </c>
      <c r="R46" s="5" t="s">
        <v>134</v>
      </c>
      <c r="S46" s="5" t="s">
        <v>42</v>
      </c>
      <c r="U46" s="5" t="s">
        <v>135</v>
      </c>
      <c r="X46" s="9" t="s">
        <v>136</v>
      </c>
      <c r="Y46" s="5" t="s">
        <v>145</v>
      </c>
      <c r="Z46" s="5" t="s">
        <v>45</v>
      </c>
      <c r="AA46" s="5" t="s">
        <v>46</v>
      </c>
      <c r="AB46" s="5" t="s">
        <v>147</v>
      </c>
      <c r="AC46" s="5" t="s">
        <v>148</v>
      </c>
      <c r="AD46" s="5" t="str">
        <f>_xlfn.CONCAT(Table58911[[#This Row],[&lt;&lt;NOLA&gt;&gt;
NIEM Element]],Table58911[[#This Row],[Repeat Values per attribute]])</f>
        <v>nc:AddressSecondaryUnitTextc</v>
      </c>
    </row>
    <row r="47" spans="1:30" ht="30" customHeight="1" x14ac:dyDescent="0.3">
      <c r="A47" s="5">
        <f t="shared" si="0"/>
        <v>46</v>
      </c>
      <c r="B47" s="5">
        <f t="shared" si="4"/>
        <v>1</v>
      </c>
      <c r="C47" s="5">
        <f t="shared" si="4"/>
        <v>7</v>
      </c>
      <c r="D47" s="5">
        <f t="shared" si="2"/>
        <v>17</v>
      </c>
      <c r="E47" s="5" t="s">
        <v>49</v>
      </c>
      <c r="F47" s="5" t="s">
        <v>8</v>
      </c>
      <c r="G47" s="5">
        <v>395</v>
      </c>
      <c r="H47" s="6" t="s">
        <v>33</v>
      </c>
      <c r="I47" s="7" t="s">
        <v>129</v>
      </c>
      <c r="J47" s="5" t="s">
        <v>34</v>
      </c>
      <c r="K47" s="5" t="s">
        <v>130</v>
      </c>
      <c r="L47" s="5" t="s">
        <v>36</v>
      </c>
      <c r="M47" s="8" t="s">
        <v>57</v>
      </c>
      <c r="N47" s="5" t="s">
        <v>129</v>
      </c>
      <c r="O47" s="5" t="s">
        <v>145</v>
      </c>
      <c r="P47" s="1" t="s">
        <v>146</v>
      </c>
      <c r="Q47" s="1" t="s">
        <v>133</v>
      </c>
      <c r="R47" s="5" t="s">
        <v>134</v>
      </c>
      <c r="S47" s="5" t="s">
        <v>42</v>
      </c>
      <c r="U47" s="5" t="s">
        <v>135</v>
      </c>
      <c r="X47" s="9" t="s">
        <v>139</v>
      </c>
      <c r="Y47" s="5" t="s">
        <v>145</v>
      </c>
      <c r="Z47" s="5" t="s">
        <v>45</v>
      </c>
      <c r="AA47" s="5" t="s">
        <v>46</v>
      </c>
      <c r="AB47" s="5" t="s">
        <v>147</v>
      </c>
      <c r="AC47" s="5" t="s">
        <v>148</v>
      </c>
      <c r="AD47" s="5" t="str">
        <f>_xlfn.CONCAT(Table58911[[#This Row],[&lt;&lt;NOLA&gt;&gt;
NIEM Element]],Table58911[[#This Row],[Repeat Values per attribute]])</f>
        <v>nc:AddressSecondaryUnitTextc</v>
      </c>
    </row>
    <row r="48" spans="1:30" ht="30" customHeight="1" x14ac:dyDescent="0.3">
      <c r="A48" s="5">
        <f t="shared" si="0"/>
        <v>47</v>
      </c>
      <c r="B48" s="5">
        <f t="shared" si="4"/>
        <v>1</v>
      </c>
      <c r="C48" s="5">
        <f t="shared" si="4"/>
        <v>7</v>
      </c>
      <c r="D48" s="5">
        <f t="shared" si="2"/>
        <v>17</v>
      </c>
      <c r="E48" s="5" t="s">
        <v>49</v>
      </c>
      <c r="F48" s="5" t="s">
        <v>8</v>
      </c>
      <c r="G48" s="5">
        <v>395</v>
      </c>
      <c r="H48" s="6" t="s">
        <v>33</v>
      </c>
      <c r="I48" s="7" t="s">
        <v>129</v>
      </c>
      <c r="J48" s="5" t="s">
        <v>34</v>
      </c>
      <c r="K48" s="5" t="s">
        <v>130</v>
      </c>
      <c r="L48" s="5" t="s">
        <v>36</v>
      </c>
      <c r="M48" s="8" t="s">
        <v>57</v>
      </c>
      <c r="N48" s="5" t="s">
        <v>129</v>
      </c>
      <c r="O48" s="5" t="s">
        <v>145</v>
      </c>
      <c r="P48" s="1" t="s">
        <v>146</v>
      </c>
      <c r="Q48" s="1" t="s">
        <v>133</v>
      </c>
      <c r="R48" s="5" t="s">
        <v>134</v>
      </c>
      <c r="S48" s="5" t="s">
        <v>42</v>
      </c>
      <c r="U48" s="5" t="s">
        <v>135</v>
      </c>
      <c r="X48" s="9" t="s">
        <v>140</v>
      </c>
      <c r="Y48" s="5" t="s">
        <v>145</v>
      </c>
      <c r="Z48" s="5" t="s">
        <v>45</v>
      </c>
      <c r="AA48" s="5" t="s">
        <v>46</v>
      </c>
      <c r="AB48" s="5" t="s">
        <v>147</v>
      </c>
      <c r="AC48" s="5" t="s">
        <v>148</v>
      </c>
      <c r="AD48" s="5" t="str">
        <f>_xlfn.CONCAT(Table58911[[#This Row],[&lt;&lt;NOLA&gt;&gt;
NIEM Element]],Table58911[[#This Row],[Repeat Values per attribute]])</f>
        <v>nc:AddressSecondaryUnitTextc</v>
      </c>
    </row>
    <row r="49" spans="1:30" ht="30" customHeight="1" x14ac:dyDescent="0.3">
      <c r="A49" s="5">
        <f t="shared" si="0"/>
        <v>48</v>
      </c>
      <c r="B49" s="5">
        <f t="shared" si="4"/>
        <v>1</v>
      </c>
      <c r="C49" s="5">
        <f t="shared" si="4"/>
        <v>7</v>
      </c>
      <c r="D49" s="5">
        <f t="shared" si="2"/>
        <v>18</v>
      </c>
      <c r="E49" s="5" t="s">
        <v>32</v>
      </c>
      <c r="F49" s="5" t="s">
        <v>8</v>
      </c>
      <c r="G49" s="5">
        <v>395</v>
      </c>
      <c r="H49" s="6" t="s">
        <v>33</v>
      </c>
      <c r="I49" s="7" t="s">
        <v>129</v>
      </c>
      <c r="J49" s="5" t="s">
        <v>34</v>
      </c>
      <c r="K49" s="5" t="s">
        <v>130</v>
      </c>
      <c r="L49" s="5" t="s">
        <v>36</v>
      </c>
      <c r="M49" s="8" t="s">
        <v>87</v>
      </c>
      <c r="N49" s="5" t="s">
        <v>129</v>
      </c>
      <c r="O49" s="5" t="s">
        <v>149</v>
      </c>
      <c r="P49" s="1" t="s">
        <v>150</v>
      </c>
      <c r="Q49" s="1" t="s">
        <v>133</v>
      </c>
      <c r="R49" s="5" t="s">
        <v>134</v>
      </c>
      <c r="S49" s="5" t="s">
        <v>42</v>
      </c>
      <c r="U49" s="5" t="s">
        <v>135</v>
      </c>
      <c r="X49" s="9" t="s">
        <v>136</v>
      </c>
      <c r="Y49" s="5" t="s">
        <v>149</v>
      </c>
      <c r="Z49" s="5" t="s">
        <v>45</v>
      </c>
      <c r="AA49" s="5" t="s">
        <v>90</v>
      </c>
      <c r="AB49" s="5" t="s">
        <v>137</v>
      </c>
      <c r="AC49" s="5" t="s">
        <v>151</v>
      </c>
      <c r="AD49" s="5" t="str">
        <f>_xlfn.CONCAT(Table58911[[#This Row],[&lt;&lt;NOLA&gt;&gt;
NIEM Element]],Table58911[[#This Row],[Repeat Values per attribute]])</f>
        <v>nc:AddressSecondaryUnitTexte</v>
      </c>
    </row>
    <row r="50" spans="1:30" ht="30" customHeight="1" x14ac:dyDescent="0.3">
      <c r="A50" s="5">
        <f t="shared" si="0"/>
        <v>49</v>
      </c>
      <c r="B50" s="5">
        <f t="shared" ref="B50:C65" si="5">IF(H49=H50,B49,B49+1)</f>
        <v>1</v>
      </c>
      <c r="C50" s="5">
        <f t="shared" si="5"/>
        <v>7</v>
      </c>
      <c r="D50" s="5">
        <f t="shared" si="2"/>
        <v>18</v>
      </c>
      <c r="E50" s="5" t="s">
        <v>49</v>
      </c>
      <c r="F50" s="5" t="s">
        <v>8</v>
      </c>
      <c r="G50" s="5">
        <v>395</v>
      </c>
      <c r="H50" s="6" t="s">
        <v>33</v>
      </c>
      <c r="I50" s="7" t="s">
        <v>129</v>
      </c>
      <c r="J50" s="5" t="s">
        <v>34</v>
      </c>
      <c r="K50" s="5" t="s">
        <v>130</v>
      </c>
      <c r="L50" s="5" t="s">
        <v>36</v>
      </c>
      <c r="M50" s="8" t="s">
        <v>87</v>
      </c>
      <c r="N50" s="5" t="s">
        <v>129</v>
      </c>
      <c r="O50" s="5" t="s">
        <v>149</v>
      </c>
      <c r="P50" s="1" t="s">
        <v>150</v>
      </c>
      <c r="Q50" s="1" t="s">
        <v>133</v>
      </c>
      <c r="R50" s="5" t="s">
        <v>134</v>
      </c>
      <c r="S50" s="5" t="s">
        <v>42</v>
      </c>
      <c r="U50" s="5" t="s">
        <v>135</v>
      </c>
      <c r="X50" s="9" t="s">
        <v>139</v>
      </c>
      <c r="Y50" s="5" t="s">
        <v>149</v>
      </c>
      <c r="Z50" s="5" t="s">
        <v>45</v>
      </c>
      <c r="AA50" s="5" t="s">
        <v>90</v>
      </c>
      <c r="AB50" s="5" t="s">
        <v>137</v>
      </c>
      <c r="AC50" s="5" t="s">
        <v>151</v>
      </c>
      <c r="AD50" s="5" t="str">
        <f>_xlfn.CONCAT(Table58911[[#This Row],[&lt;&lt;NOLA&gt;&gt;
NIEM Element]],Table58911[[#This Row],[Repeat Values per attribute]])</f>
        <v>nc:AddressSecondaryUnitTexte</v>
      </c>
    </row>
    <row r="51" spans="1:30" ht="30" customHeight="1" x14ac:dyDescent="0.3">
      <c r="A51" s="5">
        <f t="shared" si="0"/>
        <v>50</v>
      </c>
      <c r="B51" s="5">
        <f t="shared" si="5"/>
        <v>1</v>
      </c>
      <c r="C51" s="5">
        <f t="shared" si="5"/>
        <v>7</v>
      </c>
      <c r="D51" s="5">
        <f t="shared" si="2"/>
        <v>18</v>
      </c>
      <c r="E51" s="5" t="s">
        <v>49</v>
      </c>
      <c r="F51" s="5" t="s">
        <v>8</v>
      </c>
      <c r="G51" s="5">
        <v>395</v>
      </c>
      <c r="H51" s="6" t="s">
        <v>33</v>
      </c>
      <c r="I51" s="7" t="s">
        <v>129</v>
      </c>
      <c r="J51" s="5" t="s">
        <v>34</v>
      </c>
      <c r="K51" s="5" t="s">
        <v>130</v>
      </c>
      <c r="L51" s="5" t="s">
        <v>36</v>
      </c>
      <c r="M51" s="8" t="s">
        <v>87</v>
      </c>
      <c r="N51" s="5" t="s">
        <v>129</v>
      </c>
      <c r="O51" s="5" t="s">
        <v>149</v>
      </c>
      <c r="P51" s="1" t="s">
        <v>150</v>
      </c>
      <c r="Q51" s="1" t="s">
        <v>133</v>
      </c>
      <c r="R51" s="5" t="s">
        <v>134</v>
      </c>
      <c r="S51" s="5" t="s">
        <v>42</v>
      </c>
      <c r="U51" s="5" t="s">
        <v>135</v>
      </c>
      <c r="X51" s="9" t="s">
        <v>140</v>
      </c>
      <c r="Y51" s="5" t="s">
        <v>149</v>
      </c>
      <c r="Z51" s="5" t="s">
        <v>45</v>
      </c>
      <c r="AA51" s="5" t="s">
        <v>90</v>
      </c>
      <c r="AB51" s="5" t="s">
        <v>137</v>
      </c>
      <c r="AC51" s="5" t="s">
        <v>151</v>
      </c>
      <c r="AD51" s="5" t="str">
        <f>_xlfn.CONCAT(Table58911[[#This Row],[&lt;&lt;NOLA&gt;&gt;
NIEM Element]],Table58911[[#This Row],[Repeat Values per attribute]])</f>
        <v>nc:AddressSecondaryUnitTexte</v>
      </c>
    </row>
    <row r="52" spans="1:30" ht="30" customHeight="1" x14ac:dyDescent="0.3">
      <c r="A52" s="5">
        <f t="shared" si="0"/>
        <v>51</v>
      </c>
      <c r="B52" s="5">
        <f t="shared" si="5"/>
        <v>1</v>
      </c>
      <c r="C52" s="5">
        <f t="shared" si="5"/>
        <v>8</v>
      </c>
      <c r="D52" s="5">
        <f t="shared" si="2"/>
        <v>19</v>
      </c>
      <c r="E52" s="5" t="s">
        <v>32</v>
      </c>
      <c r="F52" s="5" t="s">
        <v>8</v>
      </c>
      <c r="G52" s="5">
        <v>397</v>
      </c>
      <c r="H52" s="6" t="s">
        <v>33</v>
      </c>
      <c r="I52" s="7" t="s">
        <v>152</v>
      </c>
      <c r="J52" s="5" t="s">
        <v>153</v>
      </c>
      <c r="K52" s="5" t="s">
        <v>154</v>
      </c>
      <c r="L52" s="5" t="s">
        <v>36</v>
      </c>
      <c r="M52" s="8" t="s">
        <v>37</v>
      </c>
      <c r="N52" s="5" t="s">
        <v>152</v>
      </c>
      <c r="O52" s="5" t="s">
        <v>155</v>
      </c>
      <c r="P52" s="5" t="s">
        <v>156</v>
      </c>
      <c r="Q52" s="1" t="s">
        <v>157</v>
      </c>
      <c r="R52" s="5" t="s">
        <v>158</v>
      </c>
      <c r="S52" s="5" t="s">
        <v>159</v>
      </c>
      <c r="U52" s="5" t="s">
        <v>160</v>
      </c>
      <c r="X52" s="9" t="s">
        <v>161</v>
      </c>
      <c r="Y52" s="5" t="s">
        <v>155</v>
      </c>
      <c r="Z52" s="5" t="s">
        <v>45</v>
      </c>
      <c r="AA52" s="5" t="s">
        <v>46</v>
      </c>
      <c r="AB52" s="5" t="s">
        <v>162</v>
      </c>
      <c r="AC52" s="5" t="s">
        <v>163</v>
      </c>
      <c r="AD52" s="5" t="str">
        <f>_xlfn.CONCAT(Table58911[[#This Row],[&lt;&lt;NOLA&gt;&gt;
NIEM Element]],Table58911[[#This Row],[Repeat Values per attribute]])</f>
        <v>nc:AddressDeliveryPointIDa</v>
      </c>
    </row>
    <row r="53" spans="1:30" ht="30" customHeight="1" x14ac:dyDescent="0.3">
      <c r="A53" s="5">
        <f t="shared" si="0"/>
        <v>52</v>
      </c>
      <c r="B53" s="5">
        <f t="shared" si="5"/>
        <v>1</v>
      </c>
      <c r="C53" s="5">
        <f t="shared" si="5"/>
        <v>8</v>
      </c>
      <c r="D53" s="5">
        <f t="shared" si="2"/>
        <v>19</v>
      </c>
      <c r="E53" s="5" t="s">
        <v>49</v>
      </c>
      <c r="F53" s="5" t="s">
        <v>8</v>
      </c>
      <c r="G53" s="5">
        <v>397</v>
      </c>
      <c r="H53" s="6" t="s">
        <v>33</v>
      </c>
      <c r="I53" s="7" t="s">
        <v>152</v>
      </c>
      <c r="J53" s="5" t="s">
        <v>153</v>
      </c>
      <c r="K53" s="5" t="s">
        <v>154</v>
      </c>
      <c r="L53" s="5" t="s">
        <v>36</v>
      </c>
      <c r="M53" s="8" t="s">
        <v>37</v>
      </c>
      <c r="N53" s="5" t="s">
        <v>152</v>
      </c>
      <c r="O53" s="5" t="s">
        <v>155</v>
      </c>
      <c r="P53" s="5" t="s">
        <v>156</v>
      </c>
      <c r="Q53" s="1" t="s">
        <v>157</v>
      </c>
      <c r="R53" s="5" t="s">
        <v>158</v>
      </c>
      <c r="S53" s="5" t="s">
        <v>159</v>
      </c>
      <c r="U53" s="5" t="s">
        <v>160</v>
      </c>
      <c r="X53" s="9" t="s">
        <v>164</v>
      </c>
      <c r="Y53" s="5" t="s">
        <v>155</v>
      </c>
      <c r="Z53" s="5" t="s">
        <v>45</v>
      </c>
      <c r="AA53" s="5" t="s">
        <v>46</v>
      </c>
      <c r="AB53" s="5" t="s">
        <v>162</v>
      </c>
      <c r="AC53" s="5" t="s">
        <v>163</v>
      </c>
      <c r="AD53" s="5" t="str">
        <f>_xlfn.CONCAT(Table58911[[#This Row],[&lt;&lt;NOLA&gt;&gt;
NIEM Element]],Table58911[[#This Row],[Repeat Values per attribute]])</f>
        <v>nc:AddressDeliveryPointIDa</v>
      </c>
    </row>
    <row r="54" spans="1:30" ht="30" customHeight="1" x14ac:dyDescent="0.3">
      <c r="A54" s="5">
        <f t="shared" si="0"/>
        <v>53</v>
      </c>
      <c r="B54" s="5">
        <f t="shared" si="5"/>
        <v>1</v>
      </c>
      <c r="C54" s="5">
        <f t="shared" si="5"/>
        <v>8</v>
      </c>
      <c r="D54" s="5">
        <f t="shared" si="2"/>
        <v>19</v>
      </c>
      <c r="E54" s="5" t="s">
        <v>49</v>
      </c>
      <c r="F54" s="5" t="s">
        <v>8</v>
      </c>
      <c r="G54" s="5">
        <v>397</v>
      </c>
      <c r="H54" s="6" t="s">
        <v>33</v>
      </c>
      <c r="I54" s="7" t="s">
        <v>152</v>
      </c>
      <c r="J54" s="5" t="s">
        <v>153</v>
      </c>
      <c r="K54" s="5" t="s">
        <v>154</v>
      </c>
      <c r="L54" s="5" t="s">
        <v>36</v>
      </c>
      <c r="M54" s="8" t="s">
        <v>37</v>
      </c>
      <c r="N54" s="5" t="s">
        <v>152</v>
      </c>
      <c r="O54" s="5" t="s">
        <v>155</v>
      </c>
      <c r="P54" s="5" t="s">
        <v>156</v>
      </c>
      <c r="Q54" s="1" t="s">
        <v>157</v>
      </c>
      <c r="R54" s="5" t="s">
        <v>158</v>
      </c>
      <c r="S54" s="5" t="s">
        <v>159</v>
      </c>
      <c r="U54" s="5" t="s">
        <v>160</v>
      </c>
      <c r="X54" s="9" t="s">
        <v>165</v>
      </c>
      <c r="Y54" s="5" t="s">
        <v>155</v>
      </c>
      <c r="Z54" s="5" t="s">
        <v>45</v>
      </c>
      <c r="AA54" s="5" t="s">
        <v>46</v>
      </c>
      <c r="AB54" s="5" t="s">
        <v>162</v>
      </c>
      <c r="AC54" s="5" t="s">
        <v>163</v>
      </c>
      <c r="AD54" s="5" t="str">
        <f>_xlfn.CONCAT(Table58911[[#This Row],[&lt;&lt;NOLA&gt;&gt;
NIEM Element]],Table58911[[#This Row],[Repeat Values per attribute]])</f>
        <v>nc:AddressDeliveryPointIDa</v>
      </c>
    </row>
    <row r="55" spans="1:30" ht="30" customHeight="1" x14ac:dyDescent="0.3">
      <c r="A55" s="5">
        <f t="shared" si="0"/>
        <v>54</v>
      </c>
      <c r="B55" s="5">
        <f t="shared" si="5"/>
        <v>1</v>
      </c>
      <c r="C55" s="5">
        <f t="shared" si="5"/>
        <v>8</v>
      </c>
      <c r="D55" s="5">
        <f t="shared" si="2"/>
        <v>20</v>
      </c>
      <c r="E55" s="5" t="s">
        <v>49</v>
      </c>
      <c r="F55" s="5" t="s">
        <v>8</v>
      </c>
      <c r="G55" s="5">
        <v>397</v>
      </c>
      <c r="H55" s="6" t="s">
        <v>33</v>
      </c>
      <c r="I55" s="7" t="s">
        <v>152</v>
      </c>
      <c r="J55" s="5" t="s">
        <v>153</v>
      </c>
      <c r="K55" s="5" t="s">
        <v>154</v>
      </c>
      <c r="L55" s="5" t="s">
        <v>36</v>
      </c>
      <c r="M55" s="8" t="s">
        <v>52</v>
      </c>
      <c r="N55" s="5" t="s">
        <v>152</v>
      </c>
      <c r="O55" s="5" t="s">
        <v>166</v>
      </c>
      <c r="P55" s="1" t="s">
        <v>167</v>
      </c>
      <c r="Q55" s="1" t="s">
        <v>157</v>
      </c>
      <c r="R55" s="5" t="s">
        <v>158</v>
      </c>
      <c r="S55" s="5" t="s">
        <v>159</v>
      </c>
      <c r="U55" s="5" t="s">
        <v>160</v>
      </c>
      <c r="X55" s="9" t="s">
        <v>161</v>
      </c>
      <c r="Y55" s="5" t="s">
        <v>166</v>
      </c>
      <c r="Z55" s="5" t="s">
        <v>45</v>
      </c>
      <c r="AA55" s="5" t="s">
        <v>46</v>
      </c>
      <c r="AB55" s="5" t="s">
        <v>168</v>
      </c>
      <c r="AC55" s="5" t="s">
        <v>169</v>
      </c>
      <c r="AD55" s="5" t="str">
        <f>_xlfn.CONCAT(Table58911[[#This Row],[&lt;&lt;NOLA&gt;&gt;
NIEM Element]],Table58911[[#This Row],[Repeat Values per attribute]])</f>
        <v>nc:AddressDeliveryPointIDb</v>
      </c>
    </row>
    <row r="56" spans="1:30" ht="30" customHeight="1" x14ac:dyDescent="0.3">
      <c r="A56" s="5">
        <f t="shared" si="0"/>
        <v>55</v>
      </c>
      <c r="B56" s="5">
        <f t="shared" si="5"/>
        <v>1</v>
      </c>
      <c r="C56" s="5">
        <f t="shared" si="5"/>
        <v>8</v>
      </c>
      <c r="D56" s="5">
        <f t="shared" si="2"/>
        <v>20</v>
      </c>
      <c r="E56" s="5" t="s">
        <v>49</v>
      </c>
      <c r="F56" s="5" t="s">
        <v>8</v>
      </c>
      <c r="G56" s="5">
        <v>397</v>
      </c>
      <c r="H56" s="6" t="s">
        <v>33</v>
      </c>
      <c r="I56" s="7" t="s">
        <v>152</v>
      </c>
      <c r="J56" s="5" t="s">
        <v>153</v>
      </c>
      <c r="K56" s="5" t="s">
        <v>154</v>
      </c>
      <c r="L56" s="5" t="s">
        <v>36</v>
      </c>
      <c r="M56" s="8" t="s">
        <v>52</v>
      </c>
      <c r="N56" s="5" t="s">
        <v>152</v>
      </c>
      <c r="O56" s="5" t="s">
        <v>166</v>
      </c>
      <c r="P56" s="1" t="s">
        <v>167</v>
      </c>
      <c r="Q56" s="1" t="s">
        <v>157</v>
      </c>
      <c r="R56" s="5" t="s">
        <v>158</v>
      </c>
      <c r="S56" s="5" t="s">
        <v>159</v>
      </c>
      <c r="U56" s="5" t="s">
        <v>160</v>
      </c>
      <c r="X56" s="9" t="s">
        <v>164</v>
      </c>
      <c r="Y56" s="5" t="s">
        <v>166</v>
      </c>
      <c r="Z56" s="5" t="s">
        <v>45</v>
      </c>
      <c r="AA56" s="5" t="s">
        <v>46</v>
      </c>
      <c r="AB56" s="5" t="s">
        <v>168</v>
      </c>
      <c r="AC56" s="5" t="s">
        <v>169</v>
      </c>
      <c r="AD56" s="5" t="str">
        <f>_xlfn.CONCAT(Table58911[[#This Row],[&lt;&lt;NOLA&gt;&gt;
NIEM Element]],Table58911[[#This Row],[Repeat Values per attribute]])</f>
        <v>nc:AddressDeliveryPointIDb</v>
      </c>
    </row>
    <row r="57" spans="1:30" ht="30" customHeight="1" x14ac:dyDescent="0.3">
      <c r="A57" s="5">
        <f t="shared" si="0"/>
        <v>56</v>
      </c>
      <c r="B57" s="5">
        <f t="shared" si="5"/>
        <v>1</v>
      </c>
      <c r="C57" s="5">
        <f t="shared" si="5"/>
        <v>8</v>
      </c>
      <c r="D57" s="5">
        <f t="shared" si="2"/>
        <v>20</v>
      </c>
      <c r="E57" s="5" t="s">
        <v>49</v>
      </c>
      <c r="F57" s="5" t="s">
        <v>8</v>
      </c>
      <c r="G57" s="5">
        <v>397</v>
      </c>
      <c r="H57" s="6" t="s">
        <v>33</v>
      </c>
      <c r="I57" s="7" t="s">
        <v>152</v>
      </c>
      <c r="J57" s="5" t="s">
        <v>153</v>
      </c>
      <c r="K57" s="5" t="s">
        <v>154</v>
      </c>
      <c r="L57" s="5" t="s">
        <v>36</v>
      </c>
      <c r="M57" s="8" t="s">
        <v>52</v>
      </c>
      <c r="N57" s="5" t="s">
        <v>152</v>
      </c>
      <c r="O57" s="5" t="s">
        <v>166</v>
      </c>
      <c r="P57" s="1" t="s">
        <v>167</v>
      </c>
      <c r="Q57" s="1" t="s">
        <v>157</v>
      </c>
      <c r="R57" s="5" t="s">
        <v>158</v>
      </c>
      <c r="S57" s="5" t="s">
        <v>159</v>
      </c>
      <c r="U57" s="5" t="s">
        <v>160</v>
      </c>
      <c r="X57" s="9" t="s">
        <v>165</v>
      </c>
      <c r="Y57" s="5" t="s">
        <v>166</v>
      </c>
      <c r="Z57" s="5" t="s">
        <v>45</v>
      </c>
      <c r="AA57" s="5" t="s">
        <v>46</v>
      </c>
      <c r="AB57" s="5" t="s">
        <v>168</v>
      </c>
      <c r="AC57" s="5" t="s">
        <v>169</v>
      </c>
      <c r="AD57" s="5" t="str">
        <f>_xlfn.CONCAT(Table58911[[#This Row],[&lt;&lt;NOLA&gt;&gt;
NIEM Element]],Table58911[[#This Row],[Repeat Values per attribute]])</f>
        <v>nc:AddressDeliveryPointIDb</v>
      </c>
    </row>
    <row r="58" spans="1:30" ht="30" customHeight="1" x14ac:dyDescent="0.3">
      <c r="A58" s="5">
        <f t="shared" si="0"/>
        <v>57</v>
      </c>
      <c r="B58" s="5">
        <f t="shared" si="5"/>
        <v>1</v>
      </c>
      <c r="C58" s="5">
        <f t="shared" si="5"/>
        <v>8</v>
      </c>
      <c r="D58" s="5">
        <f t="shared" si="2"/>
        <v>21</v>
      </c>
      <c r="E58" s="5" t="s">
        <v>49</v>
      </c>
      <c r="F58" s="5" t="s">
        <v>8</v>
      </c>
      <c r="G58" s="5">
        <v>397</v>
      </c>
      <c r="H58" s="6" t="s">
        <v>33</v>
      </c>
      <c r="I58" s="7" t="s">
        <v>152</v>
      </c>
      <c r="J58" s="5" t="s">
        <v>153</v>
      </c>
      <c r="K58" s="5" t="s">
        <v>154</v>
      </c>
      <c r="L58" s="5" t="s">
        <v>36</v>
      </c>
      <c r="M58" s="8" t="s">
        <v>57</v>
      </c>
      <c r="N58" s="5" t="s">
        <v>152</v>
      </c>
      <c r="O58" s="5" t="s">
        <v>170</v>
      </c>
      <c r="P58" s="1" t="s">
        <v>171</v>
      </c>
      <c r="Q58" s="1" t="s">
        <v>157</v>
      </c>
      <c r="R58" s="5" t="s">
        <v>158</v>
      </c>
      <c r="S58" s="5" t="s">
        <v>159</v>
      </c>
      <c r="U58" s="5" t="s">
        <v>160</v>
      </c>
      <c r="X58" s="9" t="s">
        <v>161</v>
      </c>
      <c r="Y58" s="5" t="s">
        <v>170</v>
      </c>
      <c r="Z58" s="5" t="s">
        <v>45</v>
      </c>
      <c r="AA58" s="5" t="s">
        <v>46</v>
      </c>
      <c r="AB58" s="5" t="s">
        <v>172</v>
      </c>
      <c r="AC58" s="5" t="s">
        <v>173</v>
      </c>
      <c r="AD58" s="5" t="str">
        <f>_xlfn.CONCAT(Table58911[[#This Row],[&lt;&lt;NOLA&gt;&gt;
NIEM Element]],Table58911[[#This Row],[Repeat Values per attribute]])</f>
        <v>nc:AddressDeliveryPointIDc</v>
      </c>
    </row>
    <row r="59" spans="1:30" ht="30" customHeight="1" x14ac:dyDescent="0.3">
      <c r="A59" s="5">
        <f t="shared" si="0"/>
        <v>58</v>
      </c>
      <c r="B59" s="5">
        <f t="shared" si="5"/>
        <v>1</v>
      </c>
      <c r="C59" s="5">
        <f t="shared" si="5"/>
        <v>8</v>
      </c>
      <c r="D59" s="5">
        <f t="shared" si="2"/>
        <v>21</v>
      </c>
      <c r="E59" s="5" t="s">
        <v>49</v>
      </c>
      <c r="F59" s="5" t="s">
        <v>8</v>
      </c>
      <c r="G59" s="5">
        <v>397</v>
      </c>
      <c r="H59" s="6" t="s">
        <v>33</v>
      </c>
      <c r="I59" s="7" t="s">
        <v>152</v>
      </c>
      <c r="J59" s="5" t="s">
        <v>153</v>
      </c>
      <c r="K59" s="5" t="s">
        <v>154</v>
      </c>
      <c r="L59" s="5" t="s">
        <v>36</v>
      </c>
      <c r="M59" s="8" t="s">
        <v>57</v>
      </c>
      <c r="N59" s="5" t="s">
        <v>152</v>
      </c>
      <c r="O59" s="5" t="s">
        <v>170</v>
      </c>
      <c r="P59" s="1" t="s">
        <v>171</v>
      </c>
      <c r="Q59" s="1" t="s">
        <v>157</v>
      </c>
      <c r="R59" s="5" t="s">
        <v>158</v>
      </c>
      <c r="S59" s="5" t="s">
        <v>159</v>
      </c>
      <c r="U59" s="5" t="s">
        <v>160</v>
      </c>
      <c r="X59" s="9" t="s">
        <v>164</v>
      </c>
      <c r="Y59" s="5" t="s">
        <v>170</v>
      </c>
      <c r="Z59" s="5" t="s">
        <v>45</v>
      </c>
      <c r="AA59" s="5" t="s">
        <v>46</v>
      </c>
      <c r="AB59" s="5" t="s">
        <v>172</v>
      </c>
      <c r="AC59" s="5" t="s">
        <v>173</v>
      </c>
      <c r="AD59" s="5" t="str">
        <f>_xlfn.CONCAT(Table58911[[#This Row],[&lt;&lt;NOLA&gt;&gt;
NIEM Element]],Table58911[[#This Row],[Repeat Values per attribute]])</f>
        <v>nc:AddressDeliveryPointIDc</v>
      </c>
    </row>
    <row r="60" spans="1:30" ht="30" customHeight="1" x14ac:dyDescent="0.3">
      <c r="A60" s="5">
        <f t="shared" si="0"/>
        <v>59</v>
      </c>
      <c r="B60" s="5">
        <f t="shared" si="5"/>
        <v>1</v>
      </c>
      <c r="C60" s="5">
        <f t="shared" si="5"/>
        <v>8</v>
      </c>
      <c r="D60" s="5">
        <f t="shared" si="2"/>
        <v>21</v>
      </c>
      <c r="E60" s="5" t="s">
        <v>49</v>
      </c>
      <c r="F60" s="5" t="s">
        <v>8</v>
      </c>
      <c r="G60" s="5">
        <v>397</v>
      </c>
      <c r="H60" s="6" t="s">
        <v>33</v>
      </c>
      <c r="I60" s="7" t="s">
        <v>152</v>
      </c>
      <c r="J60" s="5" t="s">
        <v>153</v>
      </c>
      <c r="K60" s="5" t="s">
        <v>154</v>
      </c>
      <c r="L60" s="5" t="s">
        <v>36</v>
      </c>
      <c r="M60" s="8" t="s">
        <v>57</v>
      </c>
      <c r="N60" s="5" t="s">
        <v>152</v>
      </c>
      <c r="O60" s="5" t="s">
        <v>170</v>
      </c>
      <c r="P60" s="1" t="s">
        <v>171</v>
      </c>
      <c r="Q60" s="1" t="s">
        <v>157</v>
      </c>
      <c r="R60" s="5" t="s">
        <v>158</v>
      </c>
      <c r="S60" s="5" t="s">
        <v>159</v>
      </c>
      <c r="U60" s="5" t="s">
        <v>160</v>
      </c>
      <c r="X60" s="9" t="s">
        <v>165</v>
      </c>
      <c r="Y60" s="5" t="s">
        <v>170</v>
      </c>
      <c r="Z60" s="5" t="s">
        <v>45</v>
      </c>
      <c r="AA60" s="5" t="s">
        <v>46</v>
      </c>
      <c r="AB60" s="5" t="s">
        <v>172</v>
      </c>
      <c r="AC60" s="5" t="s">
        <v>173</v>
      </c>
      <c r="AD60" s="5" t="str">
        <f>_xlfn.CONCAT(Table58911[[#This Row],[&lt;&lt;NOLA&gt;&gt;
NIEM Element]],Table58911[[#This Row],[Repeat Values per attribute]])</f>
        <v>nc:AddressDeliveryPointIDc</v>
      </c>
    </row>
    <row r="61" spans="1:30" ht="30" customHeight="1" x14ac:dyDescent="0.3">
      <c r="A61" s="5">
        <f t="shared" si="0"/>
        <v>60</v>
      </c>
      <c r="B61" s="5">
        <f t="shared" si="5"/>
        <v>1</v>
      </c>
      <c r="C61" s="5">
        <f t="shared" si="5"/>
        <v>8</v>
      </c>
      <c r="D61" s="5">
        <f t="shared" si="2"/>
        <v>22</v>
      </c>
      <c r="E61" s="5" t="s">
        <v>49</v>
      </c>
      <c r="F61" s="5" t="s">
        <v>8</v>
      </c>
      <c r="G61" s="5">
        <v>397</v>
      </c>
      <c r="H61" s="6" t="s">
        <v>33</v>
      </c>
      <c r="I61" s="7" t="s">
        <v>152</v>
      </c>
      <c r="J61" s="5" t="s">
        <v>153</v>
      </c>
      <c r="K61" s="5" t="s">
        <v>154</v>
      </c>
      <c r="L61" s="5" t="s">
        <v>36</v>
      </c>
      <c r="M61" s="8" t="s">
        <v>49</v>
      </c>
      <c r="N61" s="5" t="s">
        <v>152</v>
      </c>
      <c r="O61" s="5" t="s">
        <v>174</v>
      </c>
      <c r="P61" s="1" t="s">
        <v>175</v>
      </c>
      <c r="Q61" s="1" t="s">
        <v>157</v>
      </c>
      <c r="R61" s="5" t="s">
        <v>158</v>
      </c>
      <c r="S61" s="5" t="s">
        <v>159</v>
      </c>
      <c r="U61" s="5" t="s">
        <v>160</v>
      </c>
      <c r="X61" s="9" t="s">
        <v>161</v>
      </c>
      <c r="Y61" s="5" t="s">
        <v>174</v>
      </c>
      <c r="Z61" s="5" t="s">
        <v>45</v>
      </c>
      <c r="AA61" s="5" t="s">
        <v>46</v>
      </c>
      <c r="AB61" s="5" t="s">
        <v>176</v>
      </c>
      <c r="AC61" s="5" t="s">
        <v>177</v>
      </c>
      <c r="AD61" s="5" t="str">
        <f>_xlfn.CONCAT(Table58911[[#This Row],[&lt;&lt;NOLA&gt;&gt;
NIEM Element]],Table58911[[#This Row],[Repeat Values per attribute]])</f>
        <v>nc:AddressDeliveryPointIDd</v>
      </c>
    </row>
    <row r="62" spans="1:30" ht="30" customHeight="1" x14ac:dyDescent="0.3">
      <c r="A62" s="5">
        <f t="shared" si="0"/>
        <v>61</v>
      </c>
      <c r="B62" s="5">
        <f t="shared" si="5"/>
        <v>1</v>
      </c>
      <c r="C62" s="5">
        <f t="shared" si="5"/>
        <v>8</v>
      </c>
      <c r="D62" s="5">
        <f t="shared" si="2"/>
        <v>22</v>
      </c>
      <c r="E62" s="5" t="s">
        <v>49</v>
      </c>
      <c r="F62" s="5" t="s">
        <v>8</v>
      </c>
      <c r="G62" s="5">
        <v>397</v>
      </c>
      <c r="H62" s="6" t="s">
        <v>33</v>
      </c>
      <c r="I62" s="7" t="s">
        <v>152</v>
      </c>
      <c r="J62" s="5" t="s">
        <v>153</v>
      </c>
      <c r="K62" s="5" t="s">
        <v>154</v>
      </c>
      <c r="L62" s="5" t="s">
        <v>36</v>
      </c>
      <c r="M62" s="8" t="s">
        <v>49</v>
      </c>
      <c r="N62" s="5" t="s">
        <v>152</v>
      </c>
      <c r="O62" s="5" t="s">
        <v>174</v>
      </c>
      <c r="P62" s="1" t="s">
        <v>175</v>
      </c>
      <c r="Q62" s="1" t="s">
        <v>157</v>
      </c>
      <c r="R62" s="5" t="s">
        <v>158</v>
      </c>
      <c r="S62" s="5" t="s">
        <v>159</v>
      </c>
      <c r="U62" s="5" t="s">
        <v>160</v>
      </c>
      <c r="X62" s="9" t="s">
        <v>164</v>
      </c>
      <c r="Y62" s="5" t="s">
        <v>174</v>
      </c>
      <c r="Z62" s="5" t="s">
        <v>45</v>
      </c>
      <c r="AA62" s="5" t="s">
        <v>46</v>
      </c>
      <c r="AB62" s="5" t="s">
        <v>176</v>
      </c>
      <c r="AC62" s="5" t="s">
        <v>177</v>
      </c>
      <c r="AD62" s="5" t="str">
        <f>_xlfn.CONCAT(Table58911[[#This Row],[&lt;&lt;NOLA&gt;&gt;
NIEM Element]],Table58911[[#This Row],[Repeat Values per attribute]])</f>
        <v>nc:AddressDeliveryPointIDd</v>
      </c>
    </row>
    <row r="63" spans="1:30" ht="30" customHeight="1" x14ac:dyDescent="0.3">
      <c r="A63" s="5">
        <f t="shared" si="0"/>
        <v>62</v>
      </c>
      <c r="B63" s="5">
        <f t="shared" si="5"/>
        <v>1</v>
      </c>
      <c r="C63" s="5">
        <f t="shared" si="5"/>
        <v>8</v>
      </c>
      <c r="D63" s="5">
        <f t="shared" si="2"/>
        <v>22</v>
      </c>
      <c r="E63" s="5" t="s">
        <v>49</v>
      </c>
      <c r="F63" s="5" t="s">
        <v>8</v>
      </c>
      <c r="G63" s="5">
        <v>397</v>
      </c>
      <c r="H63" s="6" t="s">
        <v>33</v>
      </c>
      <c r="I63" s="7" t="s">
        <v>152</v>
      </c>
      <c r="J63" s="5" t="s">
        <v>153</v>
      </c>
      <c r="K63" s="5" t="s">
        <v>154</v>
      </c>
      <c r="L63" s="5" t="s">
        <v>36</v>
      </c>
      <c r="M63" s="8" t="s">
        <v>49</v>
      </c>
      <c r="N63" s="5" t="s">
        <v>152</v>
      </c>
      <c r="O63" s="5" t="s">
        <v>174</v>
      </c>
      <c r="P63" s="1" t="s">
        <v>175</v>
      </c>
      <c r="Q63" s="1" t="s">
        <v>157</v>
      </c>
      <c r="R63" s="5" t="s">
        <v>158</v>
      </c>
      <c r="S63" s="5" t="s">
        <v>159</v>
      </c>
      <c r="U63" s="5" t="s">
        <v>160</v>
      </c>
      <c r="X63" s="9" t="s">
        <v>165</v>
      </c>
      <c r="Y63" s="5" t="s">
        <v>174</v>
      </c>
      <c r="Z63" s="5" t="s">
        <v>45</v>
      </c>
      <c r="AA63" s="5" t="s">
        <v>46</v>
      </c>
      <c r="AB63" s="5" t="s">
        <v>176</v>
      </c>
      <c r="AC63" s="5" t="s">
        <v>177</v>
      </c>
      <c r="AD63" s="5" t="str">
        <f>_xlfn.CONCAT(Table58911[[#This Row],[&lt;&lt;NOLA&gt;&gt;
NIEM Element]],Table58911[[#This Row],[Repeat Values per attribute]])</f>
        <v>nc:AddressDeliveryPointIDd</v>
      </c>
    </row>
    <row r="64" spans="1:30" ht="30" customHeight="1" x14ac:dyDescent="0.3">
      <c r="A64" s="5">
        <f t="shared" si="0"/>
        <v>63</v>
      </c>
      <c r="B64" s="5">
        <f t="shared" si="5"/>
        <v>1</v>
      </c>
      <c r="C64" s="5">
        <f t="shared" si="5"/>
        <v>8</v>
      </c>
      <c r="D64" s="5">
        <f t="shared" si="2"/>
        <v>23</v>
      </c>
      <c r="E64" s="5" t="s">
        <v>49</v>
      </c>
      <c r="F64" s="5" t="s">
        <v>8</v>
      </c>
      <c r="G64" s="5">
        <v>397</v>
      </c>
      <c r="H64" s="6" t="s">
        <v>33</v>
      </c>
      <c r="I64" s="7" t="s">
        <v>152</v>
      </c>
      <c r="J64" s="5" t="s">
        <v>153</v>
      </c>
      <c r="K64" s="5" t="s">
        <v>154</v>
      </c>
      <c r="L64" s="5" t="s">
        <v>36</v>
      </c>
      <c r="M64" s="8" t="s">
        <v>87</v>
      </c>
      <c r="N64" s="5" t="s">
        <v>152</v>
      </c>
      <c r="O64" s="5" t="s">
        <v>178</v>
      </c>
      <c r="P64" s="1" t="s">
        <v>179</v>
      </c>
      <c r="Q64" s="1" t="s">
        <v>157</v>
      </c>
      <c r="R64" s="5" t="s">
        <v>158</v>
      </c>
      <c r="S64" s="5" t="s">
        <v>159</v>
      </c>
      <c r="U64" s="5" t="s">
        <v>160</v>
      </c>
      <c r="X64" s="9" t="s">
        <v>161</v>
      </c>
      <c r="Y64" s="5" t="s">
        <v>178</v>
      </c>
      <c r="Z64" s="5" t="s">
        <v>45</v>
      </c>
      <c r="AA64" s="5" t="s">
        <v>46</v>
      </c>
      <c r="AB64" s="5" t="s">
        <v>180</v>
      </c>
      <c r="AC64" s="5" t="s">
        <v>181</v>
      </c>
      <c r="AD64" s="5" t="str">
        <f>_xlfn.CONCAT(Table58911[[#This Row],[&lt;&lt;NOLA&gt;&gt;
NIEM Element]],Table58911[[#This Row],[Repeat Values per attribute]])</f>
        <v>nc:AddressDeliveryPointIDe</v>
      </c>
    </row>
    <row r="65" spans="1:30" ht="30" customHeight="1" x14ac:dyDescent="0.3">
      <c r="A65" s="5">
        <f t="shared" si="0"/>
        <v>64</v>
      </c>
      <c r="B65" s="5">
        <f t="shared" si="5"/>
        <v>1</v>
      </c>
      <c r="C65" s="5">
        <f t="shared" si="5"/>
        <v>8</v>
      </c>
      <c r="D65" s="5">
        <f t="shared" si="2"/>
        <v>23</v>
      </c>
      <c r="E65" s="5" t="s">
        <v>49</v>
      </c>
      <c r="F65" s="5" t="s">
        <v>8</v>
      </c>
      <c r="G65" s="5">
        <v>397</v>
      </c>
      <c r="H65" s="6" t="s">
        <v>33</v>
      </c>
      <c r="I65" s="7" t="s">
        <v>152</v>
      </c>
      <c r="J65" s="5" t="s">
        <v>153</v>
      </c>
      <c r="K65" s="5" t="s">
        <v>154</v>
      </c>
      <c r="L65" s="5" t="s">
        <v>36</v>
      </c>
      <c r="M65" s="8" t="s">
        <v>87</v>
      </c>
      <c r="N65" s="5" t="s">
        <v>152</v>
      </c>
      <c r="O65" s="5" t="s">
        <v>178</v>
      </c>
      <c r="P65" s="1" t="s">
        <v>179</v>
      </c>
      <c r="Q65" s="1" t="s">
        <v>157</v>
      </c>
      <c r="R65" s="5" t="s">
        <v>158</v>
      </c>
      <c r="S65" s="5" t="s">
        <v>159</v>
      </c>
      <c r="U65" s="5" t="s">
        <v>160</v>
      </c>
      <c r="X65" s="9" t="s">
        <v>164</v>
      </c>
      <c r="Y65" s="5" t="s">
        <v>178</v>
      </c>
      <c r="Z65" s="5" t="s">
        <v>45</v>
      </c>
      <c r="AA65" s="5" t="s">
        <v>46</v>
      </c>
      <c r="AB65" s="5" t="s">
        <v>180</v>
      </c>
      <c r="AC65" s="5" t="s">
        <v>181</v>
      </c>
      <c r="AD65" s="5" t="str">
        <f>_xlfn.CONCAT(Table58911[[#This Row],[&lt;&lt;NOLA&gt;&gt;
NIEM Element]],Table58911[[#This Row],[Repeat Values per attribute]])</f>
        <v>nc:AddressDeliveryPointIDe</v>
      </c>
    </row>
    <row r="66" spans="1:30" ht="30" customHeight="1" x14ac:dyDescent="0.3">
      <c r="A66" s="5">
        <f t="shared" ref="A66:A129" si="6">ROW(A65)</f>
        <v>65</v>
      </c>
      <c r="B66" s="5">
        <f t="shared" ref="B66:C81" si="7">IF(H65=H66,B65,B65+1)</f>
        <v>1</v>
      </c>
      <c r="C66" s="5">
        <f t="shared" si="7"/>
        <v>8</v>
      </c>
      <c r="D66" s="5">
        <f t="shared" ref="D66:D129" si="8">IF(AD65=AD66,D65,D65+1)</f>
        <v>23</v>
      </c>
      <c r="E66" s="5" t="s">
        <v>49</v>
      </c>
      <c r="F66" s="5" t="s">
        <v>8</v>
      </c>
      <c r="G66" s="5">
        <v>397</v>
      </c>
      <c r="H66" s="6" t="s">
        <v>33</v>
      </c>
      <c r="I66" s="7" t="s">
        <v>152</v>
      </c>
      <c r="J66" s="5" t="s">
        <v>153</v>
      </c>
      <c r="K66" s="5" t="s">
        <v>154</v>
      </c>
      <c r="L66" s="5" t="s">
        <v>36</v>
      </c>
      <c r="M66" s="8" t="s">
        <v>87</v>
      </c>
      <c r="N66" s="5" t="s">
        <v>152</v>
      </c>
      <c r="O66" s="5" t="s">
        <v>178</v>
      </c>
      <c r="P66" s="1" t="s">
        <v>179</v>
      </c>
      <c r="Q66" s="1" t="s">
        <v>157</v>
      </c>
      <c r="R66" s="5" t="s">
        <v>158</v>
      </c>
      <c r="S66" s="5" t="s">
        <v>159</v>
      </c>
      <c r="U66" s="5" t="s">
        <v>160</v>
      </c>
      <c r="X66" s="9" t="s">
        <v>165</v>
      </c>
      <c r="Y66" s="5" t="s">
        <v>178</v>
      </c>
      <c r="Z66" s="5" t="s">
        <v>45</v>
      </c>
      <c r="AA66" s="5" t="s">
        <v>46</v>
      </c>
      <c r="AB66" s="5" t="s">
        <v>180</v>
      </c>
      <c r="AC66" s="5" t="s">
        <v>181</v>
      </c>
      <c r="AD66" s="5" t="str">
        <f>_xlfn.CONCAT(Table58911[[#This Row],[&lt;&lt;NOLA&gt;&gt;
NIEM Element]],Table58911[[#This Row],[Repeat Values per attribute]])</f>
        <v>nc:AddressDeliveryPointIDe</v>
      </c>
    </row>
    <row r="67" spans="1:30" ht="30" customHeight="1" x14ac:dyDescent="0.3">
      <c r="A67" s="5">
        <f t="shared" si="6"/>
        <v>66</v>
      </c>
      <c r="B67" s="5">
        <f t="shared" si="7"/>
        <v>1</v>
      </c>
      <c r="C67" s="5">
        <f t="shared" si="7"/>
        <v>8</v>
      </c>
      <c r="D67" s="5">
        <f t="shared" si="8"/>
        <v>24</v>
      </c>
      <c r="E67" s="5" t="s">
        <v>32</v>
      </c>
      <c r="F67" s="5" t="s">
        <v>8</v>
      </c>
      <c r="G67" s="5">
        <v>397</v>
      </c>
      <c r="H67" s="6" t="s">
        <v>33</v>
      </c>
      <c r="I67" s="7" t="s">
        <v>152</v>
      </c>
      <c r="J67" s="5" t="s">
        <v>153</v>
      </c>
      <c r="K67" s="5" t="s">
        <v>154</v>
      </c>
      <c r="L67" s="5" t="s">
        <v>36</v>
      </c>
      <c r="M67" s="8" t="s">
        <v>182</v>
      </c>
      <c r="N67" s="5" t="s">
        <v>152</v>
      </c>
      <c r="O67" s="5" t="s">
        <v>183</v>
      </c>
      <c r="P67" s="1" t="s">
        <v>184</v>
      </c>
      <c r="Q67" s="1" t="s">
        <v>157</v>
      </c>
      <c r="R67" s="5" t="s">
        <v>158</v>
      </c>
      <c r="S67" s="5" t="s">
        <v>159</v>
      </c>
      <c r="U67" s="5" t="s">
        <v>160</v>
      </c>
      <c r="X67" s="9" t="s">
        <v>161</v>
      </c>
      <c r="Y67" s="5" t="s">
        <v>183</v>
      </c>
      <c r="Z67" s="5" t="s">
        <v>45</v>
      </c>
      <c r="AA67" s="5" t="s">
        <v>90</v>
      </c>
      <c r="AB67" s="5" t="s">
        <v>162</v>
      </c>
      <c r="AC67" s="5" t="s">
        <v>185</v>
      </c>
      <c r="AD67" s="5" t="str">
        <f>_xlfn.CONCAT(Table58911[[#This Row],[&lt;&lt;NOLA&gt;&gt;
NIEM Element]],Table58911[[#This Row],[Repeat Values per attribute]])</f>
        <v>nc:AddressDeliveryPointIDg</v>
      </c>
    </row>
    <row r="68" spans="1:30" ht="30" customHeight="1" x14ac:dyDescent="0.3">
      <c r="A68" s="5">
        <f t="shared" si="6"/>
        <v>67</v>
      </c>
      <c r="B68" s="5">
        <f t="shared" si="7"/>
        <v>1</v>
      </c>
      <c r="C68" s="5">
        <f t="shared" si="7"/>
        <v>8</v>
      </c>
      <c r="D68" s="5">
        <f t="shared" si="8"/>
        <v>24</v>
      </c>
      <c r="E68" s="5" t="s">
        <v>49</v>
      </c>
      <c r="F68" s="5" t="s">
        <v>8</v>
      </c>
      <c r="G68" s="5">
        <v>397</v>
      </c>
      <c r="H68" s="6" t="s">
        <v>33</v>
      </c>
      <c r="I68" s="7" t="s">
        <v>152</v>
      </c>
      <c r="J68" s="5" t="s">
        <v>153</v>
      </c>
      <c r="K68" s="5" t="s">
        <v>154</v>
      </c>
      <c r="L68" s="5" t="s">
        <v>36</v>
      </c>
      <c r="M68" s="8" t="s">
        <v>182</v>
      </c>
      <c r="N68" s="5" t="s">
        <v>152</v>
      </c>
      <c r="O68" s="5" t="s">
        <v>183</v>
      </c>
      <c r="P68" s="1" t="s">
        <v>184</v>
      </c>
      <c r="Q68" s="1" t="s">
        <v>157</v>
      </c>
      <c r="R68" s="5" t="s">
        <v>158</v>
      </c>
      <c r="S68" s="5" t="s">
        <v>159</v>
      </c>
      <c r="U68" s="5" t="s">
        <v>160</v>
      </c>
      <c r="X68" s="9" t="s">
        <v>164</v>
      </c>
      <c r="Y68" s="5" t="s">
        <v>183</v>
      </c>
      <c r="Z68" s="5" t="s">
        <v>45</v>
      </c>
      <c r="AA68" s="5" t="s">
        <v>90</v>
      </c>
      <c r="AB68" s="5" t="s">
        <v>162</v>
      </c>
      <c r="AC68" s="5" t="s">
        <v>185</v>
      </c>
      <c r="AD68" s="5" t="str">
        <f>_xlfn.CONCAT(Table58911[[#This Row],[&lt;&lt;NOLA&gt;&gt;
NIEM Element]],Table58911[[#This Row],[Repeat Values per attribute]])</f>
        <v>nc:AddressDeliveryPointIDg</v>
      </c>
    </row>
    <row r="69" spans="1:30" ht="30" customHeight="1" x14ac:dyDescent="0.3">
      <c r="A69" s="5">
        <f t="shared" si="6"/>
        <v>68</v>
      </c>
      <c r="B69" s="5">
        <f t="shared" si="7"/>
        <v>1</v>
      </c>
      <c r="C69" s="5">
        <f t="shared" si="7"/>
        <v>8</v>
      </c>
      <c r="D69" s="5">
        <f t="shared" si="8"/>
        <v>24</v>
      </c>
      <c r="E69" s="5" t="s">
        <v>49</v>
      </c>
      <c r="F69" s="5" t="s">
        <v>8</v>
      </c>
      <c r="G69" s="5">
        <v>397</v>
      </c>
      <c r="H69" s="6" t="s">
        <v>33</v>
      </c>
      <c r="I69" s="7" t="s">
        <v>152</v>
      </c>
      <c r="J69" s="5" t="s">
        <v>153</v>
      </c>
      <c r="K69" s="5" t="s">
        <v>154</v>
      </c>
      <c r="L69" s="5" t="s">
        <v>36</v>
      </c>
      <c r="M69" s="8" t="s">
        <v>182</v>
      </c>
      <c r="N69" s="5" t="s">
        <v>152</v>
      </c>
      <c r="O69" s="5" t="s">
        <v>183</v>
      </c>
      <c r="P69" s="1" t="s">
        <v>184</v>
      </c>
      <c r="Q69" s="1" t="s">
        <v>157</v>
      </c>
      <c r="R69" s="5" t="s">
        <v>158</v>
      </c>
      <c r="S69" s="5" t="s">
        <v>159</v>
      </c>
      <c r="U69" s="5" t="s">
        <v>160</v>
      </c>
      <c r="X69" s="9" t="s">
        <v>165</v>
      </c>
      <c r="Y69" s="5" t="s">
        <v>183</v>
      </c>
      <c r="Z69" s="5" t="s">
        <v>45</v>
      </c>
      <c r="AA69" s="5" t="s">
        <v>90</v>
      </c>
      <c r="AB69" s="5" t="s">
        <v>162</v>
      </c>
      <c r="AC69" s="5" t="s">
        <v>185</v>
      </c>
      <c r="AD69" s="5" t="str">
        <f>_xlfn.CONCAT(Table58911[[#This Row],[&lt;&lt;NOLA&gt;&gt;
NIEM Element]],Table58911[[#This Row],[Repeat Values per attribute]])</f>
        <v>nc:AddressDeliveryPointIDg</v>
      </c>
    </row>
    <row r="70" spans="1:30" ht="30" customHeight="1" x14ac:dyDescent="0.3">
      <c r="A70" s="5">
        <f t="shared" si="6"/>
        <v>69</v>
      </c>
      <c r="B70" s="5">
        <f t="shared" si="7"/>
        <v>1</v>
      </c>
      <c r="C70" s="5">
        <f t="shared" si="7"/>
        <v>9</v>
      </c>
      <c r="D70" s="5">
        <f t="shared" si="8"/>
        <v>25</v>
      </c>
      <c r="E70" s="5" t="s">
        <v>49</v>
      </c>
      <c r="F70" s="5" t="s">
        <v>8</v>
      </c>
      <c r="G70" s="5">
        <v>399</v>
      </c>
      <c r="H70" s="6" t="s">
        <v>33</v>
      </c>
      <c r="I70" s="7" t="s">
        <v>186</v>
      </c>
      <c r="J70" s="5" t="s">
        <v>153</v>
      </c>
      <c r="K70" s="5" t="s">
        <v>94</v>
      </c>
      <c r="L70" s="5" t="s">
        <v>36</v>
      </c>
      <c r="M70" s="8" t="s">
        <v>37</v>
      </c>
      <c r="N70" s="5" t="s">
        <v>186</v>
      </c>
      <c r="O70" s="5" t="s">
        <v>187</v>
      </c>
      <c r="P70" s="5" t="s">
        <v>188</v>
      </c>
      <c r="Q70" s="1" t="s">
        <v>189</v>
      </c>
      <c r="R70" s="5" t="s">
        <v>190</v>
      </c>
      <c r="S70" s="5" t="s">
        <v>191</v>
      </c>
      <c r="U70" s="5" t="s">
        <v>192</v>
      </c>
      <c r="W70" s="5" t="s">
        <v>191</v>
      </c>
      <c r="X70" s="9" t="s">
        <v>193</v>
      </c>
      <c r="Y70" s="5" t="s">
        <v>187</v>
      </c>
      <c r="Z70" s="5" t="s">
        <v>45</v>
      </c>
      <c r="AA70" s="5" t="s">
        <v>46</v>
      </c>
      <c r="AB70" s="5" t="s">
        <v>194</v>
      </c>
      <c r="AC70" s="5" t="s">
        <v>195</v>
      </c>
      <c r="AD70" s="5" t="str">
        <f>_xlfn.CONCAT(Table58911[[#This Row],[&lt;&lt;NOLA&gt;&gt;
NIEM Element]],Table58911[[#This Row],[Repeat Values per attribute]])</f>
        <v>ncic:StateUSCodea</v>
      </c>
    </row>
    <row r="71" spans="1:30" ht="30" customHeight="1" x14ac:dyDescent="0.3">
      <c r="A71" s="5">
        <f t="shared" si="6"/>
        <v>70</v>
      </c>
      <c r="B71" s="5">
        <f t="shared" si="7"/>
        <v>1</v>
      </c>
      <c r="C71" s="5">
        <f t="shared" si="7"/>
        <v>9</v>
      </c>
      <c r="D71" s="5">
        <f t="shared" si="8"/>
        <v>25</v>
      </c>
      <c r="E71" s="5" t="s">
        <v>49</v>
      </c>
      <c r="F71" s="5" t="s">
        <v>8</v>
      </c>
      <c r="G71" s="5">
        <v>399</v>
      </c>
      <c r="H71" s="6" t="s">
        <v>33</v>
      </c>
      <c r="I71" s="7" t="s">
        <v>186</v>
      </c>
      <c r="J71" s="5" t="s">
        <v>153</v>
      </c>
      <c r="K71" s="5" t="s">
        <v>94</v>
      </c>
      <c r="L71" s="5" t="s">
        <v>36</v>
      </c>
      <c r="M71" s="8" t="s">
        <v>37</v>
      </c>
      <c r="N71" s="5" t="s">
        <v>186</v>
      </c>
      <c r="O71" s="5" t="s">
        <v>187</v>
      </c>
      <c r="P71" s="5" t="s">
        <v>188</v>
      </c>
      <c r="Q71" s="1" t="s">
        <v>189</v>
      </c>
      <c r="R71" s="5" t="s">
        <v>190</v>
      </c>
      <c r="S71" s="5" t="s">
        <v>191</v>
      </c>
      <c r="U71" s="5" t="s">
        <v>192</v>
      </c>
      <c r="W71" s="5" t="s">
        <v>191</v>
      </c>
      <c r="X71" s="9" t="s">
        <v>196</v>
      </c>
      <c r="Y71" s="5" t="s">
        <v>187</v>
      </c>
      <c r="Z71" s="5" t="s">
        <v>45</v>
      </c>
      <c r="AA71" s="5" t="s">
        <v>46</v>
      </c>
      <c r="AB71" s="5" t="s">
        <v>194</v>
      </c>
      <c r="AC71" s="5" t="s">
        <v>195</v>
      </c>
      <c r="AD71" s="5" t="str">
        <f>_xlfn.CONCAT(Table58911[[#This Row],[&lt;&lt;NOLA&gt;&gt;
NIEM Element]],Table58911[[#This Row],[Repeat Values per attribute]])</f>
        <v>ncic:StateUSCodea</v>
      </c>
    </row>
    <row r="72" spans="1:30" ht="30" customHeight="1" x14ac:dyDescent="0.3">
      <c r="A72" s="5">
        <f t="shared" si="6"/>
        <v>71</v>
      </c>
      <c r="B72" s="5">
        <f t="shared" si="7"/>
        <v>1</v>
      </c>
      <c r="C72" s="5">
        <f t="shared" si="7"/>
        <v>9</v>
      </c>
      <c r="D72" s="5">
        <f t="shared" si="8"/>
        <v>25</v>
      </c>
      <c r="E72" s="5" t="s">
        <v>49</v>
      </c>
      <c r="F72" s="5" t="s">
        <v>8</v>
      </c>
      <c r="G72" s="5">
        <v>399</v>
      </c>
      <c r="H72" s="6" t="s">
        <v>33</v>
      </c>
      <c r="I72" s="7" t="s">
        <v>186</v>
      </c>
      <c r="J72" s="5" t="s">
        <v>153</v>
      </c>
      <c r="K72" s="5" t="s">
        <v>94</v>
      </c>
      <c r="L72" s="5" t="s">
        <v>36</v>
      </c>
      <c r="M72" s="8" t="s">
        <v>37</v>
      </c>
      <c r="N72" s="5" t="s">
        <v>186</v>
      </c>
      <c r="O72" s="5" t="s">
        <v>187</v>
      </c>
      <c r="P72" s="5" t="s">
        <v>188</v>
      </c>
      <c r="Q72" s="1" t="s">
        <v>189</v>
      </c>
      <c r="R72" s="5" t="s">
        <v>190</v>
      </c>
      <c r="S72" s="5" t="s">
        <v>191</v>
      </c>
      <c r="U72" s="5" t="s">
        <v>192</v>
      </c>
      <c r="W72" s="5" t="s">
        <v>191</v>
      </c>
      <c r="X72" s="9" t="s">
        <v>197</v>
      </c>
      <c r="Y72" s="5" t="s">
        <v>187</v>
      </c>
      <c r="Z72" s="5" t="s">
        <v>45</v>
      </c>
      <c r="AA72" s="5" t="s">
        <v>46</v>
      </c>
      <c r="AB72" s="5" t="s">
        <v>194</v>
      </c>
      <c r="AC72" s="5" t="s">
        <v>195</v>
      </c>
      <c r="AD72" s="5" t="str">
        <f>_xlfn.CONCAT(Table58911[[#This Row],[&lt;&lt;NOLA&gt;&gt;
NIEM Element]],Table58911[[#This Row],[Repeat Values per attribute]])</f>
        <v>ncic:StateUSCodea</v>
      </c>
    </row>
    <row r="73" spans="1:30" ht="30" customHeight="1" x14ac:dyDescent="0.3">
      <c r="A73" s="5">
        <f t="shared" si="6"/>
        <v>72</v>
      </c>
      <c r="B73" s="5">
        <f t="shared" si="7"/>
        <v>1</v>
      </c>
      <c r="C73" s="5">
        <f t="shared" si="7"/>
        <v>9</v>
      </c>
      <c r="D73" s="5">
        <f t="shared" si="8"/>
        <v>25</v>
      </c>
      <c r="E73" s="5" t="s">
        <v>49</v>
      </c>
      <c r="F73" s="5" t="s">
        <v>8</v>
      </c>
      <c r="G73" s="5">
        <v>399</v>
      </c>
      <c r="H73" s="6" t="s">
        <v>33</v>
      </c>
      <c r="I73" s="7" t="s">
        <v>186</v>
      </c>
      <c r="J73" s="5" t="s">
        <v>153</v>
      </c>
      <c r="K73" s="5" t="s">
        <v>94</v>
      </c>
      <c r="L73" s="5" t="s">
        <v>36</v>
      </c>
      <c r="M73" s="8" t="s">
        <v>37</v>
      </c>
      <c r="N73" s="5" t="s">
        <v>186</v>
      </c>
      <c r="O73" s="5" t="s">
        <v>187</v>
      </c>
      <c r="P73" s="5" t="s">
        <v>188</v>
      </c>
      <c r="Q73" s="1" t="s">
        <v>189</v>
      </c>
      <c r="R73" s="5" t="s">
        <v>190</v>
      </c>
      <c r="S73" s="5" t="s">
        <v>191</v>
      </c>
      <c r="U73" s="5" t="s">
        <v>192</v>
      </c>
      <c r="W73" s="5" t="s">
        <v>191</v>
      </c>
      <c r="X73" s="9" t="s">
        <v>198</v>
      </c>
      <c r="Y73" s="5" t="s">
        <v>187</v>
      </c>
      <c r="Z73" s="5" t="s">
        <v>45</v>
      </c>
      <c r="AA73" s="5" t="s">
        <v>46</v>
      </c>
      <c r="AB73" s="5" t="s">
        <v>194</v>
      </c>
      <c r="AC73" s="5" t="s">
        <v>195</v>
      </c>
      <c r="AD73" s="5" t="str">
        <f>_xlfn.CONCAT(Table58911[[#This Row],[&lt;&lt;NOLA&gt;&gt;
NIEM Element]],Table58911[[#This Row],[Repeat Values per attribute]])</f>
        <v>ncic:StateUSCodea</v>
      </c>
    </row>
    <row r="74" spans="1:30" ht="30" customHeight="1" x14ac:dyDescent="0.3">
      <c r="A74" s="5">
        <f t="shared" si="6"/>
        <v>73</v>
      </c>
      <c r="B74" s="5">
        <f t="shared" si="7"/>
        <v>1</v>
      </c>
      <c r="C74" s="5">
        <f t="shared" si="7"/>
        <v>9</v>
      </c>
      <c r="D74" s="5">
        <f t="shared" si="8"/>
        <v>26</v>
      </c>
      <c r="E74" s="5" t="s">
        <v>49</v>
      </c>
      <c r="F74" s="5" t="s">
        <v>8</v>
      </c>
      <c r="G74" s="5">
        <v>399</v>
      </c>
      <c r="H74" s="6" t="s">
        <v>33</v>
      </c>
      <c r="I74" s="7" t="s">
        <v>186</v>
      </c>
      <c r="J74" s="5" t="s">
        <v>153</v>
      </c>
      <c r="K74" s="5" t="s">
        <v>94</v>
      </c>
      <c r="L74" s="5" t="s">
        <v>36</v>
      </c>
      <c r="M74" s="8" t="s">
        <v>52</v>
      </c>
      <c r="N74" s="5" t="s">
        <v>186</v>
      </c>
      <c r="O74" s="5" t="s">
        <v>199</v>
      </c>
      <c r="P74" s="1" t="s">
        <v>200</v>
      </c>
      <c r="Q74" s="1" t="s">
        <v>189</v>
      </c>
      <c r="R74" s="5" t="s">
        <v>190</v>
      </c>
      <c r="S74" s="5" t="s">
        <v>191</v>
      </c>
      <c r="U74" s="5" t="s">
        <v>192</v>
      </c>
      <c r="W74" s="5" t="s">
        <v>191</v>
      </c>
      <c r="X74" s="9" t="s">
        <v>193</v>
      </c>
      <c r="Y74" s="5" t="s">
        <v>199</v>
      </c>
      <c r="Z74" s="5" t="s">
        <v>45</v>
      </c>
      <c r="AA74" s="5" t="s">
        <v>46</v>
      </c>
      <c r="AB74" s="5" t="s">
        <v>201</v>
      </c>
      <c r="AC74" s="5" t="s">
        <v>202</v>
      </c>
      <c r="AD74" s="5" t="str">
        <f>_xlfn.CONCAT(Table58911[[#This Row],[&lt;&lt;NOLA&gt;&gt;
NIEM Element]],Table58911[[#This Row],[Repeat Values per attribute]])</f>
        <v>ncic:StateUSCodeb</v>
      </c>
    </row>
    <row r="75" spans="1:30" ht="30" customHeight="1" x14ac:dyDescent="0.3">
      <c r="A75" s="5">
        <f t="shared" si="6"/>
        <v>74</v>
      </c>
      <c r="B75" s="5">
        <f t="shared" si="7"/>
        <v>1</v>
      </c>
      <c r="C75" s="5">
        <f t="shared" si="7"/>
        <v>9</v>
      </c>
      <c r="D75" s="5">
        <f t="shared" si="8"/>
        <v>26</v>
      </c>
      <c r="E75" s="5" t="s">
        <v>49</v>
      </c>
      <c r="F75" s="5" t="s">
        <v>8</v>
      </c>
      <c r="G75" s="5">
        <v>399</v>
      </c>
      <c r="H75" s="6" t="s">
        <v>33</v>
      </c>
      <c r="I75" s="7" t="s">
        <v>186</v>
      </c>
      <c r="J75" s="5" t="s">
        <v>153</v>
      </c>
      <c r="K75" s="5" t="s">
        <v>94</v>
      </c>
      <c r="L75" s="5" t="s">
        <v>36</v>
      </c>
      <c r="M75" s="8" t="s">
        <v>52</v>
      </c>
      <c r="N75" s="5" t="s">
        <v>186</v>
      </c>
      <c r="O75" s="5" t="s">
        <v>199</v>
      </c>
      <c r="P75" s="1" t="s">
        <v>200</v>
      </c>
      <c r="Q75" s="1" t="s">
        <v>189</v>
      </c>
      <c r="R75" s="5" t="s">
        <v>190</v>
      </c>
      <c r="S75" s="5" t="s">
        <v>191</v>
      </c>
      <c r="U75" s="5" t="s">
        <v>192</v>
      </c>
      <c r="W75" s="5" t="s">
        <v>191</v>
      </c>
      <c r="X75" s="9" t="s">
        <v>196</v>
      </c>
      <c r="Y75" s="5" t="s">
        <v>199</v>
      </c>
      <c r="Z75" s="5" t="s">
        <v>45</v>
      </c>
      <c r="AA75" s="5" t="s">
        <v>46</v>
      </c>
      <c r="AB75" s="5" t="s">
        <v>201</v>
      </c>
      <c r="AC75" s="5" t="s">
        <v>202</v>
      </c>
      <c r="AD75" s="5" t="str">
        <f>_xlfn.CONCAT(Table58911[[#This Row],[&lt;&lt;NOLA&gt;&gt;
NIEM Element]],Table58911[[#This Row],[Repeat Values per attribute]])</f>
        <v>ncic:StateUSCodeb</v>
      </c>
    </row>
    <row r="76" spans="1:30" ht="30" customHeight="1" x14ac:dyDescent="0.3">
      <c r="A76" s="5">
        <f t="shared" si="6"/>
        <v>75</v>
      </c>
      <c r="B76" s="5">
        <f t="shared" si="7"/>
        <v>1</v>
      </c>
      <c r="C76" s="5">
        <f t="shared" si="7"/>
        <v>9</v>
      </c>
      <c r="D76" s="5">
        <f t="shared" si="8"/>
        <v>26</v>
      </c>
      <c r="E76" s="5" t="s">
        <v>49</v>
      </c>
      <c r="F76" s="5" t="s">
        <v>8</v>
      </c>
      <c r="G76" s="5">
        <v>399</v>
      </c>
      <c r="H76" s="6" t="s">
        <v>33</v>
      </c>
      <c r="I76" s="7" t="s">
        <v>186</v>
      </c>
      <c r="J76" s="5" t="s">
        <v>153</v>
      </c>
      <c r="K76" s="5" t="s">
        <v>94</v>
      </c>
      <c r="L76" s="5" t="s">
        <v>36</v>
      </c>
      <c r="M76" s="8" t="s">
        <v>52</v>
      </c>
      <c r="N76" s="5" t="s">
        <v>186</v>
      </c>
      <c r="O76" s="5" t="s">
        <v>199</v>
      </c>
      <c r="P76" s="1" t="s">
        <v>200</v>
      </c>
      <c r="Q76" s="1" t="s">
        <v>189</v>
      </c>
      <c r="R76" s="5" t="s">
        <v>190</v>
      </c>
      <c r="S76" s="5" t="s">
        <v>191</v>
      </c>
      <c r="U76" s="5" t="s">
        <v>192</v>
      </c>
      <c r="W76" s="5" t="s">
        <v>191</v>
      </c>
      <c r="X76" s="9" t="s">
        <v>197</v>
      </c>
      <c r="Y76" s="5" t="s">
        <v>199</v>
      </c>
      <c r="Z76" s="5" t="s">
        <v>45</v>
      </c>
      <c r="AA76" s="5" t="s">
        <v>46</v>
      </c>
      <c r="AB76" s="5" t="s">
        <v>201</v>
      </c>
      <c r="AC76" s="5" t="s">
        <v>202</v>
      </c>
      <c r="AD76" s="5" t="str">
        <f>_xlfn.CONCAT(Table58911[[#This Row],[&lt;&lt;NOLA&gt;&gt;
NIEM Element]],Table58911[[#This Row],[Repeat Values per attribute]])</f>
        <v>ncic:StateUSCodeb</v>
      </c>
    </row>
    <row r="77" spans="1:30" ht="30" customHeight="1" x14ac:dyDescent="0.3">
      <c r="A77" s="5">
        <f t="shared" si="6"/>
        <v>76</v>
      </c>
      <c r="B77" s="5">
        <f t="shared" si="7"/>
        <v>1</v>
      </c>
      <c r="C77" s="5">
        <f t="shared" si="7"/>
        <v>9</v>
      </c>
      <c r="D77" s="5">
        <f t="shared" si="8"/>
        <v>26</v>
      </c>
      <c r="E77" s="5" t="s">
        <v>49</v>
      </c>
      <c r="F77" s="5" t="s">
        <v>8</v>
      </c>
      <c r="G77" s="5">
        <v>399</v>
      </c>
      <c r="H77" s="6" t="s">
        <v>33</v>
      </c>
      <c r="I77" s="7" t="s">
        <v>186</v>
      </c>
      <c r="J77" s="5" t="s">
        <v>153</v>
      </c>
      <c r="K77" s="5" t="s">
        <v>94</v>
      </c>
      <c r="L77" s="5" t="s">
        <v>36</v>
      </c>
      <c r="M77" s="8" t="s">
        <v>52</v>
      </c>
      <c r="N77" s="5" t="s">
        <v>186</v>
      </c>
      <c r="O77" s="5" t="s">
        <v>199</v>
      </c>
      <c r="P77" s="1" t="s">
        <v>200</v>
      </c>
      <c r="Q77" s="1" t="s">
        <v>189</v>
      </c>
      <c r="R77" s="5" t="s">
        <v>190</v>
      </c>
      <c r="S77" s="5" t="s">
        <v>191</v>
      </c>
      <c r="U77" s="5" t="s">
        <v>192</v>
      </c>
      <c r="W77" s="5" t="s">
        <v>191</v>
      </c>
      <c r="X77" s="9" t="s">
        <v>198</v>
      </c>
      <c r="Y77" s="5" t="s">
        <v>199</v>
      </c>
      <c r="Z77" s="5" t="s">
        <v>45</v>
      </c>
      <c r="AA77" s="5" t="s">
        <v>46</v>
      </c>
      <c r="AB77" s="5" t="s">
        <v>201</v>
      </c>
      <c r="AC77" s="5" t="s">
        <v>202</v>
      </c>
      <c r="AD77" s="5" t="str">
        <f>_xlfn.CONCAT(Table58911[[#This Row],[&lt;&lt;NOLA&gt;&gt;
NIEM Element]],Table58911[[#This Row],[Repeat Values per attribute]])</f>
        <v>ncic:StateUSCodeb</v>
      </c>
    </row>
    <row r="78" spans="1:30" ht="30" customHeight="1" x14ac:dyDescent="0.3">
      <c r="A78" s="5">
        <f t="shared" si="6"/>
        <v>77</v>
      </c>
      <c r="B78" s="5">
        <f t="shared" si="7"/>
        <v>1</v>
      </c>
      <c r="C78" s="5">
        <f t="shared" si="7"/>
        <v>9</v>
      </c>
      <c r="D78" s="5">
        <f t="shared" si="8"/>
        <v>27</v>
      </c>
      <c r="E78" s="5" t="s">
        <v>32</v>
      </c>
      <c r="F78" s="5" t="s">
        <v>8</v>
      </c>
      <c r="G78" s="5">
        <v>399</v>
      </c>
      <c r="H78" s="6" t="s">
        <v>33</v>
      </c>
      <c r="I78" s="7" t="s">
        <v>186</v>
      </c>
      <c r="J78" s="5" t="s">
        <v>153</v>
      </c>
      <c r="K78" s="5" t="s">
        <v>94</v>
      </c>
      <c r="L78" s="5" t="s">
        <v>36</v>
      </c>
      <c r="M78" s="8" t="s">
        <v>49</v>
      </c>
      <c r="N78" s="5" t="s">
        <v>186</v>
      </c>
      <c r="O78" s="5" t="s">
        <v>203</v>
      </c>
      <c r="P78" s="1" t="s">
        <v>204</v>
      </c>
      <c r="Q78" s="1" t="s">
        <v>189</v>
      </c>
      <c r="R78" s="5" t="s">
        <v>190</v>
      </c>
      <c r="S78" s="5" t="s">
        <v>191</v>
      </c>
      <c r="U78" s="5" t="s">
        <v>192</v>
      </c>
      <c r="W78" s="5" t="s">
        <v>191</v>
      </c>
      <c r="X78" s="9" t="s">
        <v>193</v>
      </c>
      <c r="Y78" s="5" t="s">
        <v>203</v>
      </c>
      <c r="Z78" s="5" t="s">
        <v>45</v>
      </c>
      <c r="AA78" s="5" t="s">
        <v>90</v>
      </c>
      <c r="AB78" s="5" t="s">
        <v>205</v>
      </c>
      <c r="AC78" s="5" t="s">
        <v>206</v>
      </c>
      <c r="AD78" s="5" t="str">
        <f>_xlfn.CONCAT(Table58911[[#This Row],[&lt;&lt;NOLA&gt;&gt;
NIEM Element]],Table58911[[#This Row],[Repeat Values per attribute]])</f>
        <v>ncic:StateUSCoded</v>
      </c>
    </row>
    <row r="79" spans="1:30" ht="30" customHeight="1" x14ac:dyDescent="0.3">
      <c r="A79" s="5">
        <f t="shared" si="6"/>
        <v>78</v>
      </c>
      <c r="B79" s="5">
        <f t="shared" si="7"/>
        <v>1</v>
      </c>
      <c r="C79" s="5">
        <f t="shared" si="7"/>
        <v>9</v>
      </c>
      <c r="D79" s="5">
        <f t="shared" si="8"/>
        <v>27</v>
      </c>
      <c r="E79" s="5" t="s">
        <v>49</v>
      </c>
      <c r="F79" s="5" t="s">
        <v>8</v>
      </c>
      <c r="G79" s="5">
        <v>399</v>
      </c>
      <c r="H79" s="6" t="s">
        <v>33</v>
      </c>
      <c r="I79" s="7" t="s">
        <v>186</v>
      </c>
      <c r="J79" s="5" t="s">
        <v>153</v>
      </c>
      <c r="K79" s="5" t="s">
        <v>94</v>
      </c>
      <c r="L79" s="5" t="s">
        <v>36</v>
      </c>
      <c r="M79" s="8" t="s">
        <v>49</v>
      </c>
      <c r="N79" s="5" t="s">
        <v>186</v>
      </c>
      <c r="O79" s="5" t="s">
        <v>203</v>
      </c>
      <c r="P79" s="1" t="s">
        <v>204</v>
      </c>
      <c r="Q79" s="1" t="s">
        <v>189</v>
      </c>
      <c r="R79" s="5" t="s">
        <v>190</v>
      </c>
      <c r="S79" s="5" t="s">
        <v>191</v>
      </c>
      <c r="U79" s="5" t="s">
        <v>192</v>
      </c>
      <c r="W79" s="5" t="s">
        <v>191</v>
      </c>
      <c r="X79" s="9" t="s">
        <v>196</v>
      </c>
      <c r="Y79" s="5" t="s">
        <v>203</v>
      </c>
      <c r="Z79" s="5" t="s">
        <v>45</v>
      </c>
      <c r="AA79" s="5" t="s">
        <v>90</v>
      </c>
      <c r="AB79" s="5" t="s">
        <v>205</v>
      </c>
      <c r="AC79" s="5" t="s">
        <v>206</v>
      </c>
      <c r="AD79" s="5" t="str">
        <f>_xlfn.CONCAT(Table58911[[#This Row],[&lt;&lt;NOLA&gt;&gt;
NIEM Element]],Table58911[[#This Row],[Repeat Values per attribute]])</f>
        <v>ncic:StateUSCoded</v>
      </c>
    </row>
    <row r="80" spans="1:30" ht="30" customHeight="1" x14ac:dyDescent="0.3">
      <c r="A80" s="5">
        <f t="shared" si="6"/>
        <v>79</v>
      </c>
      <c r="B80" s="5">
        <f t="shared" si="7"/>
        <v>1</v>
      </c>
      <c r="C80" s="5">
        <f t="shared" si="7"/>
        <v>9</v>
      </c>
      <c r="D80" s="5">
        <f t="shared" si="8"/>
        <v>27</v>
      </c>
      <c r="E80" s="5" t="s">
        <v>49</v>
      </c>
      <c r="F80" s="5" t="s">
        <v>8</v>
      </c>
      <c r="G80" s="5">
        <v>399</v>
      </c>
      <c r="H80" s="6" t="s">
        <v>33</v>
      </c>
      <c r="I80" s="7" t="s">
        <v>186</v>
      </c>
      <c r="J80" s="5" t="s">
        <v>153</v>
      </c>
      <c r="K80" s="5" t="s">
        <v>94</v>
      </c>
      <c r="L80" s="5" t="s">
        <v>36</v>
      </c>
      <c r="M80" s="8" t="s">
        <v>49</v>
      </c>
      <c r="N80" s="5" t="s">
        <v>186</v>
      </c>
      <c r="O80" s="5" t="s">
        <v>203</v>
      </c>
      <c r="P80" s="1" t="s">
        <v>204</v>
      </c>
      <c r="Q80" s="1" t="s">
        <v>189</v>
      </c>
      <c r="R80" s="5" t="s">
        <v>190</v>
      </c>
      <c r="S80" s="5" t="s">
        <v>191</v>
      </c>
      <c r="U80" s="5" t="s">
        <v>192</v>
      </c>
      <c r="W80" s="5" t="s">
        <v>191</v>
      </c>
      <c r="X80" s="9" t="s">
        <v>197</v>
      </c>
      <c r="Y80" s="5" t="s">
        <v>203</v>
      </c>
      <c r="Z80" s="5" t="s">
        <v>45</v>
      </c>
      <c r="AA80" s="5" t="s">
        <v>90</v>
      </c>
      <c r="AB80" s="5" t="s">
        <v>205</v>
      </c>
      <c r="AC80" s="5" t="s">
        <v>206</v>
      </c>
      <c r="AD80" s="5" t="str">
        <f>_xlfn.CONCAT(Table58911[[#This Row],[&lt;&lt;NOLA&gt;&gt;
NIEM Element]],Table58911[[#This Row],[Repeat Values per attribute]])</f>
        <v>ncic:StateUSCoded</v>
      </c>
    </row>
    <row r="81" spans="1:30" ht="30" customHeight="1" x14ac:dyDescent="0.3">
      <c r="A81" s="5">
        <f t="shared" si="6"/>
        <v>80</v>
      </c>
      <c r="B81" s="5">
        <f t="shared" si="7"/>
        <v>1</v>
      </c>
      <c r="C81" s="5">
        <f t="shared" si="7"/>
        <v>9</v>
      </c>
      <c r="D81" s="5">
        <f t="shared" si="8"/>
        <v>27</v>
      </c>
      <c r="E81" s="5" t="s">
        <v>49</v>
      </c>
      <c r="F81" s="5" t="s">
        <v>8</v>
      </c>
      <c r="G81" s="5">
        <v>399</v>
      </c>
      <c r="H81" s="6" t="s">
        <v>33</v>
      </c>
      <c r="I81" s="7" t="s">
        <v>186</v>
      </c>
      <c r="J81" s="5" t="s">
        <v>153</v>
      </c>
      <c r="K81" s="5" t="s">
        <v>94</v>
      </c>
      <c r="L81" s="5" t="s">
        <v>36</v>
      </c>
      <c r="M81" s="8" t="s">
        <v>49</v>
      </c>
      <c r="N81" s="5" t="s">
        <v>186</v>
      </c>
      <c r="O81" s="5" t="s">
        <v>203</v>
      </c>
      <c r="P81" s="1" t="s">
        <v>204</v>
      </c>
      <c r="Q81" s="1" t="s">
        <v>189</v>
      </c>
      <c r="R81" s="5" t="s">
        <v>190</v>
      </c>
      <c r="S81" s="5" t="s">
        <v>191</v>
      </c>
      <c r="U81" s="5" t="s">
        <v>192</v>
      </c>
      <c r="W81" s="5" t="s">
        <v>191</v>
      </c>
      <c r="X81" s="9" t="s">
        <v>198</v>
      </c>
      <c r="Y81" s="5" t="s">
        <v>203</v>
      </c>
      <c r="Z81" s="5" t="s">
        <v>45</v>
      </c>
      <c r="AA81" s="5" t="s">
        <v>90</v>
      </c>
      <c r="AB81" s="5" t="s">
        <v>205</v>
      </c>
      <c r="AC81" s="5" t="s">
        <v>206</v>
      </c>
      <c r="AD81" s="5" t="str">
        <f>_xlfn.CONCAT(Table58911[[#This Row],[&lt;&lt;NOLA&gt;&gt;
NIEM Element]],Table58911[[#This Row],[Repeat Values per attribute]])</f>
        <v>ncic:StateUSCoded</v>
      </c>
    </row>
    <row r="82" spans="1:30" ht="30" customHeight="1" x14ac:dyDescent="0.3">
      <c r="A82" s="5">
        <f t="shared" si="6"/>
        <v>81</v>
      </c>
      <c r="B82" s="5">
        <f t="shared" ref="B82:C97" si="9">IF(H81=H82,B81,B81+1)</f>
        <v>1</v>
      </c>
      <c r="C82" s="5">
        <f t="shared" si="9"/>
        <v>10</v>
      </c>
      <c r="D82" s="5">
        <f t="shared" si="8"/>
        <v>28</v>
      </c>
      <c r="E82" s="5" t="s">
        <v>32</v>
      </c>
      <c r="F82" s="5" t="s">
        <v>8</v>
      </c>
      <c r="G82" s="5">
        <v>400</v>
      </c>
      <c r="H82" s="6" t="s">
        <v>33</v>
      </c>
      <c r="I82" s="7" t="s">
        <v>207</v>
      </c>
      <c r="J82" s="5" t="s">
        <v>34</v>
      </c>
      <c r="K82" s="5" t="s">
        <v>208</v>
      </c>
      <c r="L82" s="5" t="s">
        <v>36</v>
      </c>
      <c r="M82" s="8" t="s">
        <v>37</v>
      </c>
      <c r="N82" s="5" t="s">
        <v>207</v>
      </c>
      <c r="O82" s="5" t="s">
        <v>209</v>
      </c>
      <c r="P82" s="5" t="s">
        <v>210</v>
      </c>
      <c r="Q82" s="1" t="s">
        <v>211</v>
      </c>
      <c r="R82" s="5" t="s">
        <v>212</v>
      </c>
      <c r="S82" s="5" t="s">
        <v>42</v>
      </c>
      <c r="U82" s="5" t="s">
        <v>213</v>
      </c>
      <c r="X82" s="9" t="s">
        <v>214</v>
      </c>
      <c r="Y82" s="5" t="s">
        <v>209</v>
      </c>
      <c r="Z82" s="5" t="s">
        <v>45</v>
      </c>
      <c r="AA82" s="5" t="s">
        <v>46</v>
      </c>
      <c r="AB82" s="5" t="s">
        <v>215</v>
      </c>
      <c r="AC82" s="5" t="s">
        <v>216</v>
      </c>
      <c r="AD82" s="5" t="str">
        <f>_xlfn.CONCAT(Table58911[[#This Row],[&lt;&lt;NOLA&gt;&gt;
NIEM Element]],Table58911[[#This Row],[Repeat Values per attribute]])</f>
        <v>nc:StreetFullTexta</v>
      </c>
    </row>
    <row r="83" spans="1:30" ht="30" customHeight="1" x14ac:dyDescent="0.3">
      <c r="A83" s="5">
        <f t="shared" si="6"/>
        <v>82</v>
      </c>
      <c r="B83" s="5">
        <f t="shared" si="9"/>
        <v>1</v>
      </c>
      <c r="C83" s="5">
        <f t="shared" si="9"/>
        <v>10</v>
      </c>
      <c r="D83" s="5">
        <f t="shared" si="8"/>
        <v>28</v>
      </c>
      <c r="E83" s="5" t="s">
        <v>49</v>
      </c>
      <c r="F83" s="5" t="s">
        <v>8</v>
      </c>
      <c r="G83" s="5">
        <v>400</v>
      </c>
      <c r="H83" s="6" t="s">
        <v>33</v>
      </c>
      <c r="I83" s="7" t="s">
        <v>207</v>
      </c>
      <c r="J83" s="5" t="s">
        <v>34</v>
      </c>
      <c r="K83" s="5" t="s">
        <v>208</v>
      </c>
      <c r="L83" s="5" t="s">
        <v>36</v>
      </c>
      <c r="M83" s="8" t="s">
        <v>37</v>
      </c>
      <c r="N83" s="5" t="s">
        <v>207</v>
      </c>
      <c r="O83" s="5" t="s">
        <v>209</v>
      </c>
      <c r="P83" s="5" t="s">
        <v>210</v>
      </c>
      <c r="Q83" s="1" t="s">
        <v>211</v>
      </c>
      <c r="R83" s="5" t="s">
        <v>212</v>
      </c>
      <c r="S83" s="5" t="s">
        <v>42</v>
      </c>
      <c r="U83" s="5" t="s">
        <v>213</v>
      </c>
      <c r="X83" s="9" t="s">
        <v>217</v>
      </c>
      <c r="Y83" s="5" t="s">
        <v>209</v>
      </c>
      <c r="Z83" s="5" t="s">
        <v>45</v>
      </c>
      <c r="AA83" s="5" t="s">
        <v>46</v>
      </c>
      <c r="AB83" s="5" t="s">
        <v>215</v>
      </c>
      <c r="AC83" s="5" t="s">
        <v>216</v>
      </c>
      <c r="AD83" s="5" t="str">
        <f>_xlfn.CONCAT(Table58911[[#This Row],[&lt;&lt;NOLA&gt;&gt;
NIEM Element]],Table58911[[#This Row],[Repeat Values per attribute]])</f>
        <v>nc:StreetFullTexta</v>
      </c>
    </row>
    <row r="84" spans="1:30" ht="30" customHeight="1" x14ac:dyDescent="0.3">
      <c r="A84" s="5">
        <f t="shared" si="6"/>
        <v>83</v>
      </c>
      <c r="B84" s="5">
        <f t="shared" si="9"/>
        <v>1</v>
      </c>
      <c r="C84" s="5">
        <f t="shared" si="9"/>
        <v>10</v>
      </c>
      <c r="D84" s="5">
        <f t="shared" si="8"/>
        <v>28</v>
      </c>
      <c r="E84" s="5" t="s">
        <v>49</v>
      </c>
      <c r="F84" s="5" t="s">
        <v>8</v>
      </c>
      <c r="G84" s="5">
        <v>400</v>
      </c>
      <c r="H84" s="6" t="s">
        <v>33</v>
      </c>
      <c r="I84" s="7" t="s">
        <v>207</v>
      </c>
      <c r="J84" s="5" t="s">
        <v>34</v>
      </c>
      <c r="K84" s="5" t="s">
        <v>208</v>
      </c>
      <c r="L84" s="5" t="s">
        <v>36</v>
      </c>
      <c r="M84" s="8" t="s">
        <v>37</v>
      </c>
      <c r="N84" s="5" t="s">
        <v>207</v>
      </c>
      <c r="O84" s="5" t="s">
        <v>209</v>
      </c>
      <c r="P84" s="5" t="s">
        <v>210</v>
      </c>
      <c r="Q84" s="1" t="s">
        <v>211</v>
      </c>
      <c r="R84" s="5" t="s">
        <v>212</v>
      </c>
      <c r="S84" s="5" t="s">
        <v>42</v>
      </c>
      <c r="U84" s="5" t="s">
        <v>213</v>
      </c>
      <c r="X84" s="9" t="s">
        <v>218</v>
      </c>
      <c r="Y84" s="5" t="s">
        <v>209</v>
      </c>
      <c r="Z84" s="5" t="s">
        <v>45</v>
      </c>
      <c r="AA84" s="5" t="s">
        <v>46</v>
      </c>
      <c r="AB84" s="5" t="s">
        <v>215</v>
      </c>
      <c r="AC84" s="5" t="s">
        <v>216</v>
      </c>
      <c r="AD84" s="5" t="str">
        <f>_xlfn.CONCAT(Table58911[[#This Row],[&lt;&lt;NOLA&gt;&gt;
NIEM Element]],Table58911[[#This Row],[Repeat Values per attribute]])</f>
        <v>nc:StreetFullTexta</v>
      </c>
    </row>
    <row r="85" spans="1:30" ht="30" customHeight="1" x14ac:dyDescent="0.3">
      <c r="A85" s="5">
        <f t="shared" si="6"/>
        <v>84</v>
      </c>
      <c r="B85" s="5">
        <f t="shared" si="9"/>
        <v>1</v>
      </c>
      <c r="C85" s="5">
        <f t="shared" si="9"/>
        <v>10</v>
      </c>
      <c r="D85" s="5">
        <f t="shared" si="8"/>
        <v>29</v>
      </c>
      <c r="E85" s="5" t="s">
        <v>49</v>
      </c>
      <c r="F85" s="5" t="s">
        <v>8</v>
      </c>
      <c r="G85" s="5">
        <v>400</v>
      </c>
      <c r="H85" s="6" t="s">
        <v>33</v>
      </c>
      <c r="I85" s="7" t="s">
        <v>207</v>
      </c>
      <c r="J85" s="5" t="s">
        <v>34</v>
      </c>
      <c r="K85" s="5" t="s">
        <v>208</v>
      </c>
      <c r="L85" s="5" t="s">
        <v>36</v>
      </c>
      <c r="M85" s="8" t="s">
        <v>52</v>
      </c>
      <c r="N85" s="5" t="s">
        <v>207</v>
      </c>
      <c r="O85" s="5" t="s">
        <v>219</v>
      </c>
      <c r="P85" s="1" t="s">
        <v>220</v>
      </c>
      <c r="Q85" s="1" t="s">
        <v>211</v>
      </c>
      <c r="R85" s="5" t="s">
        <v>212</v>
      </c>
      <c r="S85" s="5" t="s">
        <v>42</v>
      </c>
      <c r="U85" s="5" t="s">
        <v>213</v>
      </c>
      <c r="X85" s="9" t="s">
        <v>214</v>
      </c>
      <c r="Y85" s="5" t="s">
        <v>219</v>
      </c>
      <c r="Z85" s="5" t="s">
        <v>45</v>
      </c>
      <c r="AA85" s="5" t="s">
        <v>46</v>
      </c>
      <c r="AB85" s="5" t="s">
        <v>221</v>
      </c>
      <c r="AC85" s="5" t="s">
        <v>222</v>
      </c>
      <c r="AD85" s="5" t="str">
        <f>_xlfn.CONCAT(Table58911[[#This Row],[&lt;&lt;NOLA&gt;&gt;
NIEM Element]],Table58911[[#This Row],[Repeat Values per attribute]])</f>
        <v>nc:StreetFullTextb</v>
      </c>
    </row>
    <row r="86" spans="1:30" ht="30" customHeight="1" x14ac:dyDescent="0.3">
      <c r="A86" s="5">
        <f t="shared" si="6"/>
        <v>85</v>
      </c>
      <c r="B86" s="5">
        <f t="shared" si="9"/>
        <v>1</v>
      </c>
      <c r="C86" s="5">
        <f t="shared" si="9"/>
        <v>10</v>
      </c>
      <c r="D86" s="5">
        <f t="shared" si="8"/>
        <v>29</v>
      </c>
      <c r="E86" s="5" t="s">
        <v>49</v>
      </c>
      <c r="F86" s="5" t="s">
        <v>8</v>
      </c>
      <c r="G86" s="5">
        <v>400</v>
      </c>
      <c r="H86" s="6" t="s">
        <v>33</v>
      </c>
      <c r="I86" s="7" t="s">
        <v>207</v>
      </c>
      <c r="J86" s="5" t="s">
        <v>34</v>
      </c>
      <c r="K86" s="5" t="s">
        <v>208</v>
      </c>
      <c r="L86" s="5" t="s">
        <v>36</v>
      </c>
      <c r="M86" s="8" t="s">
        <v>52</v>
      </c>
      <c r="N86" s="5" t="s">
        <v>207</v>
      </c>
      <c r="O86" s="5" t="s">
        <v>219</v>
      </c>
      <c r="P86" s="1" t="s">
        <v>220</v>
      </c>
      <c r="Q86" s="1" t="s">
        <v>211</v>
      </c>
      <c r="R86" s="5" t="s">
        <v>212</v>
      </c>
      <c r="S86" s="5" t="s">
        <v>42</v>
      </c>
      <c r="U86" s="5" t="s">
        <v>213</v>
      </c>
      <c r="X86" s="9" t="s">
        <v>217</v>
      </c>
      <c r="Y86" s="5" t="s">
        <v>219</v>
      </c>
      <c r="Z86" s="5" t="s">
        <v>45</v>
      </c>
      <c r="AA86" s="5" t="s">
        <v>46</v>
      </c>
      <c r="AB86" s="5" t="s">
        <v>221</v>
      </c>
      <c r="AC86" s="5" t="s">
        <v>222</v>
      </c>
      <c r="AD86" s="5" t="str">
        <f>_xlfn.CONCAT(Table58911[[#This Row],[&lt;&lt;NOLA&gt;&gt;
NIEM Element]],Table58911[[#This Row],[Repeat Values per attribute]])</f>
        <v>nc:StreetFullTextb</v>
      </c>
    </row>
    <row r="87" spans="1:30" ht="30" customHeight="1" x14ac:dyDescent="0.3">
      <c r="A87" s="5">
        <f t="shared" si="6"/>
        <v>86</v>
      </c>
      <c r="B87" s="5">
        <f t="shared" si="9"/>
        <v>1</v>
      </c>
      <c r="C87" s="5">
        <f t="shared" si="9"/>
        <v>10</v>
      </c>
      <c r="D87" s="5">
        <f t="shared" si="8"/>
        <v>29</v>
      </c>
      <c r="E87" s="5" t="s">
        <v>49</v>
      </c>
      <c r="F87" s="5" t="s">
        <v>8</v>
      </c>
      <c r="G87" s="5">
        <v>400</v>
      </c>
      <c r="H87" s="6" t="s">
        <v>33</v>
      </c>
      <c r="I87" s="7" t="s">
        <v>207</v>
      </c>
      <c r="J87" s="5" t="s">
        <v>34</v>
      </c>
      <c r="K87" s="5" t="s">
        <v>208</v>
      </c>
      <c r="L87" s="5" t="s">
        <v>36</v>
      </c>
      <c r="M87" s="8" t="s">
        <v>52</v>
      </c>
      <c r="N87" s="5" t="s">
        <v>207</v>
      </c>
      <c r="O87" s="5" t="s">
        <v>219</v>
      </c>
      <c r="P87" s="1" t="s">
        <v>220</v>
      </c>
      <c r="Q87" s="1" t="s">
        <v>211</v>
      </c>
      <c r="R87" s="5" t="s">
        <v>212</v>
      </c>
      <c r="S87" s="5" t="s">
        <v>42</v>
      </c>
      <c r="U87" s="5" t="s">
        <v>213</v>
      </c>
      <c r="X87" s="9" t="s">
        <v>218</v>
      </c>
      <c r="Y87" s="5" t="s">
        <v>219</v>
      </c>
      <c r="Z87" s="5" t="s">
        <v>45</v>
      </c>
      <c r="AA87" s="5" t="s">
        <v>46</v>
      </c>
      <c r="AB87" s="5" t="s">
        <v>221</v>
      </c>
      <c r="AC87" s="5" t="s">
        <v>222</v>
      </c>
      <c r="AD87" s="5" t="str">
        <f>_xlfn.CONCAT(Table58911[[#This Row],[&lt;&lt;NOLA&gt;&gt;
NIEM Element]],Table58911[[#This Row],[Repeat Values per attribute]])</f>
        <v>nc:StreetFullTextb</v>
      </c>
    </row>
    <row r="88" spans="1:30" ht="30" customHeight="1" x14ac:dyDescent="0.3">
      <c r="A88" s="5">
        <f t="shared" si="6"/>
        <v>87</v>
      </c>
      <c r="B88" s="5">
        <f t="shared" si="9"/>
        <v>1</v>
      </c>
      <c r="C88" s="5">
        <f t="shared" si="9"/>
        <v>11</v>
      </c>
      <c r="D88" s="5">
        <f t="shared" si="8"/>
        <v>30</v>
      </c>
      <c r="E88" s="5" t="s">
        <v>32</v>
      </c>
      <c r="F88" s="5" t="s">
        <v>8</v>
      </c>
      <c r="G88" s="5">
        <v>401</v>
      </c>
      <c r="H88" s="6" t="s">
        <v>33</v>
      </c>
      <c r="I88" s="7" t="s">
        <v>223</v>
      </c>
      <c r="J88" s="5" t="s">
        <v>34</v>
      </c>
      <c r="K88" s="5" t="s">
        <v>224</v>
      </c>
      <c r="L88" s="5" t="s">
        <v>36</v>
      </c>
      <c r="M88" s="8" t="s">
        <v>37</v>
      </c>
      <c r="N88" s="5" t="s">
        <v>223</v>
      </c>
      <c r="O88" s="5" t="s">
        <v>225</v>
      </c>
      <c r="P88" s="5" t="s">
        <v>226</v>
      </c>
      <c r="Q88" s="1" t="s">
        <v>227</v>
      </c>
      <c r="R88" s="5" t="s">
        <v>228</v>
      </c>
      <c r="S88" s="5" t="s">
        <v>72</v>
      </c>
      <c r="U88" s="5" t="s">
        <v>229</v>
      </c>
      <c r="X88" s="9" t="s">
        <v>230</v>
      </c>
      <c r="Y88" s="5" t="s">
        <v>225</v>
      </c>
      <c r="Z88" s="5" t="s">
        <v>45</v>
      </c>
      <c r="AA88" s="5" t="s">
        <v>46</v>
      </c>
      <c r="AB88" s="5" t="s">
        <v>231</v>
      </c>
      <c r="AC88" s="5" t="s">
        <v>232</v>
      </c>
      <c r="AD88" s="5" t="str">
        <f>_xlfn.CONCAT(Table58911[[#This Row],[&lt;&lt;NOLA&gt;&gt;
NIEM Element]],Table58911[[#This Row],[Repeat Values per attribute]])</f>
        <v>nc:StreetNamea</v>
      </c>
    </row>
    <row r="89" spans="1:30" ht="30" customHeight="1" x14ac:dyDescent="0.3">
      <c r="A89" s="5">
        <f t="shared" si="6"/>
        <v>88</v>
      </c>
      <c r="B89" s="5">
        <f t="shared" si="9"/>
        <v>1</v>
      </c>
      <c r="C89" s="5">
        <f t="shared" si="9"/>
        <v>11</v>
      </c>
      <c r="D89" s="5">
        <f t="shared" si="8"/>
        <v>30</v>
      </c>
      <c r="E89" s="5" t="s">
        <v>49</v>
      </c>
      <c r="F89" s="5" t="s">
        <v>8</v>
      </c>
      <c r="G89" s="5">
        <v>401</v>
      </c>
      <c r="H89" s="6" t="s">
        <v>33</v>
      </c>
      <c r="I89" s="7" t="s">
        <v>223</v>
      </c>
      <c r="J89" s="5" t="s">
        <v>34</v>
      </c>
      <c r="K89" s="5" t="s">
        <v>224</v>
      </c>
      <c r="L89" s="5" t="s">
        <v>36</v>
      </c>
      <c r="M89" s="8" t="s">
        <v>37</v>
      </c>
      <c r="N89" s="5" t="s">
        <v>223</v>
      </c>
      <c r="O89" s="5" t="s">
        <v>225</v>
      </c>
      <c r="P89" s="5" t="s">
        <v>226</v>
      </c>
      <c r="Q89" s="1" t="s">
        <v>227</v>
      </c>
      <c r="R89" s="5" t="s">
        <v>228</v>
      </c>
      <c r="S89" s="5" t="s">
        <v>72</v>
      </c>
      <c r="U89" s="5" t="s">
        <v>229</v>
      </c>
      <c r="X89" s="9" t="s">
        <v>233</v>
      </c>
      <c r="Y89" s="5" t="s">
        <v>225</v>
      </c>
      <c r="Z89" s="5" t="s">
        <v>45</v>
      </c>
      <c r="AA89" s="5" t="s">
        <v>46</v>
      </c>
      <c r="AB89" s="5" t="s">
        <v>231</v>
      </c>
      <c r="AC89" s="5" t="s">
        <v>232</v>
      </c>
      <c r="AD89" s="5" t="str">
        <f>_xlfn.CONCAT(Table58911[[#This Row],[&lt;&lt;NOLA&gt;&gt;
NIEM Element]],Table58911[[#This Row],[Repeat Values per attribute]])</f>
        <v>nc:StreetNamea</v>
      </c>
    </row>
    <row r="90" spans="1:30" ht="30" customHeight="1" x14ac:dyDescent="0.3">
      <c r="A90" s="5">
        <f t="shared" si="6"/>
        <v>89</v>
      </c>
      <c r="B90" s="5">
        <f t="shared" si="9"/>
        <v>1</v>
      </c>
      <c r="C90" s="5">
        <f t="shared" si="9"/>
        <v>11</v>
      </c>
      <c r="D90" s="5">
        <f t="shared" si="8"/>
        <v>30</v>
      </c>
      <c r="E90" s="5" t="s">
        <v>49</v>
      </c>
      <c r="F90" s="5" t="s">
        <v>8</v>
      </c>
      <c r="G90" s="5">
        <v>401</v>
      </c>
      <c r="H90" s="6" t="s">
        <v>33</v>
      </c>
      <c r="I90" s="7" t="s">
        <v>223</v>
      </c>
      <c r="J90" s="5" t="s">
        <v>34</v>
      </c>
      <c r="K90" s="5" t="s">
        <v>224</v>
      </c>
      <c r="L90" s="5" t="s">
        <v>36</v>
      </c>
      <c r="M90" s="8" t="s">
        <v>37</v>
      </c>
      <c r="N90" s="5" t="s">
        <v>223</v>
      </c>
      <c r="O90" s="5" t="s">
        <v>225</v>
      </c>
      <c r="P90" s="5" t="s">
        <v>226</v>
      </c>
      <c r="Q90" s="1" t="s">
        <v>227</v>
      </c>
      <c r="R90" s="5" t="s">
        <v>228</v>
      </c>
      <c r="S90" s="5" t="s">
        <v>72</v>
      </c>
      <c r="U90" s="5" t="s">
        <v>229</v>
      </c>
      <c r="X90" s="9" t="s">
        <v>234</v>
      </c>
      <c r="Y90" s="5" t="s">
        <v>225</v>
      </c>
      <c r="Z90" s="5" t="s">
        <v>45</v>
      </c>
      <c r="AA90" s="5" t="s">
        <v>46</v>
      </c>
      <c r="AB90" s="5" t="s">
        <v>231</v>
      </c>
      <c r="AC90" s="5" t="s">
        <v>232</v>
      </c>
      <c r="AD90" s="5" t="str">
        <f>_xlfn.CONCAT(Table58911[[#This Row],[&lt;&lt;NOLA&gt;&gt;
NIEM Element]],Table58911[[#This Row],[Repeat Values per attribute]])</f>
        <v>nc:StreetNamea</v>
      </c>
    </row>
    <row r="91" spans="1:30" ht="30" customHeight="1" x14ac:dyDescent="0.3">
      <c r="A91" s="5">
        <f t="shared" si="6"/>
        <v>90</v>
      </c>
      <c r="B91" s="5">
        <f t="shared" si="9"/>
        <v>1</v>
      </c>
      <c r="C91" s="5">
        <f t="shared" si="9"/>
        <v>11</v>
      </c>
      <c r="D91" s="5">
        <f t="shared" si="8"/>
        <v>31</v>
      </c>
      <c r="E91" s="5" t="s">
        <v>49</v>
      </c>
      <c r="F91" s="5" t="s">
        <v>8</v>
      </c>
      <c r="G91" s="5">
        <v>401</v>
      </c>
      <c r="H91" s="6" t="s">
        <v>33</v>
      </c>
      <c r="I91" s="7" t="s">
        <v>223</v>
      </c>
      <c r="J91" s="5" t="s">
        <v>34</v>
      </c>
      <c r="K91" s="5" t="s">
        <v>224</v>
      </c>
      <c r="L91" s="5" t="s">
        <v>36</v>
      </c>
      <c r="M91" s="8" t="s">
        <v>52</v>
      </c>
      <c r="N91" s="5" t="s">
        <v>223</v>
      </c>
      <c r="O91" s="5" t="s">
        <v>235</v>
      </c>
      <c r="P91" s="1" t="s">
        <v>236</v>
      </c>
      <c r="Q91" s="1" t="s">
        <v>227</v>
      </c>
      <c r="R91" s="5" t="s">
        <v>228</v>
      </c>
      <c r="S91" s="5" t="s">
        <v>72</v>
      </c>
      <c r="U91" s="5" t="s">
        <v>229</v>
      </c>
      <c r="X91" s="9" t="s">
        <v>230</v>
      </c>
      <c r="Y91" s="5" t="s">
        <v>235</v>
      </c>
      <c r="Z91" s="5" t="s">
        <v>45</v>
      </c>
      <c r="AA91" s="5" t="s">
        <v>46</v>
      </c>
      <c r="AB91" s="5" t="s">
        <v>237</v>
      </c>
      <c r="AC91" s="5" t="s">
        <v>238</v>
      </c>
      <c r="AD91" s="5" t="str">
        <f>_xlfn.CONCAT(Table58911[[#This Row],[&lt;&lt;NOLA&gt;&gt;
NIEM Element]],Table58911[[#This Row],[Repeat Values per attribute]])</f>
        <v>nc:StreetNameb</v>
      </c>
    </row>
    <row r="92" spans="1:30" ht="30" customHeight="1" x14ac:dyDescent="0.3">
      <c r="A92" s="5">
        <f t="shared" si="6"/>
        <v>91</v>
      </c>
      <c r="B92" s="5">
        <f t="shared" si="9"/>
        <v>1</v>
      </c>
      <c r="C92" s="5">
        <f t="shared" si="9"/>
        <v>11</v>
      </c>
      <c r="D92" s="5">
        <f t="shared" si="8"/>
        <v>31</v>
      </c>
      <c r="E92" s="5" t="s">
        <v>49</v>
      </c>
      <c r="F92" s="5" t="s">
        <v>8</v>
      </c>
      <c r="G92" s="5">
        <v>401</v>
      </c>
      <c r="H92" s="6" t="s">
        <v>33</v>
      </c>
      <c r="I92" s="7" t="s">
        <v>223</v>
      </c>
      <c r="J92" s="5" t="s">
        <v>34</v>
      </c>
      <c r="K92" s="5" t="s">
        <v>224</v>
      </c>
      <c r="L92" s="5" t="s">
        <v>36</v>
      </c>
      <c r="M92" s="8" t="s">
        <v>52</v>
      </c>
      <c r="N92" s="5" t="s">
        <v>223</v>
      </c>
      <c r="O92" s="5" t="s">
        <v>235</v>
      </c>
      <c r="P92" s="1" t="s">
        <v>236</v>
      </c>
      <c r="Q92" s="1" t="s">
        <v>227</v>
      </c>
      <c r="R92" s="5" t="s">
        <v>228</v>
      </c>
      <c r="S92" s="5" t="s">
        <v>72</v>
      </c>
      <c r="U92" s="5" t="s">
        <v>229</v>
      </c>
      <c r="X92" s="9" t="s">
        <v>233</v>
      </c>
      <c r="Y92" s="5" t="s">
        <v>235</v>
      </c>
      <c r="Z92" s="5" t="s">
        <v>45</v>
      </c>
      <c r="AA92" s="5" t="s">
        <v>46</v>
      </c>
      <c r="AB92" s="5" t="s">
        <v>237</v>
      </c>
      <c r="AC92" s="5" t="s">
        <v>238</v>
      </c>
      <c r="AD92" s="5" t="str">
        <f>_xlfn.CONCAT(Table58911[[#This Row],[&lt;&lt;NOLA&gt;&gt;
NIEM Element]],Table58911[[#This Row],[Repeat Values per attribute]])</f>
        <v>nc:StreetNameb</v>
      </c>
    </row>
    <row r="93" spans="1:30" ht="30" customHeight="1" x14ac:dyDescent="0.3">
      <c r="A93" s="5">
        <f t="shared" si="6"/>
        <v>92</v>
      </c>
      <c r="B93" s="5">
        <f t="shared" si="9"/>
        <v>1</v>
      </c>
      <c r="C93" s="5">
        <f t="shared" si="9"/>
        <v>11</v>
      </c>
      <c r="D93" s="5">
        <f t="shared" si="8"/>
        <v>31</v>
      </c>
      <c r="E93" s="5" t="s">
        <v>49</v>
      </c>
      <c r="F93" s="5" t="s">
        <v>8</v>
      </c>
      <c r="G93" s="5">
        <v>401</v>
      </c>
      <c r="H93" s="6" t="s">
        <v>33</v>
      </c>
      <c r="I93" s="7" t="s">
        <v>223</v>
      </c>
      <c r="J93" s="5" t="s">
        <v>34</v>
      </c>
      <c r="K93" s="5" t="s">
        <v>224</v>
      </c>
      <c r="L93" s="5" t="s">
        <v>36</v>
      </c>
      <c r="M93" s="8" t="s">
        <v>52</v>
      </c>
      <c r="N93" s="5" t="s">
        <v>223</v>
      </c>
      <c r="O93" s="5" t="s">
        <v>235</v>
      </c>
      <c r="P93" s="1" t="s">
        <v>236</v>
      </c>
      <c r="Q93" s="1" t="s">
        <v>227</v>
      </c>
      <c r="R93" s="5" t="s">
        <v>228</v>
      </c>
      <c r="S93" s="5" t="s">
        <v>72</v>
      </c>
      <c r="U93" s="5" t="s">
        <v>229</v>
      </c>
      <c r="X93" s="9" t="s">
        <v>234</v>
      </c>
      <c r="Y93" s="5" t="s">
        <v>235</v>
      </c>
      <c r="Z93" s="5" t="s">
        <v>45</v>
      </c>
      <c r="AA93" s="5" t="s">
        <v>46</v>
      </c>
      <c r="AB93" s="5" t="s">
        <v>237</v>
      </c>
      <c r="AC93" s="5" t="s">
        <v>238</v>
      </c>
      <c r="AD93" s="5" t="str">
        <f>_xlfn.CONCAT(Table58911[[#This Row],[&lt;&lt;NOLA&gt;&gt;
NIEM Element]],Table58911[[#This Row],[Repeat Values per attribute]])</f>
        <v>nc:StreetNameb</v>
      </c>
    </row>
    <row r="94" spans="1:30" ht="30" customHeight="1" x14ac:dyDescent="0.3">
      <c r="A94" s="5">
        <f t="shared" si="6"/>
        <v>93</v>
      </c>
      <c r="B94" s="5">
        <f t="shared" si="9"/>
        <v>1</v>
      </c>
      <c r="C94" s="5">
        <f t="shared" si="9"/>
        <v>11</v>
      </c>
      <c r="D94" s="5">
        <f t="shared" si="8"/>
        <v>32</v>
      </c>
      <c r="E94" s="5" t="s">
        <v>49</v>
      </c>
      <c r="F94" s="5" t="s">
        <v>8</v>
      </c>
      <c r="G94" s="5">
        <v>401</v>
      </c>
      <c r="H94" s="6" t="s">
        <v>33</v>
      </c>
      <c r="I94" s="7" t="s">
        <v>223</v>
      </c>
      <c r="J94" s="5" t="s">
        <v>34</v>
      </c>
      <c r="K94" s="5" t="s">
        <v>224</v>
      </c>
      <c r="L94" s="5" t="s">
        <v>36</v>
      </c>
      <c r="M94" s="8" t="s">
        <v>57</v>
      </c>
      <c r="N94" s="5" t="s">
        <v>223</v>
      </c>
      <c r="O94" s="5" t="s">
        <v>239</v>
      </c>
      <c r="P94" s="1" t="s">
        <v>240</v>
      </c>
      <c r="Q94" s="1" t="s">
        <v>227</v>
      </c>
      <c r="R94" s="5" t="s">
        <v>228</v>
      </c>
      <c r="S94" s="5" t="s">
        <v>72</v>
      </c>
      <c r="U94" s="5" t="s">
        <v>229</v>
      </c>
      <c r="X94" s="9" t="s">
        <v>230</v>
      </c>
      <c r="Y94" s="5" t="s">
        <v>239</v>
      </c>
      <c r="Z94" s="5" t="s">
        <v>45</v>
      </c>
      <c r="AA94" s="5" t="s">
        <v>46</v>
      </c>
      <c r="AB94" s="5" t="s">
        <v>241</v>
      </c>
      <c r="AC94" s="5" t="s">
        <v>242</v>
      </c>
      <c r="AD94" s="5" t="str">
        <f>_xlfn.CONCAT(Table58911[[#This Row],[&lt;&lt;NOLA&gt;&gt;
NIEM Element]],Table58911[[#This Row],[Repeat Values per attribute]])</f>
        <v>nc:StreetNamec</v>
      </c>
    </row>
    <row r="95" spans="1:30" ht="30" customHeight="1" x14ac:dyDescent="0.3">
      <c r="A95" s="5">
        <f t="shared" si="6"/>
        <v>94</v>
      </c>
      <c r="B95" s="5">
        <f t="shared" si="9"/>
        <v>1</v>
      </c>
      <c r="C95" s="5">
        <f t="shared" si="9"/>
        <v>11</v>
      </c>
      <c r="D95" s="5">
        <f t="shared" si="8"/>
        <v>32</v>
      </c>
      <c r="E95" s="5" t="s">
        <v>49</v>
      </c>
      <c r="F95" s="5" t="s">
        <v>8</v>
      </c>
      <c r="G95" s="5">
        <v>401</v>
      </c>
      <c r="H95" s="6" t="s">
        <v>33</v>
      </c>
      <c r="I95" s="7" t="s">
        <v>223</v>
      </c>
      <c r="J95" s="5" t="s">
        <v>34</v>
      </c>
      <c r="K95" s="5" t="s">
        <v>224</v>
      </c>
      <c r="L95" s="5" t="s">
        <v>36</v>
      </c>
      <c r="M95" s="8" t="s">
        <v>57</v>
      </c>
      <c r="N95" s="5" t="s">
        <v>223</v>
      </c>
      <c r="O95" s="5" t="s">
        <v>239</v>
      </c>
      <c r="P95" s="1" t="s">
        <v>240</v>
      </c>
      <c r="Q95" s="1" t="s">
        <v>227</v>
      </c>
      <c r="R95" s="5" t="s">
        <v>228</v>
      </c>
      <c r="S95" s="5" t="s">
        <v>72</v>
      </c>
      <c r="U95" s="5" t="s">
        <v>229</v>
      </c>
      <c r="X95" s="9" t="s">
        <v>233</v>
      </c>
      <c r="Y95" s="5" t="s">
        <v>239</v>
      </c>
      <c r="Z95" s="5" t="s">
        <v>45</v>
      </c>
      <c r="AA95" s="5" t="s">
        <v>46</v>
      </c>
      <c r="AB95" s="5" t="s">
        <v>241</v>
      </c>
      <c r="AC95" s="5" t="s">
        <v>242</v>
      </c>
      <c r="AD95" s="5" t="str">
        <f>_xlfn.CONCAT(Table58911[[#This Row],[&lt;&lt;NOLA&gt;&gt;
NIEM Element]],Table58911[[#This Row],[Repeat Values per attribute]])</f>
        <v>nc:StreetNamec</v>
      </c>
    </row>
    <row r="96" spans="1:30" ht="30" customHeight="1" x14ac:dyDescent="0.3">
      <c r="A96" s="5">
        <f t="shared" si="6"/>
        <v>95</v>
      </c>
      <c r="B96" s="5">
        <f t="shared" si="9"/>
        <v>1</v>
      </c>
      <c r="C96" s="5">
        <f t="shared" si="9"/>
        <v>11</v>
      </c>
      <c r="D96" s="5">
        <f t="shared" si="8"/>
        <v>32</v>
      </c>
      <c r="E96" s="5" t="s">
        <v>49</v>
      </c>
      <c r="F96" s="5" t="s">
        <v>8</v>
      </c>
      <c r="G96" s="5">
        <v>401</v>
      </c>
      <c r="H96" s="6" t="s">
        <v>33</v>
      </c>
      <c r="I96" s="7" t="s">
        <v>223</v>
      </c>
      <c r="J96" s="5" t="s">
        <v>34</v>
      </c>
      <c r="K96" s="5" t="s">
        <v>224</v>
      </c>
      <c r="L96" s="5" t="s">
        <v>36</v>
      </c>
      <c r="M96" s="8" t="s">
        <v>57</v>
      </c>
      <c r="N96" s="5" t="s">
        <v>223</v>
      </c>
      <c r="O96" s="5" t="s">
        <v>239</v>
      </c>
      <c r="P96" s="1" t="s">
        <v>240</v>
      </c>
      <c r="Q96" s="1" t="s">
        <v>227</v>
      </c>
      <c r="R96" s="5" t="s">
        <v>228</v>
      </c>
      <c r="S96" s="5" t="s">
        <v>72</v>
      </c>
      <c r="U96" s="5" t="s">
        <v>229</v>
      </c>
      <c r="X96" s="9" t="s">
        <v>234</v>
      </c>
      <c r="Y96" s="5" t="s">
        <v>239</v>
      </c>
      <c r="Z96" s="5" t="s">
        <v>45</v>
      </c>
      <c r="AA96" s="5" t="s">
        <v>46</v>
      </c>
      <c r="AB96" s="5" t="s">
        <v>241</v>
      </c>
      <c r="AC96" s="5" t="s">
        <v>242</v>
      </c>
      <c r="AD96" s="5" t="str">
        <f>_xlfn.CONCAT(Table58911[[#This Row],[&lt;&lt;NOLA&gt;&gt;
NIEM Element]],Table58911[[#This Row],[Repeat Values per attribute]])</f>
        <v>nc:StreetNamec</v>
      </c>
    </row>
    <row r="97" spans="1:32" ht="30" customHeight="1" x14ac:dyDescent="0.3">
      <c r="A97" s="5">
        <f t="shared" si="6"/>
        <v>96</v>
      </c>
      <c r="B97" s="5">
        <f t="shared" si="9"/>
        <v>1</v>
      </c>
      <c r="C97" s="5">
        <f t="shared" si="9"/>
        <v>11</v>
      </c>
      <c r="D97" s="5">
        <f t="shared" si="8"/>
        <v>33</v>
      </c>
      <c r="E97" s="5" t="s">
        <v>49</v>
      </c>
      <c r="F97" s="5" t="s">
        <v>8</v>
      </c>
      <c r="G97" s="5">
        <v>401</v>
      </c>
      <c r="H97" s="6" t="s">
        <v>33</v>
      </c>
      <c r="I97" s="7" t="s">
        <v>223</v>
      </c>
      <c r="J97" s="5" t="s">
        <v>34</v>
      </c>
      <c r="K97" s="5" t="s">
        <v>224</v>
      </c>
      <c r="L97" s="5" t="s">
        <v>36</v>
      </c>
      <c r="M97" s="8" t="s">
        <v>49</v>
      </c>
      <c r="N97" s="5" t="s">
        <v>223</v>
      </c>
      <c r="O97" s="5" t="s">
        <v>243</v>
      </c>
      <c r="P97" s="1" t="s">
        <v>244</v>
      </c>
      <c r="Q97" s="1" t="s">
        <v>227</v>
      </c>
      <c r="R97" s="5" t="s">
        <v>228</v>
      </c>
      <c r="S97" s="5" t="s">
        <v>72</v>
      </c>
      <c r="U97" s="5" t="s">
        <v>229</v>
      </c>
      <c r="X97" s="9" t="s">
        <v>230</v>
      </c>
      <c r="Y97" s="5" t="s">
        <v>243</v>
      </c>
      <c r="Z97" s="5" t="s">
        <v>45</v>
      </c>
      <c r="AA97" s="5" t="s">
        <v>46</v>
      </c>
      <c r="AB97" s="5" t="s">
        <v>245</v>
      </c>
      <c r="AC97" s="5" t="s">
        <v>246</v>
      </c>
      <c r="AD97" s="5" t="str">
        <f>_xlfn.CONCAT(Table58911[[#This Row],[&lt;&lt;NOLA&gt;&gt;
NIEM Element]],Table58911[[#This Row],[Repeat Values per attribute]])</f>
        <v>nc:StreetNamed</v>
      </c>
    </row>
    <row r="98" spans="1:32" ht="30" customHeight="1" x14ac:dyDescent="0.3">
      <c r="A98" s="5">
        <f t="shared" si="6"/>
        <v>97</v>
      </c>
      <c r="B98" s="5">
        <f t="shared" ref="B98:C113" si="10">IF(H97=H98,B97,B97+1)</f>
        <v>1</v>
      </c>
      <c r="C98" s="5">
        <f t="shared" si="10"/>
        <v>11</v>
      </c>
      <c r="D98" s="5">
        <f t="shared" si="8"/>
        <v>33</v>
      </c>
      <c r="E98" s="5" t="s">
        <v>49</v>
      </c>
      <c r="F98" s="5" t="s">
        <v>8</v>
      </c>
      <c r="G98" s="5">
        <v>401</v>
      </c>
      <c r="H98" s="6" t="s">
        <v>33</v>
      </c>
      <c r="I98" s="7" t="s">
        <v>223</v>
      </c>
      <c r="J98" s="5" t="s">
        <v>34</v>
      </c>
      <c r="K98" s="5" t="s">
        <v>224</v>
      </c>
      <c r="L98" s="5" t="s">
        <v>36</v>
      </c>
      <c r="M98" s="8" t="s">
        <v>49</v>
      </c>
      <c r="N98" s="5" t="s">
        <v>223</v>
      </c>
      <c r="O98" s="5" t="s">
        <v>243</v>
      </c>
      <c r="P98" s="1" t="s">
        <v>244</v>
      </c>
      <c r="Q98" s="1" t="s">
        <v>227</v>
      </c>
      <c r="R98" s="5" t="s">
        <v>228</v>
      </c>
      <c r="S98" s="5" t="s">
        <v>72</v>
      </c>
      <c r="U98" s="5" t="s">
        <v>229</v>
      </c>
      <c r="X98" s="9" t="s">
        <v>233</v>
      </c>
      <c r="Y98" s="5" t="s">
        <v>243</v>
      </c>
      <c r="Z98" s="5" t="s">
        <v>45</v>
      </c>
      <c r="AA98" s="5" t="s">
        <v>46</v>
      </c>
      <c r="AB98" s="5" t="s">
        <v>245</v>
      </c>
      <c r="AC98" s="5" t="s">
        <v>246</v>
      </c>
      <c r="AD98" s="5" t="str">
        <f>_xlfn.CONCAT(Table58911[[#This Row],[&lt;&lt;NOLA&gt;&gt;
NIEM Element]],Table58911[[#This Row],[Repeat Values per attribute]])</f>
        <v>nc:StreetNamed</v>
      </c>
    </row>
    <row r="99" spans="1:32" ht="30" customHeight="1" x14ac:dyDescent="0.3">
      <c r="A99" s="5">
        <f t="shared" si="6"/>
        <v>98</v>
      </c>
      <c r="B99" s="5">
        <f t="shared" si="10"/>
        <v>1</v>
      </c>
      <c r="C99" s="5">
        <f t="shared" si="10"/>
        <v>11</v>
      </c>
      <c r="D99" s="5">
        <f t="shared" si="8"/>
        <v>33</v>
      </c>
      <c r="E99" s="5" t="s">
        <v>49</v>
      </c>
      <c r="F99" s="5" t="s">
        <v>8</v>
      </c>
      <c r="G99" s="5">
        <v>401</v>
      </c>
      <c r="H99" s="6" t="s">
        <v>33</v>
      </c>
      <c r="I99" s="7" t="s">
        <v>223</v>
      </c>
      <c r="J99" s="5" t="s">
        <v>34</v>
      </c>
      <c r="K99" s="5" t="s">
        <v>224</v>
      </c>
      <c r="L99" s="5" t="s">
        <v>36</v>
      </c>
      <c r="M99" s="8" t="s">
        <v>49</v>
      </c>
      <c r="N99" s="5" t="s">
        <v>223</v>
      </c>
      <c r="O99" s="5" t="s">
        <v>243</v>
      </c>
      <c r="P99" s="1" t="s">
        <v>244</v>
      </c>
      <c r="Q99" s="1" t="s">
        <v>227</v>
      </c>
      <c r="R99" s="5" t="s">
        <v>228</v>
      </c>
      <c r="S99" s="5" t="s">
        <v>72</v>
      </c>
      <c r="U99" s="5" t="s">
        <v>229</v>
      </c>
      <c r="X99" s="9" t="s">
        <v>234</v>
      </c>
      <c r="Y99" s="5" t="s">
        <v>243</v>
      </c>
      <c r="Z99" s="5" t="s">
        <v>45</v>
      </c>
      <c r="AA99" s="5" t="s">
        <v>46</v>
      </c>
      <c r="AB99" s="5" t="s">
        <v>245</v>
      </c>
      <c r="AC99" s="5" t="s">
        <v>246</v>
      </c>
      <c r="AD99" s="5" t="str">
        <f>_xlfn.CONCAT(Table58911[[#This Row],[&lt;&lt;NOLA&gt;&gt;
NIEM Element]],Table58911[[#This Row],[Repeat Values per attribute]])</f>
        <v>nc:StreetNamed</v>
      </c>
    </row>
    <row r="100" spans="1:32" ht="30" customHeight="1" x14ac:dyDescent="0.3">
      <c r="A100" s="5">
        <f t="shared" si="6"/>
        <v>99</v>
      </c>
      <c r="B100" s="5">
        <f t="shared" si="10"/>
        <v>1</v>
      </c>
      <c r="C100" s="5">
        <f t="shared" si="10"/>
        <v>11</v>
      </c>
      <c r="D100" s="5">
        <f t="shared" si="8"/>
        <v>34</v>
      </c>
      <c r="E100" s="5" t="s">
        <v>49</v>
      </c>
      <c r="F100" s="5" t="s">
        <v>8</v>
      </c>
      <c r="G100" s="5">
        <v>401</v>
      </c>
      <c r="H100" s="6" t="s">
        <v>33</v>
      </c>
      <c r="I100" s="7" t="s">
        <v>223</v>
      </c>
      <c r="J100" s="5" t="s">
        <v>34</v>
      </c>
      <c r="K100" s="5" t="s">
        <v>224</v>
      </c>
      <c r="L100" s="5" t="s">
        <v>36</v>
      </c>
      <c r="M100" s="8" t="s">
        <v>87</v>
      </c>
      <c r="N100" s="5" t="s">
        <v>223</v>
      </c>
      <c r="O100" s="5" t="s">
        <v>247</v>
      </c>
      <c r="P100" s="1" t="s">
        <v>248</v>
      </c>
      <c r="Q100" s="1" t="s">
        <v>227</v>
      </c>
      <c r="R100" s="5" t="s">
        <v>228</v>
      </c>
      <c r="S100" s="5" t="s">
        <v>72</v>
      </c>
      <c r="U100" s="5" t="s">
        <v>229</v>
      </c>
      <c r="X100" s="9" t="s">
        <v>230</v>
      </c>
      <c r="Y100" s="5" t="s">
        <v>247</v>
      </c>
      <c r="Z100" s="5" t="s">
        <v>45</v>
      </c>
      <c r="AA100" s="5" t="s">
        <v>46</v>
      </c>
      <c r="AB100" s="5" t="s">
        <v>249</v>
      </c>
      <c r="AC100" s="5" t="s">
        <v>250</v>
      </c>
      <c r="AD100" s="5" t="str">
        <f>_xlfn.CONCAT(Table58911[[#This Row],[&lt;&lt;NOLA&gt;&gt;
NIEM Element]],Table58911[[#This Row],[Repeat Values per attribute]])</f>
        <v>nc:StreetNamee</v>
      </c>
    </row>
    <row r="101" spans="1:32" ht="30" customHeight="1" x14ac:dyDescent="0.3">
      <c r="A101" s="5">
        <f t="shared" si="6"/>
        <v>100</v>
      </c>
      <c r="B101" s="5">
        <f t="shared" si="10"/>
        <v>1</v>
      </c>
      <c r="C101" s="5">
        <f t="shared" si="10"/>
        <v>11</v>
      </c>
      <c r="D101" s="5">
        <f t="shared" si="8"/>
        <v>34</v>
      </c>
      <c r="E101" s="5" t="s">
        <v>49</v>
      </c>
      <c r="F101" s="5" t="s">
        <v>8</v>
      </c>
      <c r="G101" s="5">
        <v>401</v>
      </c>
      <c r="H101" s="6" t="s">
        <v>33</v>
      </c>
      <c r="I101" s="7" t="s">
        <v>223</v>
      </c>
      <c r="J101" s="5" t="s">
        <v>34</v>
      </c>
      <c r="K101" s="5" t="s">
        <v>224</v>
      </c>
      <c r="L101" s="5" t="s">
        <v>36</v>
      </c>
      <c r="M101" s="8" t="s">
        <v>87</v>
      </c>
      <c r="N101" s="5" t="s">
        <v>223</v>
      </c>
      <c r="O101" s="5" t="s">
        <v>247</v>
      </c>
      <c r="P101" s="1" t="s">
        <v>248</v>
      </c>
      <c r="Q101" s="1" t="s">
        <v>227</v>
      </c>
      <c r="R101" s="5" t="s">
        <v>228</v>
      </c>
      <c r="S101" s="5" t="s">
        <v>72</v>
      </c>
      <c r="U101" s="5" t="s">
        <v>229</v>
      </c>
      <c r="X101" s="9" t="s">
        <v>233</v>
      </c>
      <c r="Y101" s="5" t="s">
        <v>247</v>
      </c>
      <c r="Z101" s="5" t="s">
        <v>45</v>
      </c>
      <c r="AA101" s="5" t="s">
        <v>46</v>
      </c>
      <c r="AB101" s="5" t="s">
        <v>249</v>
      </c>
      <c r="AC101" s="5" t="s">
        <v>250</v>
      </c>
      <c r="AD101" s="5" t="str">
        <f>_xlfn.CONCAT(Table58911[[#This Row],[&lt;&lt;NOLA&gt;&gt;
NIEM Element]],Table58911[[#This Row],[Repeat Values per attribute]])</f>
        <v>nc:StreetNamee</v>
      </c>
    </row>
    <row r="102" spans="1:32" ht="30" customHeight="1" x14ac:dyDescent="0.3">
      <c r="A102" s="5">
        <f t="shared" si="6"/>
        <v>101</v>
      </c>
      <c r="B102" s="5">
        <f t="shared" si="10"/>
        <v>1</v>
      </c>
      <c r="C102" s="5">
        <f t="shared" si="10"/>
        <v>11</v>
      </c>
      <c r="D102" s="5">
        <f t="shared" si="8"/>
        <v>34</v>
      </c>
      <c r="E102" s="5" t="s">
        <v>49</v>
      </c>
      <c r="F102" s="5" t="s">
        <v>8</v>
      </c>
      <c r="G102" s="5">
        <v>401</v>
      </c>
      <c r="H102" s="6" t="s">
        <v>33</v>
      </c>
      <c r="I102" s="7" t="s">
        <v>223</v>
      </c>
      <c r="J102" s="5" t="s">
        <v>34</v>
      </c>
      <c r="K102" s="5" t="s">
        <v>224</v>
      </c>
      <c r="L102" s="5" t="s">
        <v>36</v>
      </c>
      <c r="M102" s="8" t="s">
        <v>87</v>
      </c>
      <c r="N102" s="5" t="s">
        <v>223</v>
      </c>
      <c r="O102" s="5" t="s">
        <v>247</v>
      </c>
      <c r="P102" s="1" t="s">
        <v>248</v>
      </c>
      <c r="Q102" s="1" t="s">
        <v>227</v>
      </c>
      <c r="R102" s="5" t="s">
        <v>228</v>
      </c>
      <c r="S102" s="5" t="s">
        <v>72</v>
      </c>
      <c r="U102" s="5" t="s">
        <v>229</v>
      </c>
      <c r="X102" s="9" t="s">
        <v>234</v>
      </c>
      <c r="Y102" s="5" t="s">
        <v>247</v>
      </c>
      <c r="Z102" s="5" t="s">
        <v>45</v>
      </c>
      <c r="AA102" s="5" t="s">
        <v>46</v>
      </c>
      <c r="AB102" s="5" t="s">
        <v>249</v>
      </c>
      <c r="AC102" s="5" t="s">
        <v>250</v>
      </c>
      <c r="AD102" s="5" t="str">
        <f>_xlfn.CONCAT(Table58911[[#This Row],[&lt;&lt;NOLA&gt;&gt;
NIEM Element]],Table58911[[#This Row],[Repeat Values per attribute]])</f>
        <v>nc:StreetNamee</v>
      </c>
    </row>
    <row r="103" spans="1:32" ht="30" customHeight="1" x14ac:dyDescent="0.3">
      <c r="A103" s="5">
        <f t="shared" si="6"/>
        <v>102</v>
      </c>
      <c r="B103" s="5">
        <f t="shared" si="10"/>
        <v>1</v>
      </c>
      <c r="C103" s="5">
        <f t="shared" si="10"/>
        <v>11</v>
      </c>
      <c r="D103" s="5">
        <f t="shared" si="8"/>
        <v>35</v>
      </c>
      <c r="E103" s="5" t="s">
        <v>32</v>
      </c>
      <c r="F103" s="5" t="s">
        <v>8</v>
      </c>
      <c r="G103" s="5">
        <v>401</v>
      </c>
      <c r="H103" s="6" t="s">
        <v>33</v>
      </c>
      <c r="I103" s="7" t="s">
        <v>223</v>
      </c>
      <c r="J103" s="5" t="s">
        <v>34</v>
      </c>
      <c r="K103" s="5" t="s">
        <v>224</v>
      </c>
      <c r="L103" s="5" t="s">
        <v>36</v>
      </c>
      <c r="M103" s="8" t="s">
        <v>182</v>
      </c>
      <c r="N103" s="5" t="s">
        <v>223</v>
      </c>
      <c r="O103" s="5" t="s">
        <v>251</v>
      </c>
      <c r="P103" s="1" t="s">
        <v>252</v>
      </c>
      <c r="Q103" s="1" t="s">
        <v>227</v>
      </c>
      <c r="R103" s="5" t="s">
        <v>228</v>
      </c>
      <c r="S103" s="5" t="s">
        <v>72</v>
      </c>
      <c r="U103" s="5" t="s">
        <v>229</v>
      </c>
      <c r="X103" s="9" t="s">
        <v>230</v>
      </c>
      <c r="Y103" s="5" t="s">
        <v>251</v>
      </c>
      <c r="Z103" s="5" t="s">
        <v>45</v>
      </c>
      <c r="AA103" s="5" t="s">
        <v>90</v>
      </c>
      <c r="AB103" s="5" t="s">
        <v>231</v>
      </c>
      <c r="AC103" s="5" t="s">
        <v>253</v>
      </c>
      <c r="AD103" s="5" t="str">
        <f>_xlfn.CONCAT(Table58911[[#This Row],[&lt;&lt;NOLA&gt;&gt;
NIEM Element]],Table58911[[#This Row],[Repeat Values per attribute]])</f>
        <v>nc:StreetNameg</v>
      </c>
    </row>
    <row r="104" spans="1:32" ht="30" customHeight="1" x14ac:dyDescent="0.3">
      <c r="A104" s="5">
        <f t="shared" si="6"/>
        <v>103</v>
      </c>
      <c r="B104" s="5">
        <f t="shared" si="10"/>
        <v>1</v>
      </c>
      <c r="C104" s="5">
        <f t="shared" si="10"/>
        <v>11</v>
      </c>
      <c r="D104" s="5">
        <f t="shared" si="8"/>
        <v>35</v>
      </c>
      <c r="E104" s="5" t="s">
        <v>49</v>
      </c>
      <c r="F104" s="5" t="s">
        <v>8</v>
      </c>
      <c r="G104" s="5">
        <v>401</v>
      </c>
      <c r="H104" s="6" t="s">
        <v>33</v>
      </c>
      <c r="I104" s="7" t="s">
        <v>223</v>
      </c>
      <c r="J104" s="5" t="s">
        <v>34</v>
      </c>
      <c r="K104" s="5" t="s">
        <v>224</v>
      </c>
      <c r="L104" s="5" t="s">
        <v>36</v>
      </c>
      <c r="M104" s="8" t="s">
        <v>182</v>
      </c>
      <c r="N104" s="5" t="s">
        <v>223</v>
      </c>
      <c r="O104" s="5" t="s">
        <v>251</v>
      </c>
      <c r="P104" s="1" t="s">
        <v>252</v>
      </c>
      <c r="Q104" s="1" t="s">
        <v>227</v>
      </c>
      <c r="R104" s="5" t="s">
        <v>228</v>
      </c>
      <c r="S104" s="5" t="s">
        <v>72</v>
      </c>
      <c r="U104" s="5" t="s">
        <v>229</v>
      </c>
      <c r="X104" s="9" t="s">
        <v>233</v>
      </c>
      <c r="Y104" s="5" t="s">
        <v>251</v>
      </c>
      <c r="Z104" s="5" t="s">
        <v>45</v>
      </c>
      <c r="AA104" s="5" t="s">
        <v>90</v>
      </c>
      <c r="AB104" s="5" t="s">
        <v>231</v>
      </c>
      <c r="AC104" s="5" t="s">
        <v>253</v>
      </c>
      <c r="AD104" s="5" t="str">
        <f>_xlfn.CONCAT(Table58911[[#This Row],[&lt;&lt;NOLA&gt;&gt;
NIEM Element]],Table58911[[#This Row],[Repeat Values per attribute]])</f>
        <v>nc:StreetNameg</v>
      </c>
    </row>
    <row r="105" spans="1:32" ht="30" customHeight="1" x14ac:dyDescent="0.3">
      <c r="A105" s="5">
        <f t="shared" si="6"/>
        <v>104</v>
      </c>
      <c r="B105" s="5">
        <f t="shared" si="10"/>
        <v>1</v>
      </c>
      <c r="C105" s="5">
        <f t="shared" si="10"/>
        <v>11</v>
      </c>
      <c r="D105" s="5">
        <f t="shared" si="8"/>
        <v>35</v>
      </c>
      <c r="E105" s="5" t="s">
        <v>49</v>
      </c>
      <c r="F105" s="5" t="s">
        <v>8</v>
      </c>
      <c r="G105" s="5">
        <v>401</v>
      </c>
      <c r="H105" s="6" t="s">
        <v>33</v>
      </c>
      <c r="I105" s="7" t="s">
        <v>223</v>
      </c>
      <c r="J105" s="5" t="s">
        <v>34</v>
      </c>
      <c r="K105" s="5" t="s">
        <v>224</v>
      </c>
      <c r="L105" s="5" t="s">
        <v>36</v>
      </c>
      <c r="M105" s="8" t="s">
        <v>182</v>
      </c>
      <c r="N105" s="5" t="s">
        <v>223</v>
      </c>
      <c r="O105" s="5" t="s">
        <v>251</v>
      </c>
      <c r="P105" s="1" t="s">
        <v>252</v>
      </c>
      <c r="Q105" s="1" t="s">
        <v>227</v>
      </c>
      <c r="R105" s="5" t="s">
        <v>228</v>
      </c>
      <c r="S105" s="5" t="s">
        <v>72</v>
      </c>
      <c r="U105" s="5" t="s">
        <v>229</v>
      </c>
      <c r="X105" s="9" t="s">
        <v>234</v>
      </c>
      <c r="Y105" s="5" t="s">
        <v>251</v>
      </c>
      <c r="Z105" s="5" t="s">
        <v>45</v>
      </c>
      <c r="AA105" s="5" t="s">
        <v>90</v>
      </c>
      <c r="AB105" s="5" t="s">
        <v>231</v>
      </c>
      <c r="AC105" s="5" t="s">
        <v>253</v>
      </c>
      <c r="AD105" s="5" t="str">
        <f>_xlfn.CONCAT(Table58911[[#This Row],[&lt;&lt;NOLA&gt;&gt;
NIEM Element]],Table58911[[#This Row],[Repeat Values per attribute]])</f>
        <v>nc:StreetNameg</v>
      </c>
    </row>
    <row r="106" spans="1:32" ht="30" customHeight="1" x14ac:dyDescent="0.3">
      <c r="A106" s="5">
        <f t="shared" si="6"/>
        <v>105</v>
      </c>
      <c r="B106" s="5">
        <f t="shared" si="10"/>
        <v>1</v>
      </c>
      <c r="C106" s="5">
        <f t="shared" si="10"/>
        <v>12</v>
      </c>
      <c r="D106" s="5">
        <f t="shared" si="8"/>
        <v>36</v>
      </c>
      <c r="E106" s="5" t="s">
        <v>32</v>
      </c>
      <c r="F106" s="5" t="s">
        <v>8</v>
      </c>
      <c r="G106" s="5">
        <v>402</v>
      </c>
      <c r="H106" s="6" t="s">
        <v>33</v>
      </c>
      <c r="I106" s="7" t="s">
        <v>254</v>
      </c>
      <c r="J106" s="5" t="s">
        <v>34</v>
      </c>
      <c r="K106" s="5" t="s">
        <v>255</v>
      </c>
      <c r="L106" s="5" t="s">
        <v>36</v>
      </c>
      <c r="M106" s="8" t="s">
        <v>37</v>
      </c>
      <c r="N106" s="5" t="s">
        <v>254</v>
      </c>
      <c r="O106" s="5" t="s">
        <v>256</v>
      </c>
      <c r="P106" s="5" t="s">
        <v>257</v>
      </c>
      <c r="Q106" s="1" t="s">
        <v>258</v>
      </c>
      <c r="R106" s="5" t="s">
        <v>259</v>
      </c>
      <c r="S106" s="5" t="s">
        <v>42</v>
      </c>
      <c r="U106" s="5" t="s">
        <v>260</v>
      </c>
      <c r="X106" s="9" t="s">
        <v>261</v>
      </c>
      <c r="Y106" s="5" t="s">
        <v>256</v>
      </c>
      <c r="Z106" s="5" t="s">
        <v>45</v>
      </c>
      <c r="AA106" s="5" t="s">
        <v>46</v>
      </c>
      <c r="AB106" s="5" t="s">
        <v>262</v>
      </c>
      <c r="AC106" s="5" t="s">
        <v>263</v>
      </c>
      <c r="AD106" s="5" t="str">
        <f>_xlfn.CONCAT(Table58911[[#This Row],[&lt;&lt;NOLA&gt;&gt;
NIEM Element]],Table58911[[#This Row],[Repeat Values per attribute]])</f>
        <v>nc:StreetNumberTexta</v>
      </c>
      <c r="AF106" s="5" t="s">
        <v>264</v>
      </c>
    </row>
    <row r="107" spans="1:32" ht="30" customHeight="1" x14ac:dyDescent="0.3">
      <c r="A107" s="5">
        <f t="shared" si="6"/>
        <v>106</v>
      </c>
      <c r="B107" s="5">
        <f t="shared" si="10"/>
        <v>1</v>
      </c>
      <c r="C107" s="5">
        <f t="shared" si="10"/>
        <v>12</v>
      </c>
      <c r="D107" s="5">
        <f t="shared" si="8"/>
        <v>36</v>
      </c>
      <c r="E107" s="5" t="s">
        <v>49</v>
      </c>
      <c r="F107" s="5" t="s">
        <v>8</v>
      </c>
      <c r="G107" s="5">
        <v>402</v>
      </c>
      <c r="H107" s="6" t="s">
        <v>33</v>
      </c>
      <c r="I107" s="7" t="s">
        <v>254</v>
      </c>
      <c r="J107" s="5" t="s">
        <v>34</v>
      </c>
      <c r="K107" s="5" t="s">
        <v>255</v>
      </c>
      <c r="L107" s="5" t="s">
        <v>36</v>
      </c>
      <c r="M107" s="8" t="s">
        <v>37</v>
      </c>
      <c r="N107" s="5" t="s">
        <v>254</v>
      </c>
      <c r="O107" s="5" t="s">
        <v>256</v>
      </c>
      <c r="P107" s="5" t="s">
        <v>257</v>
      </c>
      <c r="Q107" s="1" t="s">
        <v>258</v>
      </c>
      <c r="R107" s="5" t="s">
        <v>259</v>
      </c>
      <c r="S107" s="5" t="s">
        <v>42</v>
      </c>
      <c r="U107" s="5" t="s">
        <v>260</v>
      </c>
      <c r="X107" s="9" t="s">
        <v>265</v>
      </c>
      <c r="Y107" s="5" t="s">
        <v>256</v>
      </c>
      <c r="Z107" s="5" t="s">
        <v>45</v>
      </c>
      <c r="AA107" s="5" t="s">
        <v>46</v>
      </c>
      <c r="AB107" s="5" t="s">
        <v>262</v>
      </c>
      <c r="AC107" s="5" t="s">
        <v>263</v>
      </c>
      <c r="AD107" s="5" t="str">
        <f>_xlfn.CONCAT(Table58911[[#This Row],[&lt;&lt;NOLA&gt;&gt;
NIEM Element]],Table58911[[#This Row],[Repeat Values per attribute]])</f>
        <v>nc:StreetNumberTexta</v>
      </c>
    </row>
    <row r="108" spans="1:32" ht="30" customHeight="1" x14ac:dyDescent="0.3">
      <c r="A108" s="5">
        <f t="shared" si="6"/>
        <v>107</v>
      </c>
      <c r="B108" s="5">
        <f t="shared" si="10"/>
        <v>1</v>
      </c>
      <c r="C108" s="5">
        <f t="shared" si="10"/>
        <v>12</v>
      </c>
      <c r="D108" s="5">
        <f t="shared" si="8"/>
        <v>36</v>
      </c>
      <c r="E108" s="5" t="s">
        <v>49</v>
      </c>
      <c r="F108" s="5" t="s">
        <v>8</v>
      </c>
      <c r="G108" s="5">
        <v>402</v>
      </c>
      <c r="H108" s="6" t="s">
        <v>33</v>
      </c>
      <c r="I108" s="7" t="s">
        <v>254</v>
      </c>
      <c r="J108" s="5" t="s">
        <v>34</v>
      </c>
      <c r="K108" s="5" t="s">
        <v>255</v>
      </c>
      <c r="L108" s="5" t="s">
        <v>36</v>
      </c>
      <c r="M108" s="8" t="s">
        <v>37</v>
      </c>
      <c r="N108" s="5" t="s">
        <v>254</v>
      </c>
      <c r="O108" s="5" t="s">
        <v>256</v>
      </c>
      <c r="P108" s="5" t="s">
        <v>257</v>
      </c>
      <c r="Q108" s="1" t="s">
        <v>258</v>
      </c>
      <c r="R108" s="5" t="s">
        <v>259</v>
      </c>
      <c r="S108" s="5" t="s">
        <v>42</v>
      </c>
      <c r="U108" s="5" t="s">
        <v>260</v>
      </c>
      <c r="X108" s="9" t="s">
        <v>266</v>
      </c>
      <c r="Y108" s="5" t="s">
        <v>256</v>
      </c>
      <c r="Z108" s="5" t="s">
        <v>45</v>
      </c>
      <c r="AA108" s="5" t="s">
        <v>46</v>
      </c>
      <c r="AB108" s="5" t="s">
        <v>262</v>
      </c>
      <c r="AC108" s="5" t="s">
        <v>263</v>
      </c>
      <c r="AD108" s="5" t="str">
        <f>_xlfn.CONCAT(Table58911[[#This Row],[&lt;&lt;NOLA&gt;&gt;
NIEM Element]],Table58911[[#This Row],[Repeat Values per attribute]])</f>
        <v>nc:StreetNumberTexta</v>
      </c>
    </row>
    <row r="109" spans="1:32" ht="30" customHeight="1" x14ac:dyDescent="0.3">
      <c r="A109" s="5">
        <f t="shared" si="6"/>
        <v>108</v>
      </c>
      <c r="B109" s="5">
        <f t="shared" si="10"/>
        <v>1</v>
      </c>
      <c r="C109" s="5">
        <f t="shared" si="10"/>
        <v>12</v>
      </c>
      <c r="D109" s="5">
        <f t="shared" si="8"/>
        <v>37</v>
      </c>
      <c r="E109" s="5" t="s">
        <v>49</v>
      </c>
      <c r="F109" s="5" t="s">
        <v>8</v>
      </c>
      <c r="G109" s="5">
        <v>402</v>
      </c>
      <c r="H109" s="6" t="s">
        <v>33</v>
      </c>
      <c r="I109" s="7" t="s">
        <v>254</v>
      </c>
      <c r="J109" s="5" t="s">
        <v>34</v>
      </c>
      <c r="K109" s="5" t="s">
        <v>255</v>
      </c>
      <c r="L109" s="5" t="s">
        <v>36</v>
      </c>
      <c r="M109" s="8" t="s">
        <v>52</v>
      </c>
      <c r="N109" s="5" t="s">
        <v>254</v>
      </c>
      <c r="O109" s="5" t="s">
        <v>267</v>
      </c>
      <c r="P109" s="1" t="s">
        <v>268</v>
      </c>
      <c r="Q109" s="1" t="s">
        <v>258</v>
      </c>
      <c r="R109" s="5" t="s">
        <v>259</v>
      </c>
      <c r="S109" s="5" t="s">
        <v>42</v>
      </c>
      <c r="U109" s="5" t="s">
        <v>260</v>
      </c>
      <c r="X109" s="9" t="s">
        <v>261</v>
      </c>
      <c r="Y109" s="5" t="s">
        <v>267</v>
      </c>
      <c r="Z109" s="5" t="s">
        <v>45</v>
      </c>
      <c r="AA109" s="5" t="s">
        <v>46</v>
      </c>
      <c r="AB109" s="5" t="s">
        <v>269</v>
      </c>
      <c r="AC109" s="5" t="s">
        <v>270</v>
      </c>
      <c r="AD109" s="5" t="str">
        <f>_xlfn.CONCAT(Table58911[[#This Row],[&lt;&lt;NOLA&gt;&gt;
NIEM Element]],Table58911[[#This Row],[Repeat Values per attribute]])</f>
        <v>nc:StreetNumberTextb</v>
      </c>
    </row>
    <row r="110" spans="1:32" ht="30" customHeight="1" x14ac:dyDescent="0.3">
      <c r="A110" s="5">
        <f t="shared" si="6"/>
        <v>109</v>
      </c>
      <c r="B110" s="5">
        <f t="shared" si="10"/>
        <v>1</v>
      </c>
      <c r="C110" s="5">
        <f t="shared" si="10"/>
        <v>12</v>
      </c>
      <c r="D110" s="5">
        <f t="shared" si="8"/>
        <v>37</v>
      </c>
      <c r="E110" s="5" t="s">
        <v>49</v>
      </c>
      <c r="F110" s="5" t="s">
        <v>8</v>
      </c>
      <c r="G110" s="5">
        <v>402</v>
      </c>
      <c r="H110" s="6" t="s">
        <v>33</v>
      </c>
      <c r="I110" s="7" t="s">
        <v>254</v>
      </c>
      <c r="J110" s="5" t="s">
        <v>34</v>
      </c>
      <c r="K110" s="5" t="s">
        <v>255</v>
      </c>
      <c r="L110" s="5" t="s">
        <v>36</v>
      </c>
      <c r="M110" s="8" t="s">
        <v>52</v>
      </c>
      <c r="N110" s="5" t="s">
        <v>254</v>
      </c>
      <c r="O110" s="5" t="s">
        <v>267</v>
      </c>
      <c r="P110" s="1" t="s">
        <v>268</v>
      </c>
      <c r="Q110" s="1" t="s">
        <v>258</v>
      </c>
      <c r="R110" s="5" t="s">
        <v>259</v>
      </c>
      <c r="S110" s="5" t="s">
        <v>42</v>
      </c>
      <c r="U110" s="5" t="s">
        <v>260</v>
      </c>
      <c r="X110" s="9" t="s">
        <v>265</v>
      </c>
      <c r="Y110" s="5" t="s">
        <v>267</v>
      </c>
      <c r="Z110" s="5" t="s">
        <v>45</v>
      </c>
      <c r="AA110" s="5" t="s">
        <v>46</v>
      </c>
      <c r="AB110" s="5" t="s">
        <v>269</v>
      </c>
      <c r="AC110" s="5" t="s">
        <v>270</v>
      </c>
      <c r="AD110" s="5" t="str">
        <f>_xlfn.CONCAT(Table58911[[#This Row],[&lt;&lt;NOLA&gt;&gt;
NIEM Element]],Table58911[[#This Row],[Repeat Values per attribute]])</f>
        <v>nc:StreetNumberTextb</v>
      </c>
    </row>
    <row r="111" spans="1:32" ht="30" customHeight="1" x14ac:dyDescent="0.3">
      <c r="A111" s="5">
        <f t="shared" si="6"/>
        <v>110</v>
      </c>
      <c r="B111" s="5">
        <f t="shared" si="10"/>
        <v>1</v>
      </c>
      <c r="C111" s="5">
        <f t="shared" si="10"/>
        <v>12</v>
      </c>
      <c r="D111" s="5">
        <f t="shared" si="8"/>
        <v>37</v>
      </c>
      <c r="E111" s="5" t="s">
        <v>49</v>
      </c>
      <c r="F111" s="5" t="s">
        <v>8</v>
      </c>
      <c r="G111" s="5">
        <v>402</v>
      </c>
      <c r="H111" s="6" t="s">
        <v>33</v>
      </c>
      <c r="I111" s="7" t="s">
        <v>254</v>
      </c>
      <c r="J111" s="5" t="s">
        <v>34</v>
      </c>
      <c r="K111" s="5" t="s">
        <v>255</v>
      </c>
      <c r="L111" s="5" t="s">
        <v>36</v>
      </c>
      <c r="M111" s="8" t="s">
        <v>52</v>
      </c>
      <c r="N111" s="5" t="s">
        <v>254</v>
      </c>
      <c r="O111" s="5" t="s">
        <v>267</v>
      </c>
      <c r="P111" s="1" t="s">
        <v>268</v>
      </c>
      <c r="Q111" s="1" t="s">
        <v>258</v>
      </c>
      <c r="R111" s="5" t="s">
        <v>259</v>
      </c>
      <c r="S111" s="5" t="s">
        <v>42</v>
      </c>
      <c r="U111" s="5" t="s">
        <v>260</v>
      </c>
      <c r="X111" s="9" t="s">
        <v>266</v>
      </c>
      <c r="Y111" s="5" t="s">
        <v>267</v>
      </c>
      <c r="Z111" s="5" t="s">
        <v>45</v>
      </c>
      <c r="AA111" s="5" t="s">
        <v>46</v>
      </c>
      <c r="AB111" s="5" t="s">
        <v>269</v>
      </c>
      <c r="AC111" s="5" t="s">
        <v>270</v>
      </c>
      <c r="AD111" s="5" t="str">
        <f>_xlfn.CONCAT(Table58911[[#This Row],[&lt;&lt;NOLA&gt;&gt;
NIEM Element]],Table58911[[#This Row],[Repeat Values per attribute]])</f>
        <v>nc:StreetNumberTextb</v>
      </c>
    </row>
    <row r="112" spans="1:32" ht="30" customHeight="1" x14ac:dyDescent="0.3">
      <c r="A112" s="5">
        <f t="shared" si="6"/>
        <v>111</v>
      </c>
      <c r="B112" s="5">
        <f t="shared" si="10"/>
        <v>1</v>
      </c>
      <c r="C112" s="5">
        <f t="shared" si="10"/>
        <v>12</v>
      </c>
      <c r="D112" s="5">
        <f t="shared" si="8"/>
        <v>38</v>
      </c>
      <c r="E112" s="5" t="s">
        <v>49</v>
      </c>
      <c r="F112" s="5" t="s">
        <v>8</v>
      </c>
      <c r="G112" s="5">
        <v>402</v>
      </c>
      <c r="H112" s="6" t="s">
        <v>33</v>
      </c>
      <c r="I112" s="7" t="s">
        <v>254</v>
      </c>
      <c r="J112" s="5" t="s">
        <v>34</v>
      </c>
      <c r="K112" s="5" t="s">
        <v>255</v>
      </c>
      <c r="L112" s="5" t="s">
        <v>36</v>
      </c>
      <c r="M112" s="8" t="s">
        <v>57</v>
      </c>
      <c r="N112" s="5" t="s">
        <v>254</v>
      </c>
      <c r="O112" s="5" t="s">
        <v>271</v>
      </c>
      <c r="P112" s="1" t="s">
        <v>272</v>
      </c>
      <c r="Q112" s="1" t="s">
        <v>258</v>
      </c>
      <c r="R112" s="5" t="s">
        <v>259</v>
      </c>
      <c r="S112" s="5" t="s">
        <v>42</v>
      </c>
      <c r="U112" s="5" t="s">
        <v>260</v>
      </c>
      <c r="X112" s="9" t="s">
        <v>261</v>
      </c>
      <c r="Y112" s="5" t="s">
        <v>271</v>
      </c>
      <c r="Z112" s="5" t="s">
        <v>45</v>
      </c>
      <c r="AA112" s="5" t="s">
        <v>46</v>
      </c>
      <c r="AB112" s="5" t="s">
        <v>273</v>
      </c>
      <c r="AC112" s="5" t="s">
        <v>274</v>
      </c>
      <c r="AD112" s="5" t="str">
        <f>_xlfn.CONCAT(Table58911[[#This Row],[&lt;&lt;NOLA&gt;&gt;
NIEM Element]],Table58911[[#This Row],[Repeat Values per attribute]])</f>
        <v>nc:StreetNumberTextc</v>
      </c>
    </row>
    <row r="113" spans="1:30" ht="30" customHeight="1" x14ac:dyDescent="0.3">
      <c r="A113" s="5">
        <f t="shared" si="6"/>
        <v>112</v>
      </c>
      <c r="B113" s="5">
        <f t="shared" si="10"/>
        <v>1</v>
      </c>
      <c r="C113" s="5">
        <f t="shared" si="10"/>
        <v>12</v>
      </c>
      <c r="D113" s="5">
        <f t="shared" si="8"/>
        <v>38</v>
      </c>
      <c r="E113" s="5" t="s">
        <v>49</v>
      </c>
      <c r="F113" s="5" t="s">
        <v>8</v>
      </c>
      <c r="G113" s="5">
        <v>402</v>
      </c>
      <c r="H113" s="6" t="s">
        <v>33</v>
      </c>
      <c r="I113" s="7" t="s">
        <v>254</v>
      </c>
      <c r="J113" s="5" t="s">
        <v>34</v>
      </c>
      <c r="K113" s="5" t="s">
        <v>255</v>
      </c>
      <c r="L113" s="5" t="s">
        <v>36</v>
      </c>
      <c r="M113" s="8" t="s">
        <v>57</v>
      </c>
      <c r="N113" s="5" t="s">
        <v>254</v>
      </c>
      <c r="O113" s="5" t="s">
        <v>271</v>
      </c>
      <c r="P113" s="1" t="s">
        <v>272</v>
      </c>
      <c r="Q113" s="1" t="s">
        <v>258</v>
      </c>
      <c r="R113" s="5" t="s">
        <v>259</v>
      </c>
      <c r="S113" s="5" t="s">
        <v>42</v>
      </c>
      <c r="U113" s="5" t="s">
        <v>260</v>
      </c>
      <c r="X113" s="9" t="s">
        <v>265</v>
      </c>
      <c r="Y113" s="5" t="s">
        <v>271</v>
      </c>
      <c r="Z113" s="5" t="s">
        <v>45</v>
      </c>
      <c r="AA113" s="5" t="s">
        <v>46</v>
      </c>
      <c r="AB113" s="5" t="s">
        <v>273</v>
      </c>
      <c r="AC113" s="5" t="s">
        <v>274</v>
      </c>
      <c r="AD113" s="5" t="str">
        <f>_xlfn.CONCAT(Table58911[[#This Row],[&lt;&lt;NOLA&gt;&gt;
NIEM Element]],Table58911[[#This Row],[Repeat Values per attribute]])</f>
        <v>nc:StreetNumberTextc</v>
      </c>
    </row>
    <row r="114" spans="1:30" ht="30" customHeight="1" x14ac:dyDescent="0.3">
      <c r="A114" s="5">
        <f t="shared" si="6"/>
        <v>113</v>
      </c>
      <c r="B114" s="5">
        <f t="shared" ref="B114:C129" si="11">IF(H113=H114,B113,B113+1)</f>
        <v>1</v>
      </c>
      <c r="C114" s="5">
        <f t="shared" si="11"/>
        <v>12</v>
      </c>
      <c r="D114" s="5">
        <f t="shared" si="8"/>
        <v>38</v>
      </c>
      <c r="E114" s="5" t="s">
        <v>49</v>
      </c>
      <c r="F114" s="5" t="s">
        <v>8</v>
      </c>
      <c r="G114" s="5">
        <v>402</v>
      </c>
      <c r="H114" s="6" t="s">
        <v>33</v>
      </c>
      <c r="I114" s="7" t="s">
        <v>254</v>
      </c>
      <c r="J114" s="5" t="s">
        <v>34</v>
      </c>
      <c r="K114" s="5" t="s">
        <v>255</v>
      </c>
      <c r="L114" s="5" t="s">
        <v>36</v>
      </c>
      <c r="M114" s="8" t="s">
        <v>57</v>
      </c>
      <c r="N114" s="5" t="s">
        <v>254</v>
      </c>
      <c r="O114" s="5" t="s">
        <v>271</v>
      </c>
      <c r="P114" s="1" t="s">
        <v>272</v>
      </c>
      <c r="Q114" s="1" t="s">
        <v>258</v>
      </c>
      <c r="R114" s="5" t="s">
        <v>259</v>
      </c>
      <c r="S114" s="5" t="s">
        <v>42</v>
      </c>
      <c r="U114" s="5" t="s">
        <v>260</v>
      </c>
      <c r="X114" s="9" t="s">
        <v>266</v>
      </c>
      <c r="Y114" s="5" t="s">
        <v>271</v>
      </c>
      <c r="Z114" s="5" t="s">
        <v>45</v>
      </c>
      <c r="AA114" s="5" t="s">
        <v>46</v>
      </c>
      <c r="AB114" s="5" t="s">
        <v>273</v>
      </c>
      <c r="AC114" s="5" t="s">
        <v>274</v>
      </c>
      <c r="AD114" s="5" t="str">
        <f>_xlfn.CONCAT(Table58911[[#This Row],[&lt;&lt;NOLA&gt;&gt;
NIEM Element]],Table58911[[#This Row],[Repeat Values per attribute]])</f>
        <v>nc:StreetNumberTextc</v>
      </c>
    </row>
    <row r="115" spans="1:30" ht="30" customHeight="1" x14ac:dyDescent="0.3">
      <c r="A115" s="5">
        <f t="shared" si="6"/>
        <v>114</v>
      </c>
      <c r="B115" s="5">
        <f t="shared" si="11"/>
        <v>1</v>
      </c>
      <c r="C115" s="5">
        <f t="shared" si="11"/>
        <v>12</v>
      </c>
      <c r="D115" s="5">
        <f t="shared" si="8"/>
        <v>39</v>
      </c>
      <c r="E115" s="5" t="s">
        <v>49</v>
      </c>
      <c r="F115" s="5" t="s">
        <v>8</v>
      </c>
      <c r="G115" s="5">
        <v>402</v>
      </c>
      <c r="H115" s="6" t="s">
        <v>33</v>
      </c>
      <c r="I115" s="7" t="s">
        <v>254</v>
      </c>
      <c r="J115" s="5" t="s">
        <v>34</v>
      </c>
      <c r="K115" s="5" t="s">
        <v>255</v>
      </c>
      <c r="L115" s="5" t="s">
        <v>36</v>
      </c>
      <c r="M115" s="8" t="s">
        <v>49</v>
      </c>
      <c r="N115" s="5" t="s">
        <v>254</v>
      </c>
      <c r="O115" s="5" t="s">
        <v>275</v>
      </c>
      <c r="P115" s="1" t="s">
        <v>276</v>
      </c>
      <c r="Q115" s="1" t="s">
        <v>258</v>
      </c>
      <c r="R115" s="5" t="s">
        <v>259</v>
      </c>
      <c r="S115" s="5" t="s">
        <v>42</v>
      </c>
      <c r="U115" s="5" t="s">
        <v>260</v>
      </c>
      <c r="X115" s="9" t="s">
        <v>261</v>
      </c>
      <c r="Y115" s="5" t="s">
        <v>275</v>
      </c>
      <c r="Z115" s="5" t="s">
        <v>45</v>
      </c>
      <c r="AA115" s="5" t="s">
        <v>46</v>
      </c>
      <c r="AB115" s="5" t="s">
        <v>277</v>
      </c>
      <c r="AC115" s="5" t="s">
        <v>278</v>
      </c>
      <c r="AD115" s="5" t="str">
        <f>_xlfn.CONCAT(Table58911[[#This Row],[&lt;&lt;NOLA&gt;&gt;
NIEM Element]],Table58911[[#This Row],[Repeat Values per attribute]])</f>
        <v>nc:StreetNumberTextd</v>
      </c>
    </row>
    <row r="116" spans="1:30" ht="30" customHeight="1" x14ac:dyDescent="0.3">
      <c r="A116" s="5">
        <f t="shared" si="6"/>
        <v>115</v>
      </c>
      <c r="B116" s="5">
        <f t="shared" si="11"/>
        <v>1</v>
      </c>
      <c r="C116" s="5">
        <f t="shared" si="11"/>
        <v>12</v>
      </c>
      <c r="D116" s="5">
        <f t="shared" si="8"/>
        <v>39</v>
      </c>
      <c r="E116" s="5" t="s">
        <v>49</v>
      </c>
      <c r="F116" s="5" t="s">
        <v>8</v>
      </c>
      <c r="G116" s="5">
        <v>402</v>
      </c>
      <c r="H116" s="6" t="s">
        <v>33</v>
      </c>
      <c r="I116" s="7" t="s">
        <v>254</v>
      </c>
      <c r="J116" s="5" t="s">
        <v>34</v>
      </c>
      <c r="K116" s="5" t="s">
        <v>255</v>
      </c>
      <c r="L116" s="5" t="s">
        <v>36</v>
      </c>
      <c r="M116" s="8" t="s">
        <v>49</v>
      </c>
      <c r="N116" s="5" t="s">
        <v>254</v>
      </c>
      <c r="O116" s="5" t="s">
        <v>275</v>
      </c>
      <c r="P116" s="1" t="s">
        <v>276</v>
      </c>
      <c r="Q116" s="1" t="s">
        <v>258</v>
      </c>
      <c r="R116" s="5" t="s">
        <v>259</v>
      </c>
      <c r="S116" s="5" t="s">
        <v>42</v>
      </c>
      <c r="U116" s="5" t="s">
        <v>260</v>
      </c>
      <c r="X116" s="9" t="s">
        <v>265</v>
      </c>
      <c r="Y116" s="5" t="s">
        <v>275</v>
      </c>
      <c r="Z116" s="5" t="s">
        <v>45</v>
      </c>
      <c r="AA116" s="5" t="s">
        <v>46</v>
      </c>
      <c r="AB116" s="5" t="s">
        <v>277</v>
      </c>
      <c r="AC116" s="5" t="s">
        <v>278</v>
      </c>
      <c r="AD116" s="5" t="str">
        <f>_xlfn.CONCAT(Table58911[[#This Row],[&lt;&lt;NOLA&gt;&gt;
NIEM Element]],Table58911[[#This Row],[Repeat Values per attribute]])</f>
        <v>nc:StreetNumberTextd</v>
      </c>
    </row>
    <row r="117" spans="1:30" ht="30" customHeight="1" x14ac:dyDescent="0.3">
      <c r="A117" s="5">
        <f t="shared" si="6"/>
        <v>116</v>
      </c>
      <c r="B117" s="5">
        <f t="shared" si="11"/>
        <v>1</v>
      </c>
      <c r="C117" s="5">
        <f t="shared" si="11"/>
        <v>12</v>
      </c>
      <c r="D117" s="5">
        <f t="shared" si="8"/>
        <v>39</v>
      </c>
      <c r="E117" s="5" t="s">
        <v>49</v>
      </c>
      <c r="F117" s="5" t="s">
        <v>8</v>
      </c>
      <c r="G117" s="5">
        <v>402</v>
      </c>
      <c r="H117" s="6" t="s">
        <v>33</v>
      </c>
      <c r="I117" s="7" t="s">
        <v>254</v>
      </c>
      <c r="J117" s="5" t="s">
        <v>34</v>
      </c>
      <c r="K117" s="5" t="s">
        <v>255</v>
      </c>
      <c r="L117" s="5" t="s">
        <v>36</v>
      </c>
      <c r="M117" s="8" t="s">
        <v>49</v>
      </c>
      <c r="N117" s="5" t="s">
        <v>254</v>
      </c>
      <c r="O117" s="5" t="s">
        <v>275</v>
      </c>
      <c r="P117" s="1" t="s">
        <v>276</v>
      </c>
      <c r="Q117" s="1" t="s">
        <v>258</v>
      </c>
      <c r="R117" s="5" t="s">
        <v>259</v>
      </c>
      <c r="S117" s="5" t="s">
        <v>42</v>
      </c>
      <c r="U117" s="5" t="s">
        <v>260</v>
      </c>
      <c r="X117" s="9" t="s">
        <v>266</v>
      </c>
      <c r="Y117" s="5" t="s">
        <v>275</v>
      </c>
      <c r="Z117" s="5" t="s">
        <v>45</v>
      </c>
      <c r="AA117" s="5" t="s">
        <v>46</v>
      </c>
      <c r="AB117" s="5" t="s">
        <v>277</v>
      </c>
      <c r="AC117" s="5" t="s">
        <v>278</v>
      </c>
      <c r="AD117" s="5" t="str">
        <f>_xlfn.CONCAT(Table58911[[#This Row],[&lt;&lt;NOLA&gt;&gt;
NIEM Element]],Table58911[[#This Row],[Repeat Values per attribute]])</f>
        <v>nc:StreetNumberTextd</v>
      </c>
    </row>
    <row r="118" spans="1:30" ht="30" customHeight="1" x14ac:dyDescent="0.3">
      <c r="A118" s="5">
        <f t="shared" si="6"/>
        <v>117</v>
      </c>
      <c r="B118" s="5">
        <f t="shared" si="11"/>
        <v>1</v>
      </c>
      <c r="C118" s="5">
        <f t="shared" si="11"/>
        <v>12</v>
      </c>
      <c r="D118" s="5">
        <f t="shared" si="8"/>
        <v>40</v>
      </c>
      <c r="E118" s="5" t="s">
        <v>49</v>
      </c>
      <c r="F118" s="5" t="s">
        <v>8</v>
      </c>
      <c r="G118" s="5">
        <v>402</v>
      </c>
      <c r="H118" s="6" t="s">
        <v>33</v>
      </c>
      <c r="I118" s="7" t="s">
        <v>254</v>
      </c>
      <c r="J118" s="5" t="s">
        <v>34</v>
      </c>
      <c r="K118" s="5" t="s">
        <v>255</v>
      </c>
      <c r="L118" s="5" t="s">
        <v>36</v>
      </c>
      <c r="M118" s="8" t="s">
        <v>87</v>
      </c>
      <c r="N118" s="5" t="s">
        <v>254</v>
      </c>
      <c r="O118" s="5" t="s">
        <v>279</v>
      </c>
      <c r="P118" s="1" t="s">
        <v>280</v>
      </c>
      <c r="Q118" s="1" t="s">
        <v>258</v>
      </c>
      <c r="R118" s="5" t="s">
        <v>259</v>
      </c>
      <c r="S118" s="5" t="s">
        <v>42</v>
      </c>
      <c r="U118" s="5" t="s">
        <v>260</v>
      </c>
      <c r="X118" s="9" t="s">
        <v>261</v>
      </c>
      <c r="Y118" s="5" t="s">
        <v>279</v>
      </c>
      <c r="Z118" s="5" t="s">
        <v>45</v>
      </c>
      <c r="AA118" s="5" t="s">
        <v>46</v>
      </c>
      <c r="AB118" s="5" t="s">
        <v>281</v>
      </c>
      <c r="AC118" s="5" t="s">
        <v>282</v>
      </c>
      <c r="AD118" s="5" t="str">
        <f>_xlfn.CONCAT(Table58911[[#This Row],[&lt;&lt;NOLA&gt;&gt;
NIEM Element]],Table58911[[#This Row],[Repeat Values per attribute]])</f>
        <v>nc:StreetNumberTexte</v>
      </c>
    </row>
    <row r="119" spans="1:30" ht="30" customHeight="1" x14ac:dyDescent="0.3">
      <c r="A119" s="5">
        <f t="shared" si="6"/>
        <v>118</v>
      </c>
      <c r="B119" s="5">
        <f t="shared" si="11"/>
        <v>1</v>
      </c>
      <c r="C119" s="5">
        <f t="shared" si="11"/>
        <v>12</v>
      </c>
      <c r="D119" s="5">
        <f t="shared" si="8"/>
        <v>40</v>
      </c>
      <c r="E119" s="5" t="s">
        <v>49</v>
      </c>
      <c r="F119" s="5" t="s">
        <v>8</v>
      </c>
      <c r="G119" s="5">
        <v>402</v>
      </c>
      <c r="H119" s="6" t="s">
        <v>33</v>
      </c>
      <c r="I119" s="7" t="s">
        <v>254</v>
      </c>
      <c r="J119" s="5" t="s">
        <v>34</v>
      </c>
      <c r="K119" s="5" t="s">
        <v>255</v>
      </c>
      <c r="L119" s="5" t="s">
        <v>36</v>
      </c>
      <c r="M119" s="8" t="s">
        <v>87</v>
      </c>
      <c r="N119" s="5" t="s">
        <v>254</v>
      </c>
      <c r="O119" s="5" t="s">
        <v>279</v>
      </c>
      <c r="P119" s="1" t="s">
        <v>280</v>
      </c>
      <c r="Q119" s="1" t="s">
        <v>258</v>
      </c>
      <c r="R119" s="5" t="s">
        <v>259</v>
      </c>
      <c r="S119" s="5" t="s">
        <v>42</v>
      </c>
      <c r="U119" s="5" t="s">
        <v>260</v>
      </c>
      <c r="X119" s="9" t="s">
        <v>265</v>
      </c>
      <c r="Y119" s="5" t="s">
        <v>279</v>
      </c>
      <c r="Z119" s="5" t="s">
        <v>45</v>
      </c>
      <c r="AA119" s="5" t="s">
        <v>46</v>
      </c>
      <c r="AB119" s="5" t="s">
        <v>281</v>
      </c>
      <c r="AC119" s="5" t="s">
        <v>282</v>
      </c>
      <c r="AD119" s="5" t="str">
        <f>_xlfn.CONCAT(Table58911[[#This Row],[&lt;&lt;NOLA&gt;&gt;
NIEM Element]],Table58911[[#This Row],[Repeat Values per attribute]])</f>
        <v>nc:StreetNumberTexte</v>
      </c>
    </row>
    <row r="120" spans="1:30" ht="30" customHeight="1" x14ac:dyDescent="0.3">
      <c r="A120" s="5">
        <f t="shared" si="6"/>
        <v>119</v>
      </c>
      <c r="B120" s="5">
        <f t="shared" si="11"/>
        <v>1</v>
      </c>
      <c r="C120" s="5">
        <f t="shared" si="11"/>
        <v>12</v>
      </c>
      <c r="D120" s="5">
        <f t="shared" si="8"/>
        <v>40</v>
      </c>
      <c r="E120" s="5" t="s">
        <v>49</v>
      </c>
      <c r="F120" s="5" t="s">
        <v>8</v>
      </c>
      <c r="G120" s="5">
        <v>402</v>
      </c>
      <c r="H120" s="6" t="s">
        <v>33</v>
      </c>
      <c r="I120" s="7" t="s">
        <v>254</v>
      </c>
      <c r="J120" s="5" t="s">
        <v>34</v>
      </c>
      <c r="K120" s="5" t="s">
        <v>255</v>
      </c>
      <c r="L120" s="5" t="s">
        <v>36</v>
      </c>
      <c r="M120" s="8" t="s">
        <v>87</v>
      </c>
      <c r="N120" s="5" t="s">
        <v>254</v>
      </c>
      <c r="O120" s="5" t="s">
        <v>279</v>
      </c>
      <c r="P120" s="1" t="s">
        <v>280</v>
      </c>
      <c r="Q120" s="1" t="s">
        <v>258</v>
      </c>
      <c r="R120" s="5" t="s">
        <v>259</v>
      </c>
      <c r="S120" s="5" t="s">
        <v>42</v>
      </c>
      <c r="U120" s="5" t="s">
        <v>260</v>
      </c>
      <c r="X120" s="9" t="s">
        <v>266</v>
      </c>
      <c r="Y120" s="5" t="s">
        <v>279</v>
      </c>
      <c r="Z120" s="5" t="s">
        <v>45</v>
      </c>
      <c r="AA120" s="5" t="s">
        <v>46</v>
      </c>
      <c r="AB120" s="5" t="s">
        <v>281</v>
      </c>
      <c r="AC120" s="5" t="s">
        <v>282</v>
      </c>
      <c r="AD120" s="5" t="str">
        <f>_xlfn.CONCAT(Table58911[[#This Row],[&lt;&lt;NOLA&gt;&gt;
NIEM Element]],Table58911[[#This Row],[Repeat Values per attribute]])</f>
        <v>nc:StreetNumberTexte</v>
      </c>
    </row>
    <row r="121" spans="1:30" ht="30" customHeight="1" x14ac:dyDescent="0.3">
      <c r="A121" s="5">
        <f t="shared" si="6"/>
        <v>120</v>
      </c>
      <c r="B121" s="5">
        <f t="shared" si="11"/>
        <v>1</v>
      </c>
      <c r="C121" s="5">
        <f t="shared" si="11"/>
        <v>12</v>
      </c>
      <c r="D121" s="5">
        <f t="shared" si="8"/>
        <v>41</v>
      </c>
      <c r="E121" s="5" t="s">
        <v>32</v>
      </c>
      <c r="F121" s="5" t="s">
        <v>8</v>
      </c>
      <c r="G121" s="5">
        <v>402</v>
      </c>
      <c r="H121" s="6" t="s">
        <v>33</v>
      </c>
      <c r="I121" s="7" t="s">
        <v>254</v>
      </c>
      <c r="J121" s="5" t="s">
        <v>34</v>
      </c>
      <c r="K121" s="5" t="s">
        <v>255</v>
      </c>
      <c r="L121" s="5" t="s">
        <v>36</v>
      </c>
      <c r="M121" s="8" t="s">
        <v>182</v>
      </c>
      <c r="N121" s="5" t="s">
        <v>254</v>
      </c>
      <c r="O121" s="5" t="s">
        <v>283</v>
      </c>
      <c r="P121" s="1" t="s">
        <v>284</v>
      </c>
      <c r="Q121" s="1" t="s">
        <v>258</v>
      </c>
      <c r="R121" s="5" t="s">
        <v>259</v>
      </c>
      <c r="S121" s="5" t="s">
        <v>42</v>
      </c>
      <c r="U121" s="5" t="s">
        <v>260</v>
      </c>
      <c r="X121" s="9" t="s">
        <v>261</v>
      </c>
      <c r="Y121" s="5" t="s">
        <v>283</v>
      </c>
      <c r="Z121" s="5" t="s">
        <v>45</v>
      </c>
      <c r="AA121" s="5" t="s">
        <v>90</v>
      </c>
      <c r="AB121" s="5" t="s">
        <v>262</v>
      </c>
      <c r="AC121" s="5" t="s">
        <v>285</v>
      </c>
      <c r="AD121" s="5" t="str">
        <f>_xlfn.CONCAT(Table58911[[#This Row],[&lt;&lt;NOLA&gt;&gt;
NIEM Element]],Table58911[[#This Row],[Repeat Values per attribute]])</f>
        <v>nc:StreetNumberTextg</v>
      </c>
    </row>
    <row r="122" spans="1:30" ht="30" customHeight="1" x14ac:dyDescent="0.3">
      <c r="A122" s="5">
        <f t="shared" si="6"/>
        <v>121</v>
      </c>
      <c r="B122" s="5">
        <f t="shared" si="11"/>
        <v>1</v>
      </c>
      <c r="C122" s="5">
        <f t="shared" si="11"/>
        <v>12</v>
      </c>
      <c r="D122" s="5">
        <f t="shared" si="8"/>
        <v>41</v>
      </c>
      <c r="E122" s="5" t="s">
        <v>49</v>
      </c>
      <c r="F122" s="5" t="s">
        <v>8</v>
      </c>
      <c r="G122" s="5">
        <v>402</v>
      </c>
      <c r="H122" s="6" t="s">
        <v>33</v>
      </c>
      <c r="I122" s="7" t="s">
        <v>254</v>
      </c>
      <c r="J122" s="5" t="s">
        <v>34</v>
      </c>
      <c r="K122" s="5" t="s">
        <v>255</v>
      </c>
      <c r="L122" s="5" t="s">
        <v>36</v>
      </c>
      <c r="M122" s="8" t="s">
        <v>182</v>
      </c>
      <c r="N122" s="5" t="s">
        <v>254</v>
      </c>
      <c r="O122" s="5" t="s">
        <v>283</v>
      </c>
      <c r="P122" s="1" t="s">
        <v>284</v>
      </c>
      <c r="Q122" s="1" t="s">
        <v>258</v>
      </c>
      <c r="R122" s="5" t="s">
        <v>259</v>
      </c>
      <c r="S122" s="5" t="s">
        <v>42</v>
      </c>
      <c r="U122" s="5" t="s">
        <v>260</v>
      </c>
      <c r="X122" s="9" t="s">
        <v>265</v>
      </c>
      <c r="Y122" s="5" t="s">
        <v>283</v>
      </c>
      <c r="Z122" s="5" t="s">
        <v>45</v>
      </c>
      <c r="AA122" s="5" t="s">
        <v>90</v>
      </c>
      <c r="AB122" s="5" t="s">
        <v>262</v>
      </c>
      <c r="AC122" s="5" t="s">
        <v>285</v>
      </c>
      <c r="AD122" s="5" t="str">
        <f>_xlfn.CONCAT(Table58911[[#This Row],[&lt;&lt;NOLA&gt;&gt;
NIEM Element]],Table58911[[#This Row],[Repeat Values per attribute]])</f>
        <v>nc:StreetNumberTextg</v>
      </c>
    </row>
    <row r="123" spans="1:30" ht="30" customHeight="1" x14ac:dyDescent="0.3">
      <c r="A123" s="5">
        <f t="shared" si="6"/>
        <v>122</v>
      </c>
      <c r="B123" s="5">
        <f t="shared" si="11"/>
        <v>1</v>
      </c>
      <c r="C123" s="5">
        <f t="shared" si="11"/>
        <v>12</v>
      </c>
      <c r="D123" s="5">
        <f t="shared" si="8"/>
        <v>41</v>
      </c>
      <c r="E123" s="5" t="s">
        <v>49</v>
      </c>
      <c r="F123" s="5" t="s">
        <v>8</v>
      </c>
      <c r="G123" s="5">
        <v>402</v>
      </c>
      <c r="H123" s="6" t="s">
        <v>33</v>
      </c>
      <c r="I123" s="7" t="s">
        <v>254</v>
      </c>
      <c r="J123" s="5" t="s">
        <v>34</v>
      </c>
      <c r="K123" s="5" t="s">
        <v>255</v>
      </c>
      <c r="L123" s="5" t="s">
        <v>36</v>
      </c>
      <c r="M123" s="8" t="s">
        <v>182</v>
      </c>
      <c r="N123" s="5" t="s">
        <v>254</v>
      </c>
      <c r="O123" s="5" t="s">
        <v>283</v>
      </c>
      <c r="P123" s="1" t="s">
        <v>284</v>
      </c>
      <c r="Q123" s="1" t="s">
        <v>258</v>
      </c>
      <c r="R123" s="5" t="s">
        <v>259</v>
      </c>
      <c r="S123" s="5" t="s">
        <v>42</v>
      </c>
      <c r="U123" s="5" t="s">
        <v>260</v>
      </c>
      <c r="X123" s="9" t="s">
        <v>266</v>
      </c>
      <c r="Y123" s="5" t="s">
        <v>283</v>
      </c>
      <c r="Z123" s="5" t="s">
        <v>45</v>
      </c>
      <c r="AA123" s="5" t="s">
        <v>90</v>
      </c>
      <c r="AB123" s="5" t="s">
        <v>262</v>
      </c>
      <c r="AC123" s="5" t="s">
        <v>285</v>
      </c>
      <c r="AD123" s="5" t="str">
        <f>_xlfn.CONCAT(Table58911[[#This Row],[&lt;&lt;NOLA&gt;&gt;
NIEM Element]],Table58911[[#This Row],[Repeat Values per attribute]])</f>
        <v>nc:StreetNumberTextg</v>
      </c>
    </row>
    <row r="124" spans="1:30" ht="30" customHeight="1" x14ac:dyDescent="0.3">
      <c r="A124" s="5">
        <f t="shared" si="6"/>
        <v>123</v>
      </c>
      <c r="B124" s="5">
        <f t="shared" si="11"/>
        <v>1</v>
      </c>
      <c r="C124" s="5">
        <f t="shared" si="11"/>
        <v>13</v>
      </c>
      <c r="D124" s="5">
        <f t="shared" si="8"/>
        <v>42</v>
      </c>
      <c r="E124" s="5" t="s">
        <v>49</v>
      </c>
      <c r="F124" s="5" t="s">
        <v>8</v>
      </c>
      <c r="G124" s="5">
        <v>403</v>
      </c>
      <c r="H124" s="6" t="s">
        <v>33</v>
      </c>
      <c r="I124" s="7" t="s">
        <v>286</v>
      </c>
      <c r="J124" s="5" t="s">
        <v>34</v>
      </c>
      <c r="K124" s="5" t="s">
        <v>287</v>
      </c>
      <c r="L124" s="5" t="s">
        <v>36</v>
      </c>
      <c r="M124" s="8" t="s">
        <v>37</v>
      </c>
      <c r="N124" s="5" t="s">
        <v>286</v>
      </c>
      <c r="O124" s="5" t="s">
        <v>288</v>
      </c>
      <c r="P124" s="5" t="s">
        <v>289</v>
      </c>
      <c r="Q124" s="1" t="s">
        <v>290</v>
      </c>
      <c r="R124" s="5" t="s">
        <v>291</v>
      </c>
      <c r="S124" s="5" t="s">
        <v>42</v>
      </c>
      <c r="U124" s="5" t="s">
        <v>292</v>
      </c>
      <c r="X124" s="9" t="s">
        <v>293</v>
      </c>
      <c r="Y124" s="5" t="s">
        <v>288</v>
      </c>
      <c r="Z124" s="5" t="s">
        <v>45</v>
      </c>
      <c r="AA124" s="5" t="s">
        <v>46</v>
      </c>
      <c r="AB124" s="5" t="s">
        <v>294</v>
      </c>
      <c r="AC124" s="5" t="s">
        <v>295</v>
      </c>
      <c r="AD124" s="5" t="str">
        <f>_xlfn.CONCAT(Table58911[[#This Row],[&lt;&lt;NOLA&gt;&gt;
NIEM Element]],Table58911[[#This Row],[Repeat Values per attribute]])</f>
        <v>nc:StreetDirectionalTexta</v>
      </c>
    </row>
    <row r="125" spans="1:30" ht="30" customHeight="1" x14ac:dyDescent="0.3">
      <c r="A125" s="5">
        <f t="shared" si="6"/>
        <v>124</v>
      </c>
      <c r="B125" s="5">
        <f t="shared" si="11"/>
        <v>1</v>
      </c>
      <c r="C125" s="5">
        <f t="shared" si="11"/>
        <v>13</v>
      </c>
      <c r="D125" s="5">
        <f t="shared" si="8"/>
        <v>42</v>
      </c>
      <c r="E125" s="5" t="s">
        <v>49</v>
      </c>
      <c r="F125" s="5" t="s">
        <v>8</v>
      </c>
      <c r="G125" s="5">
        <v>403</v>
      </c>
      <c r="H125" s="6" t="s">
        <v>33</v>
      </c>
      <c r="I125" s="7" t="s">
        <v>286</v>
      </c>
      <c r="J125" s="5" t="s">
        <v>34</v>
      </c>
      <c r="K125" s="5" t="s">
        <v>287</v>
      </c>
      <c r="L125" s="5" t="s">
        <v>36</v>
      </c>
      <c r="M125" s="8" t="s">
        <v>37</v>
      </c>
      <c r="N125" s="5" t="s">
        <v>286</v>
      </c>
      <c r="O125" s="5" t="s">
        <v>288</v>
      </c>
      <c r="P125" s="5" t="s">
        <v>289</v>
      </c>
      <c r="Q125" s="1" t="s">
        <v>290</v>
      </c>
      <c r="R125" s="5" t="s">
        <v>291</v>
      </c>
      <c r="S125" s="5" t="s">
        <v>42</v>
      </c>
      <c r="U125" s="5" t="s">
        <v>292</v>
      </c>
      <c r="X125" s="9" t="s">
        <v>296</v>
      </c>
      <c r="Y125" s="5" t="s">
        <v>288</v>
      </c>
      <c r="Z125" s="5" t="s">
        <v>45</v>
      </c>
      <c r="AA125" s="5" t="s">
        <v>46</v>
      </c>
      <c r="AB125" s="5" t="s">
        <v>294</v>
      </c>
      <c r="AC125" s="5" t="s">
        <v>295</v>
      </c>
      <c r="AD125" s="5" t="str">
        <f>_xlfn.CONCAT(Table58911[[#This Row],[&lt;&lt;NOLA&gt;&gt;
NIEM Element]],Table58911[[#This Row],[Repeat Values per attribute]])</f>
        <v>nc:StreetDirectionalTexta</v>
      </c>
    </row>
    <row r="126" spans="1:30" ht="30" customHeight="1" x14ac:dyDescent="0.3">
      <c r="A126" s="5">
        <f t="shared" si="6"/>
        <v>125</v>
      </c>
      <c r="B126" s="5">
        <f t="shared" si="11"/>
        <v>1</v>
      </c>
      <c r="C126" s="5">
        <f t="shared" si="11"/>
        <v>13</v>
      </c>
      <c r="D126" s="5">
        <f t="shared" si="8"/>
        <v>42</v>
      </c>
      <c r="E126" s="5" t="s">
        <v>49</v>
      </c>
      <c r="F126" s="5" t="s">
        <v>8</v>
      </c>
      <c r="G126" s="5">
        <v>403</v>
      </c>
      <c r="H126" s="6" t="s">
        <v>33</v>
      </c>
      <c r="I126" s="7" t="s">
        <v>286</v>
      </c>
      <c r="J126" s="5" t="s">
        <v>34</v>
      </c>
      <c r="K126" s="5" t="s">
        <v>287</v>
      </c>
      <c r="L126" s="5" t="s">
        <v>36</v>
      </c>
      <c r="M126" s="8" t="s">
        <v>37</v>
      </c>
      <c r="N126" s="5" t="s">
        <v>286</v>
      </c>
      <c r="O126" s="5" t="s">
        <v>288</v>
      </c>
      <c r="P126" s="5" t="s">
        <v>289</v>
      </c>
      <c r="Q126" s="1" t="s">
        <v>290</v>
      </c>
      <c r="R126" s="5" t="s">
        <v>291</v>
      </c>
      <c r="S126" s="5" t="s">
        <v>42</v>
      </c>
      <c r="U126" s="5" t="s">
        <v>292</v>
      </c>
      <c r="X126" s="9" t="s">
        <v>297</v>
      </c>
      <c r="Y126" s="5" t="s">
        <v>288</v>
      </c>
      <c r="Z126" s="5" t="s">
        <v>45</v>
      </c>
      <c r="AA126" s="5" t="s">
        <v>46</v>
      </c>
      <c r="AB126" s="5" t="s">
        <v>294</v>
      </c>
      <c r="AC126" s="5" t="s">
        <v>295</v>
      </c>
      <c r="AD126" s="5" t="str">
        <f>_xlfn.CONCAT(Table58911[[#This Row],[&lt;&lt;NOLA&gt;&gt;
NIEM Element]],Table58911[[#This Row],[Repeat Values per attribute]])</f>
        <v>nc:StreetDirectionalTexta</v>
      </c>
    </row>
    <row r="127" spans="1:30" ht="30" customHeight="1" x14ac:dyDescent="0.3">
      <c r="A127" s="5">
        <f t="shared" si="6"/>
        <v>126</v>
      </c>
      <c r="B127" s="5">
        <f t="shared" si="11"/>
        <v>1</v>
      </c>
      <c r="C127" s="5">
        <f t="shared" si="11"/>
        <v>13</v>
      </c>
      <c r="D127" s="5">
        <f t="shared" si="8"/>
        <v>43</v>
      </c>
      <c r="E127" s="5" t="s">
        <v>49</v>
      </c>
      <c r="F127" s="5" t="s">
        <v>8</v>
      </c>
      <c r="G127" s="5">
        <v>403</v>
      </c>
      <c r="H127" s="6" t="s">
        <v>33</v>
      </c>
      <c r="I127" s="7" t="s">
        <v>286</v>
      </c>
      <c r="J127" s="5" t="s">
        <v>34</v>
      </c>
      <c r="K127" s="5" t="s">
        <v>287</v>
      </c>
      <c r="L127" s="5" t="s">
        <v>36</v>
      </c>
      <c r="M127" s="8" t="s">
        <v>52</v>
      </c>
      <c r="N127" s="5" t="s">
        <v>286</v>
      </c>
      <c r="O127" s="5" t="s">
        <v>298</v>
      </c>
      <c r="P127" s="1" t="s">
        <v>299</v>
      </c>
      <c r="Q127" s="1" t="s">
        <v>290</v>
      </c>
      <c r="R127" s="5" t="s">
        <v>291</v>
      </c>
      <c r="S127" s="5" t="s">
        <v>42</v>
      </c>
      <c r="U127" s="5" t="s">
        <v>292</v>
      </c>
      <c r="X127" s="9" t="s">
        <v>293</v>
      </c>
      <c r="Y127" s="5" t="s">
        <v>298</v>
      </c>
      <c r="Z127" s="5" t="s">
        <v>45</v>
      </c>
      <c r="AA127" s="5" t="s">
        <v>46</v>
      </c>
      <c r="AB127" s="5" t="s">
        <v>300</v>
      </c>
      <c r="AC127" s="5" t="s">
        <v>301</v>
      </c>
      <c r="AD127" s="5" t="str">
        <f>_xlfn.CONCAT(Table58911[[#This Row],[&lt;&lt;NOLA&gt;&gt;
NIEM Element]],Table58911[[#This Row],[Repeat Values per attribute]])</f>
        <v>nc:StreetDirectionalTextb</v>
      </c>
    </row>
    <row r="128" spans="1:30" ht="30" customHeight="1" x14ac:dyDescent="0.3">
      <c r="A128" s="5">
        <f t="shared" si="6"/>
        <v>127</v>
      </c>
      <c r="B128" s="5">
        <f t="shared" si="11"/>
        <v>1</v>
      </c>
      <c r="C128" s="5">
        <f t="shared" si="11"/>
        <v>13</v>
      </c>
      <c r="D128" s="5">
        <f t="shared" si="8"/>
        <v>43</v>
      </c>
      <c r="E128" s="5" t="s">
        <v>49</v>
      </c>
      <c r="F128" s="5" t="s">
        <v>8</v>
      </c>
      <c r="G128" s="5">
        <v>403</v>
      </c>
      <c r="H128" s="6" t="s">
        <v>33</v>
      </c>
      <c r="I128" s="7" t="s">
        <v>286</v>
      </c>
      <c r="J128" s="5" t="s">
        <v>34</v>
      </c>
      <c r="K128" s="5" t="s">
        <v>287</v>
      </c>
      <c r="L128" s="5" t="s">
        <v>36</v>
      </c>
      <c r="M128" s="8" t="s">
        <v>52</v>
      </c>
      <c r="N128" s="5" t="s">
        <v>286</v>
      </c>
      <c r="O128" s="5" t="s">
        <v>298</v>
      </c>
      <c r="P128" s="1" t="s">
        <v>299</v>
      </c>
      <c r="Q128" s="1" t="s">
        <v>290</v>
      </c>
      <c r="R128" s="5" t="s">
        <v>291</v>
      </c>
      <c r="S128" s="5" t="s">
        <v>42</v>
      </c>
      <c r="U128" s="5" t="s">
        <v>292</v>
      </c>
      <c r="X128" s="9" t="s">
        <v>296</v>
      </c>
      <c r="Y128" s="5" t="s">
        <v>298</v>
      </c>
      <c r="Z128" s="5" t="s">
        <v>45</v>
      </c>
      <c r="AA128" s="5" t="s">
        <v>46</v>
      </c>
      <c r="AB128" s="5" t="s">
        <v>300</v>
      </c>
      <c r="AC128" s="5" t="s">
        <v>301</v>
      </c>
      <c r="AD128" s="5" t="str">
        <f>_xlfn.CONCAT(Table58911[[#This Row],[&lt;&lt;NOLA&gt;&gt;
NIEM Element]],Table58911[[#This Row],[Repeat Values per attribute]])</f>
        <v>nc:StreetDirectionalTextb</v>
      </c>
    </row>
    <row r="129" spans="1:30" ht="30" customHeight="1" x14ac:dyDescent="0.3">
      <c r="A129" s="5">
        <f t="shared" si="6"/>
        <v>128</v>
      </c>
      <c r="B129" s="5">
        <f t="shared" si="11"/>
        <v>1</v>
      </c>
      <c r="C129" s="5">
        <f t="shared" si="11"/>
        <v>13</v>
      </c>
      <c r="D129" s="5">
        <f t="shared" si="8"/>
        <v>43</v>
      </c>
      <c r="E129" s="5" t="s">
        <v>49</v>
      </c>
      <c r="F129" s="5" t="s">
        <v>8</v>
      </c>
      <c r="G129" s="5">
        <v>403</v>
      </c>
      <c r="H129" s="6" t="s">
        <v>33</v>
      </c>
      <c r="I129" s="7" t="s">
        <v>286</v>
      </c>
      <c r="J129" s="5" t="s">
        <v>34</v>
      </c>
      <c r="K129" s="5" t="s">
        <v>287</v>
      </c>
      <c r="L129" s="5" t="s">
        <v>36</v>
      </c>
      <c r="M129" s="8" t="s">
        <v>52</v>
      </c>
      <c r="N129" s="5" t="s">
        <v>286</v>
      </c>
      <c r="O129" s="5" t="s">
        <v>298</v>
      </c>
      <c r="P129" s="1" t="s">
        <v>299</v>
      </c>
      <c r="Q129" s="1" t="s">
        <v>290</v>
      </c>
      <c r="R129" s="5" t="s">
        <v>291</v>
      </c>
      <c r="S129" s="5" t="s">
        <v>42</v>
      </c>
      <c r="U129" s="5" t="s">
        <v>292</v>
      </c>
      <c r="X129" s="9" t="s">
        <v>297</v>
      </c>
      <c r="Y129" s="5" t="s">
        <v>298</v>
      </c>
      <c r="Z129" s="5" t="s">
        <v>45</v>
      </c>
      <c r="AA129" s="5" t="s">
        <v>46</v>
      </c>
      <c r="AB129" s="5" t="s">
        <v>300</v>
      </c>
      <c r="AC129" s="5" t="s">
        <v>301</v>
      </c>
      <c r="AD129" s="5" t="str">
        <f>_xlfn.CONCAT(Table58911[[#This Row],[&lt;&lt;NOLA&gt;&gt;
NIEM Element]],Table58911[[#This Row],[Repeat Values per attribute]])</f>
        <v>nc:StreetDirectionalTextb</v>
      </c>
    </row>
    <row r="130" spans="1:30" ht="30" customHeight="1" x14ac:dyDescent="0.3">
      <c r="A130" s="5">
        <f t="shared" ref="A130:A193" si="12">ROW(A129)</f>
        <v>129</v>
      </c>
      <c r="B130" s="5">
        <f t="shared" ref="B130:C145" si="13">IF(H129=H130,B129,B129+1)</f>
        <v>1</v>
      </c>
      <c r="C130" s="5">
        <f t="shared" si="13"/>
        <v>13</v>
      </c>
      <c r="D130" s="5">
        <f t="shared" ref="D130:D193" si="14">IF(AD129=AD130,D129,D129+1)</f>
        <v>44</v>
      </c>
      <c r="E130" s="5" t="s">
        <v>32</v>
      </c>
      <c r="F130" s="5" t="s">
        <v>8</v>
      </c>
      <c r="G130" s="5">
        <v>403</v>
      </c>
      <c r="H130" s="6" t="s">
        <v>33</v>
      </c>
      <c r="I130" s="7" t="s">
        <v>286</v>
      </c>
      <c r="J130" s="5" t="s">
        <v>34</v>
      </c>
      <c r="K130" s="5" t="s">
        <v>287</v>
      </c>
      <c r="L130" s="5" t="s">
        <v>36</v>
      </c>
      <c r="M130" s="8" t="s">
        <v>49</v>
      </c>
      <c r="N130" s="5" t="s">
        <v>286</v>
      </c>
      <c r="O130" s="5" t="s">
        <v>302</v>
      </c>
      <c r="P130" s="1" t="s">
        <v>303</v>
      </c>
      <c r="Q130" s="1" t="s">
        <v>290</v>
      </c>
      <c r="R130" s="5" t="s">
        <v>291</v>
      </c>
      <c r="S130" s="5" t="s">
        <v>42</v>
      </c>
      <c r="U130" s="5" t="s">
        <v>292</v>
      </c>
      <c r="X130" s="9" t="s">
        <v>293</v>
      </c>
      <c r="Y130" s="5" t="s">
        <v>302</v>
      </c>
      <c r="Z130" s="5" t="s">
        <v>45</v>
      </c>
      <c r="AA130" s="5" t="s">
        <v>90</v>
      </c>
      <c r="AB130" s="5" t="s">
        <v>304</v>
      </c>
      <c r="AC130" s="5" t="s">
        <v>305</v>
      </c>
      <c r="AD130" s="5" t="str">
        <f>_xlfn.CONCAT(Table58911[[#This Row],[&lt;&lt;NOLA&gt;&gt;
NIEM Element]],Table58911[[#This Row],[Repeat Values per attribute]])</f>
        <v>nc:StreetDirectionalTextd</v>
      </c>
    </row>
    <row r="131" spans="1:30" ht="30" customHeight="1" x14ac:dyDescent="0.3">
      <c r="A131" s="5">
        <f t="shared" si="12"/>
        <v>130</v>
      </c>
      <c r="B131" s="5">
        <f t="shared" si="13"/>
        <v>1</v>
      </c>
      <c r="C131" s="5">
        <f t="shared" si="13"/>
        <v>13</v>
      </c>
      <c r="D131" s="5">
        <f t="shared" si="14"/>
        <v>44</v>
      </c>
      <c r="E131" s="5" t="s">
        <v>49</v>
      </c>
      <c r="F131" s="5" t="s">
        <v>8</v>
      </c>
      <c r="G131" s="5">
        <v>403</v>
      </c>
      <c r="H131" s="6" t="s">
        <v>33</v>
      </c>
      <c r="I131" s="7" t="s">
        <v>286</v>
      </c>
      <c r="J131" s="5" t="s">
        <v>34</v>
      </c>
      <c r="K131" s="5" t="s">
        <v>287</v>
      </c>
      <c r="L131" s="5" t="s">
        <v>36</v>
      </c>
      <c r="M131" s="8" t="s">
        <v>49</v>
      </c>
      <c r="N131" s="5" t="s">
        <v>286</v>
      </c>
      <c r="O131" s="5" t="s">
        <v>302</v>
      </c>
      <c r="P131" s="1" t="s">
        <v>303</v>
      </c>
      <c r="Q131" s="1" t="s">
        <v>290</v>
      </c>
      <c r="R131" s="5" t="s">
        <v>291</v>
      </c>
      <c r="S131" s="5" t="s">
        <v>42</v>
      </c>
      <c r="U131" s="5" t="s">
        <v>292</v>
      </c>
      <c r="X131" s="9" t="s">
        <v>296</v>
      </c>
      <c r="Y131" s="5" t="s">
        <v>302</v>
      </c>
      <c r="Z131" s="5" t="s">
        <v>45</v>
      </c>
      <c r="AA131" s="5" t="s">
        <v>90</v>
      </c>
      <c r="AB131" s="5" t="s">
        <v>304</v>
      </c>
      <c r="AC131" s="5" t="s">
        <v>305</v>
      </c>
      <c r="AD131" s="5" t="str">
        <f>_xlfn.CONCAT(Table58911[[#This Row],[&lt;&lt;NOLA&gt;&gt;
NIEM Element]],Table58911[[#This Row],[Repeat Values per attribute]])</f>
        <v>nc:StreetDirectionalTextd</v>
      </c>
    </row>
    <row r="132" spans="1:30" ht="30" customHeight="1" x14ac:dyDescent="0.3">
      <c r="A132" s="5">
        <f t="shared" si="12"/>
        <v>131</v>
      </c>
      <c r="B132" s="5">
        <f t="shared" si="13"/>
        <v>1</v>
      </c>
      <c r="C132" s="5">
        <f t="shared" si="13"/>
        <v>13</v>
      </c>
      <c r="D132" s="5">
        <f t="shared" si="14"/>
        <v>44</v>
      </c>
      <c r="E132" s="5" t="s">
        <v>49</v>
      </c>
      <c r="F132" s="5" t="s">
        <v>8</v>
      </c>
      <c r="G132" s="5">
        <v>403</v>
      </c>
      <c r="H132" s="6" t="s">
        <v>33</v>
      </c>
      <c r="I132" s="7" t="s">
        <v>286</v>
      </c>
      <c r="J132" s="5" t="s">
        <v>34</v>
      </c>
      <c r="K132" s="5" t="s">
        <v>287</v>
      </c>
      <c r="L132" s="5" t="s">
        <v>36</v>
      </c>
      <c r="M132" s="8" t="s">
        <v>49</v>
      </c>
      <c r="N132" s="5" t="s">
        <v>286</v>
      </c>
      <c r="O132" s="5" t="s">
        <v>302</v>
      </c>
      <c r="P132" s="1" t="s">
        <v>303</v>
      </c>
      <c r="Q132" s="1" t="s">
        <v>290</v>
      </c>
      <c r="R132" s="5" t="s">
        <v>291</v>
      </c>
      <c r="S132" s="5" t="s">
        <v>42</v>
      </c>
      <c r="U132" s="5" t="s">
        <v>292</v>
      </c>
      <c r="X132" s="9" t="s">
        <v>297</v>
      </c>
      <c r="Y132" s="5" t="s">
        <v>302</v>
      </c>
      <c r="Z132" s="5" t="s">
        <v>45</v>
      </c>
      <c r="AA132" s="5" t="s">
        <v>90</v>
      </c>
      <c r="AB132" s="5" t="s">
        <v>304</v>
      </c>
      <c r="AC132" s="5" t="s">
        <v>305</v>
      </c>
      <c r="AD132" s="5" t="str">
        <f>_xlfn.CONCAT(Table58911[[#This Row],[&lt;&lt;NOLA&gt;&gt;
NIEM Element]],Table58911[[#This Row],[Repeat Values per attribute]])</f>
        <v>nc:StreetDirectionalTextd</v>
      </c>
    </row>
    <row r="133" spans="1:30" ht="30" customHeight="1" x14ac:dyDescent="0.3">
      <c r="A133" s="5">
        <f t="shared" si="12"/>
        <v>132</v>
      </c>
      <c r="B133" s="5">
        <f t="shared" si="13"/>
        <v>1</v>
      </c>
      <c r="C133" s="5">
        <f t="shared" si="13"/>
        <v>14</v>
      </c>
      <c r="D133" s="5">
        <f t="shared" si="14"/>
        <v>45</v>
      </c>
      <c r="E133" s="5" t="s">
        <v>32</v>
      </c>
      <c r="F133" s="5" t="s">
        <v>8</v>
      </c>
      <c r="G133" s="5">
        <v>404</v>
      </c>
      <c r="H133" s="6" t="s">
        <v>33</v>
      </c>
      <c r="I133" s="10" t="s">
        <v>306</v>
      </c>
      <c r="J133" s="5" t="s">
        <v>34</v>
      </c>
      <c r="K133" s="5" t="s">
        <v>307</v>
      </c>
      <c r="L133" s="5" t="s">
        <v>36</v>
      </c>
      <c r="M133" s="8" t="s">
        <v>37</v>
      </c>
      <c r="N133" s="5" t="s">
        <v>306</v>
      </c>
      <c r="O133" s="5" t="s">
        <v>308</v>
      </c>
      <c r="P133" s="5" t="s">
        <v>309</v>
      </c>
      <c r="Q133" s="1" t="s">
        <v>310</v>
      </c>
      <c r="R133" s="5" t="s">
        <v>291</v>
      </c>
      <c r="S133" s="5" t="s">
        <v>42</v>
      </c>
      <c r="U133" s="5" t="s">
        <v>311</v>
      </c>
      <c r="X133" s="9" t="s">
        <v>312</v>
      </c>
      <c r="Y133" s="5" t="s">
        <v>308</v>
      </c>
      <c r="Z133" s="5" t="s">
        <v>45</v>
      </c>
      <c r="AA133" s="5" t="s">
        <v>46</v>
      </c>
      <c r="AB133" s="5" t="s">
        <v>313</v>
      </c>
      <c r="AC133" s="5" t="s">
        <v>314</v>
      </c>
      <c r="AD133" s="5" t="str">
        <f>_xlfn.CONCAT(Table58911[[#This Row],[&lt;&lt;NOLA&gt;&gt;
NIEM Element]],Table58911[[#This Row],[Repeat Values per attribute]])</f>
        <v>nc:StreetDirectionalTexta</v>
      </c>
    </row>
    <row r="134" spans="1:30" ht="30" customHeight="1" x14ac:dyDescent="0.3">
      <c r="A134" s="5">
        <f t="shared" si="12"/>
        <v>133</v>
      </c>
      <c r="B134" s="5">
        <f t="shared" si="13"/>
        <v>1</v>
      </c>
      <c r="C134" s="5">
        <f t="shared" si="13"/>
        <v>14</v>
      </c>
      <c r="D134" s="5">
        <f t="shared" si="14"/>
        <v>45</v>
      </c>
      <c r="E134" s="5" t="s">
        <v>49</v>
      </c>
      <c r="F134" s="5" t="s">
        <v>8</v>
      </c>
      <c r="G134" s="5">
        <v>404</v>
      </c>
      <c r="H134" s="6" t="s">
        <v>33</v>
      </c>
      <c r="I134" s="7" t="s">
        <v>306</v>
      </c>
      <c r="J134" s="5" t="s">
        <v>34</v>
      </c>
      <c r="K134" s="5" t="s">
        <v>307</v>
      </c>
      <c r="L134" s="5" t="s">
        <v>36</v>
      </c>
      <c r="M134" s="8" t="s">
        <v>37</v>
      </c>
      <c r="N134" s="5" t="s">
        <v>306</v>
      </c>
      <c r="O134" s="5" t="s">
        <v>308</v>
      </c>
      <c r="P134" s="5" t="s">
        <v>309</v>
      </c>
      <c r="Q134" s="1" t="s">
        <v>310</v>
      </c>
      <c r="R134" s="5" t="s">
        <v>291</v>
      </c>
      <c r="S134" s="5" t="s">
        <v>42</v>
      </c>
      <c r="U134" s="5" t="s">
        <v>311</v>
      </c>
      <c r="X134" s="9" t="s">
        <v>315</v>
      </c>
      <c r="Y134" s="5" t="s">
        <v>308</v>
      </c>
      <c r="Z134" s="5" t="s">
        <v>45</v>
      </c>
      <c r="AA134" s="5" t="s">
        <v>46</v>
      </c>
      <c r="AB134" s="5" t="s">
        <v>313</v>
      </c>
      <c r="AC134" s="5" t="s">
        <v>314</v>
      </c>
      <c r="AD134" s="5" t="str">
        <f>_xlfn.CONCAT(Table58911[[#This Row],[&lt;&lt;NOLA&gt;&gt;
NIEM Element]],Table58911[[#This Row],[Repeat Values per attribute]])</f>
        <v>nc:StreetDirectionalTexta</v>
      </c>
    </row>
    <row r="135" spans="1:30" ht="30" customHeight="1" x14ac:dyDescent="0.3">
      <c r="A135" s="5">
        <f t="shared" si="12"/>
        <v>134</v>
      </c>
      <c r="B135" s="5">
        <f t="shared" si="13"/>
        <v>1</v>
      </c>
      <c r="C135" s="5">
        <f t="shared" si="13"/>
        <v>14</v>
      </c>
      <c r="D135" s="5">
        <f t="shared" si="14"/>
        <v>45</v>
      </c>
      <c r="E135" s="5" t="s">
        <v>49</v>
      </c>
      <c r="F135" s="5" t="s">
        <v>8</v>
      </c>
      <c r="G135" s="5">
        <v>404</v>
      </c>
      <c r="H135" s="6" t="s">
        <v>33</v>
      </c>
      <c r="I135" s="7" t="s">
        <v>306</v>
      </c>
      <c r="J135" s="5" t="s">
        <v>34</v>
      </c>
      <c r="K135" s="5" t="s">
        <v>307</v>
      </c>
      <c r="L135" s="5" t="s">
        <v>36</v>
      </c>
      <c r="M135" s="8" t="s">
        <v>37</v>
      </c>
      <c r="N135" s="5" t="s">
        <v>306</v>
      </c>
      <c r="O135" s="5" t="s">
        <v>308</v>
      </c>
      <c r="P135" s="5" t="s">
        <v>309</v>
      </c>
      <c r="Q135" s="1" t="s">
        <v>310</v>
      </c>
      <c r="R135" s="5" t="s">
        <v>291</v>
      </c>
      <c r="S135" s="5" t="s">
        <v>42</v>
      </c>
      <c r="U135" s="5" t="s">
        <v>311</v>
      </c>
      <c r="X135" s="9" t="s">
        <v>316</v>
      </c>
      <c r="Y135" s="5" t="s">
        <v>308</v>
      </c>
      <c r="Z135" s="5" t="s">
        <v>45</v>
      </c>
      <c r="AA135" s="5" t="s">
        <v>46</v>
      </c>
      <c r="AB135" s="5" t="s">
        <v>313</v>
      </c>
      <c r="AC135" s="5" t="s">
        <v>314</v>
      </c>
      <c r="AD135" s="5" t="str">
        <f>_xlfn.CONCAT(Table58911[[#This Row],[&lt;&lt;NOLA&gt;&gt;
NIEM Element]],Table58911[[#This Row],[Repeat Values per attribute]])</f>
        <v>nc:StreetDirectionalTexta</v>
      </c>
    </row>
    <row r="136" spans="1:30" ht="30" customHeight="1" x14ac:dyDescent="0.3">
      <c r="A136" s="5">
        <f t="shared" si="12"/>
        <v>135</v>
      </c>
      <c r="B136" s="5">
        <f t="shared" si="13"/>
        <v>1</v>
      </c>
      <c r="C136" s="5">
        <f t="shared" si="13"/>
        <v>14</v>
      </c>
      <c r="D136" s="5">
        <f t="shared" si="14"/>
        <v>46</v>
      </c>
      <c r="E136" s="5" t="s">
        <v>49</v>
      </c>
      <c r="F136" s="5" t="s">
        <v>8</v>
      </c>
      <c r="G136" s="5">
        <v>404</v>
      </c>
      <c r="H136" s="6" t="s">
        <v>33</v>
      </c>
      <c r="I136" s="7" t="s">
        <v>306</v>
      </c>
      <c r="J136" s="5" t="s">
        <v>34</v>
      </c>
      <c r="K136" s="5" t="s">
        <v>307</v>
      </c>
      <c r="L136" s="5" t="s">
        <v>36</v>
      </c>
      <c r="M136" s="8" t="s">
        <v>52</v>
      </c>
      <c r="N136" s="5" t="s">
        <v>306</v>
      </c>
      <c r="O136" s="5" t="s">
        <v>317</v>
      </c>
      <c r="P136" s="1" t="s">
        <v>318</v>
      </c>
      <c r="Q136" s="1" t="s">
        <v>310</v>
      </c>
      <c r="R136" s="5" t="s">
        <v>291</v>
      </c>
      <c r="S136" s="5" t="s">
        <v>42</v>
      </c>
      <c r="U136" s="5" t="s">
        <v>311</v>
      </c>
      <c r="X136" s="9" t="s">
        <v>312</v>
      </c>
      <c r="Y136" s="5" t="s">
        <v>317</v>
      </c>
      <c r="Z136" s="5" t="s">
        <v>45</v>
      </c>
      <c r="AA136" s="5" t="s">
        <v>46</v>
      </c>
      <c r="AB136" s="5" t="s">
        <v>319</v>
      </c>
      <c r="AC136" s="5" t="s">
        <v>320</v>
      </c>
      <c r="AD136" s="5" t="str">
        <f>_xlfn.CONCAT(Table58911[[#This Row],[&lt;&lt;NOLA&gt;&gt;
NIEM Element]],Table58911[[#This Row],[Repeat Values per attribute]])</f>
        <v>nc:StreetDirectionalTextb</v>
      </c>
    </row>
    <row r="137" spans="1:30" ht="30" customHeight="1" x14ac:dyDescent="0.3">
      <c r="A137" s="5">
        <f t="shared" si="12"/>
        <v>136</v>
      </c>
      <c r="B137" s="5">
        <f t="shared" si="13"/>
        <v>1</v>
      </c>
      <c r="C137" s="5">
        <f t="shared" si="13"/>
        <v>14</v>
      </c>
      <c r="D137" s="5">
        <f t="shared" si="14"/>
        <v>46</v>
      </c>
      <c r="E137" s="5" t="s">
        <v>49</v>
      </c>
      <c r="F137" s="5" t="s">
        <v>8</v>
      </c>
      <c r="G137" s="5">
        <v>404</v>
      </c>
      <c r="H137" s="6" t="s">
        <v>33</v>
      </c>
      <c r="I137" s="7" t="s">
        <v>306</v>
      </c>
      <c r="J137" s="5" t="s">
        <v>34</v>
      </c>
      <c r="K137" s="5" t="s">
        <v>307</v>
      </c>
      <c r="L137" s="5" t="s">
        <v>36</v>
      </c>
      <c r="M137" s="8" t="s">
        <v>52</v>
      </c>
      <c r="N137" s="5" t="s">
        <v>306</v>
      </c>
      <c r="O137" s="5" t="s">
        <v>317</v>
      </c>
      <c r="P137" s="1" t="s">
        <v>318</v>
      </c>
      <c r="Q137" s="1" t="s">
        <v>310</v>
      </c>
      <c r="R137" s="5" t="s">
        <v>291</v>
      </c>
      <c r="S137" s="5" t="s">
        <v>42</v>
      </c>
      <c r="U137" s="5" t="s">
        <v>311</v>
      </c>
      <c r="X137" s="9" t="s">
        <v>315</v>
      </c>
      <c r="Y137" s="5" t="s">
        <v>317</v>
      </c>
      <c r="Z137" s="5" t="s">
        <v>45</v>
      </c>
      <c r="AA137" s="5" t="s">
        <v>46</v>
      </c>
      <c r="AB137" s="5" t="s">
        <v>319</v>
      </c>
      <c r="AC137" s="5" t="s">
        <v>320</v>
      </c>
      <c r="AD137" s="5" t="str">
        <f>_xlfn.CONCAT(Table58911[[#This Row],[&lt;&lt;NOLA&gt;&gt;
NIEM Element]],Table58911[[#This Row],[Repeat Values per attribute]])</f>
        <v>nc:StreetDirectionalTextb</v>
      </c>
    </row>
    <row r="138" spans="1:30" ht="30" customHeight="1" x14ac:dyDescent="0.3">
      <c r="A138" s="5">
        <f t="shared" si="12"/>
        <v>137</v>
      </c>
      <c r="B138" s="5">
        <f t="shared" si="13"/>
        <v>1</v>
      </c>
      <c r="C138" s="5">
        <f t="shared" si="13"/>
        <v>14</v>
      </c>
      <c r="D138" s="5">
        <f t="shared" si="14"/>
        <v>46</v>
      </c>
      <c r="E138" s="5" t="s">
        <v>49</v>
      </c>
      <c r="F138" s="5" t="s">
        <v>8</v>
      </c>
      <c r="G138" s="5">
        <v>404</v>
      </c>
      <c r="H138" s="6" t="s">
        <v>33</v>
      </c>
      <c r="I138" s="7" t="s">
        <v>306</v>
      </c>
      <c r="J138" s="5" t="s">
        <v>34</v>
      </c>
      <c r="K138" s="5" t="s">
        <v>307</v>
      </c>
      <c r="L138" s="5" t="s">
        <v>36</v>
      </c>
      <c r="M138" s="8" t="s">
        <v>52</v>
      </c>
      <c r="N138" s="5" t="s">
        <v>306</v>
      </c>
      <c r="O138" s="5" t="s">
        <v>317</v>
      </c>
      <c r="P138" s="1" t="s">
        <v>318</v>
      </c>
      <c r="Q138" s="1" t="s">
        <v>310</v>
      </c>
      <c r="R138" s="5" t="s">
        <v>291</v>
      </c>
      <c r="S138" s="5" t="s">
        <v>42</v>
      </c>
      <c r="U138" s="5" t="s">
        <v>311</v>
      </c>
      <c r="X138" s="9" t="s">
        <v>316</v>
      </c>
      <c r="Y138" s="5" t="s">
        <v>317</v>
      </c>
      <c r="Z138" s="5" t="s">
        <v>45</v>
      </c>
      <c r="AA138" s="5" t="s">
        <v>46</v>
      </c>
      <c r="AB138" s="5" t="s">
        <v>319</v>
      </c>
      <c r="AC138" s="5" t="s">
        <v>320</v>
      </c>
      <c r="AD138" s="5" t="str">
        <f>_xlfn.CONCAT(Table58911[[#This Row],[&lt;&lt;NOLA&gt;&gt;
NIEM Element]],Table58911[[#This Row],[Repeat Values per attribute]])</f>
        <v>nc:StreetDirectionalTextb</v>
      </c>
    </row>
    <row r="139" spans="1:30" ht="30" customHeight="1" x14ac:dyDescent="0.3">
      <c r="A139" s="5">
        <f t="shared" si="12"/>
        <v>138</v>
      </c>
      <c r="B139" s="5">
        <f t="shared" si="13"/>
        <v>1</v>
      </c>
      <c r="C139" s="5">
        <f t="shared" si="13"/>
        <v>14</v>
      </c>
      <c r="D139" s="5">
        <f t="shared" si="14"/>
        <v>47</v>
      </c>
      <c r="E139" s="5" t="s">
        <v>49</v>
      </c>
      <c r="F139" s="5" t="s">
        <v>8</v>
      </c>
      <c r="G139" s="5">
        <v>404</v>
      </c>
      <c r="H139" s="6" t="s">
        <v>33</v>
      </c>
      <c r="I139" s="7" t="s">
        <v>306</v>
      </c>
      <c r="J139" s="5" t="s">
        <v>34</v>
      </c>
      <c r="K139" s="5" t="s">
        <v>307</v>
      </c>
      <c r="L139" s="5" t="s">
        <v>36</v>
      </c>
      <c r="M139" s="8" t="s">
        <v>57</v>
      </c>
      <c r="N139" s="5" t="s">
        <v>306</v>
      </c>
      <c r="O139" s="5" t="s">
        <v>321</v>
      </c>
      <c r="P139" s="1" t="s">
        <v>322</v>
      </c>
      <c r="Q139" s="1" t="s">
        <v>310</v>
      </c>
      <c r="R139" s="5" t="s">
        <v>291</v>
      </c>
      <c r="S139" s="5" t="s">
        <v>42</v>
      </c>
      <c r="U139" s="5" t="s">
        <v>311</v>
      </c>
      <c r="X139" s="9" t="s">
        <v>312</v>
      </c>
      <c r="Y139" s="5" t="s">
        <v>321</v>
      </c>
      <c r="Z139" s="5" t="s">
        <v>45</v>
      </c>
      <c r="AA139" s="5" t="s">
        <v>46</v>
      </c>
      <c r="AB139" s="5" t="s">
        <v>323</v>
      </c>
      <c r="AC139" s="5" t="s">
        <v>324</v>
      </c>
      <c r="AD139" s="5" t="str">
        <f>_xlfn.CONCAT(Table58911[[#This Row],[&lt;&lt;NOLA&gt;&gt;
NIEM Element]],Table58911[[#This Row],[Repeat Values per attribute]])</f>
        <v>nc:StreetDirectionalTextc</v>
      </c>
    </row>
    <row r="140" spans="1:30" ht="30" customHeight="1" x14ac:dyDescent="0.3">
      <c r="A140" s="5">
        <f t="shared" si="12"/>
        <v>139</v>
      </c>
      <c r="B140" s="5">
        <f t="shared" si="13"/>
        <v>1</v>
      </c>
      <c r="C140" s="5">
        <f t="shared" si="13"/>
        <v>14</v>
      </c>
      <c r="D140" s="5">
        <f t="shared" si="14"/>
        <v>47</v>
      </c>
      <c r="E140" s="5" t="s">
        <v>49</v>
      </c>
      <c r="F140" s="5" t="s">
        <v>8</v>
      </c>
      <c r="G140" s="5">
        <v>404</v>
      </c>
      <c r="H140" s="6" t="s">
        <v>33</v>
      </c>
      <c r="I140" s="7" t="s">
        <v>306</v>
      </c>
      <c r="J140" s="5" t="s">
        <v>34</v>
      </c>
      <c r="K140" s="5" t="s">
        <v>307</v>
      </c>
      <c r="L140" s="5" t="s">
        <v>36</v>
      </c>
      <c r="M140" s="8" t="s">
        <v>57</v>
      </c>
      <c r="N140" s="5" t="s">
        <v>306</v>
      </c>
      <c r="O140" s="5" t="s">
        <v>321</v>
      </c>
      <c r="P140" s="1" t="s">
        <v>322</v>
      </c>
      <c r="Q140" s="1" t="s">
        <v>310</v>
      </c>
      <c r="R140" s="5" t="s">
        <v>291</v>
      </c>
      <c r="S140" s="5" t="s">
        <v>42</v>
      </c>
      <c r="U140" s="5" t="s">
        <v>311</v>
      </c>
      <c r="X140" s="9" t="s">
        <v>315</v>
      </c>
      <c r="Y140" s="5" t="s">
        <v>321</v>
      </c>
      <c r="Z140" s="5" t="s">
        <v>45</v>
      </c>
      <c r="AA140" s="5" t="s">
        <v>46</v>
      </c>
      <c r="AB140" s="5" t="s">
        <v>323</v>
      </c>
      <c r="AC140" s="5" t="s">
        <v>324</v>
      </c>
      <c r="AD140" s="5" t="str">
        <f>_xlfn.CONCAT(Table58911[[#This Row],[&lt;&lt;NOLA&gt;&gt;
NIEM Element]],Table58911[[#This Row],[Repeat Values per attribute]])</f>
        <v>nc:StreetDirectionalTextc</v>
      </c>
    </row>
    <row r="141" spans="1:30" ht="30" customHeight="1" x14ac:dyDescent="0.3">
      <c r="A141" s="5">
        <f t="shared" si="12"/>
        <v>140</v>
      </c>
      <c r="B141" s="5">
        <f t="shared" si="13"/>
        <v>1</v>
      </c>
      <c r="C141" s="5">
        <f t="shared" si="13"/>
        <v>14</v>
      </c>
      <c r="D141" s="5">
        <f t="shared" si="14"/>
        <v>47</v>
      </c>
      <c r="E141" s="5" t="s">
        <v>49</v>
      </c>
      <c r="F141" s="5" t="s">
        <v>8</v>
      </c>
      <c r="G141" s="5">
        <v>404</v>
      </c>
      <c r="H141" s="6" t="s">
        <v>33</v>
      </c>
      <c r="I141" s="7" t="s">
        <v>306</v>
      </c>
      <c r="J141" s="5" t="s">
        <v>34</v>
      </c>
      <c r="K141" s="5" t="s">
        <v>307</v>
      </c>
      <c r="L141" s="5" t="s">
        <v>36</v>
      </c>
      <c r="M141" s="8" t="s">
        <v>57</v>
      </c>
      <c r="N141" s="5" t="s">
        <v>306</v>
      </c>
      <c r="O141" s="5" t="s">
        <v>321</v>
      </c>
      <c r="P141" s="1" t="s">
        <v>322</v>
      </c>
      <c r="Q141" s="1" t="s">
        <v>310</v>
      </c>
      <c r="R141" s="5" t="s">
        <v>291</v>
      </c>
      <c r="S141" s="5" t="s">
        <v>42</v>
      </c>
      <c r="U141" s="5" t="s">
        <v>311</v>
      </c>
      <c r="X141" s="9" t="s">
        <v>316</v>
      </c>
      <c r="Y141" s="5" t="s">
        <v>321</v>
      </c>
      <c r="Z141" s="5" t="s">
        <v>45</v>
      </c>
      <c r="AA141" s="5" t="s">
        <v>46</v>
      </c>
      <c r="AB141" s="5" t="s">
        <v>323</v>
      </c>
      <c r="AC141" s="5" t="s">
        <v>324</v>
      </c>
      <c r="AD141" s="5" t="str">
        <f>_xlfn.CONCAT(Table58911[[#This Row],[&lt;&lt;NOLA&gt;&gt;
NIEM Element]],Table58911[[#This Row],[Repeat Values per attribute]])</f>
        <v>nc:StreetDirectionalTextc</v>
      </c>
    </row>
    <row r="142" spans="1:30" ht="30" customHeight="1" x14ac:dyDescent="0.3">
      <c r="A142" s="5">
        <f t="shared" si="12"/>
        <v>141</v>
      </c>
      <c r="B142" s="5">
        <f t="shared" si="13"/>
        <v>1</v>
      </c>
      <c r="C142" s="5">
        <f t="shared" si="13"/>
        <v>14</v>
      </c>
      <c r="D142" s="5">
        <f t="shared" si="14"/>
        <v>48</v>
      </c>
      <c r="E142" s="5" t="s">
        <v>49</v>
      </c>
      <c r="F142" s="5" t="s">
        <v>8</v>
      </c>
      <c r="G142" s="5">
        <v>404</v>
      </c>
      <c r="H142" s="6" t="s">
        <v>33</v>
      </c>
      <c r="I142" s="7" t="s">
        <v>306</v>
      </c>
      <c r="J142" s="5" t="s">
        <v>34</v>
      </c>
      <c r="K142" s="5" t="s">
        <v>307</v>
      </c>
      <c r="L142" s="5" t="s">
        <v>36</v>
      </c>
      <c r="M142" s="8" t="s">
        <v>49</v>
      </c>
      <c r="N142" s="5" t="s">
        <v>306</v>
      </c>
      <c r="O142" s="5" t="s">
        <v>325</v>
      </c>
      <c r="P142" s="1" t="s">
        <v>326</v>
      </c>
      <c r="Q142" s="1" t="s">
        <v>310</v>
      </c>
      <c r="R142" s="5" t="s">
        <v>291</v>
      </c>
      <c r="S142" s="5" t="s">
        <v>42</v>
      </c>
      <c r="U142" s="5" t="s">
        <v>311</v>
      </c>
      <c r="X142" s="9" t="s">
        <v>312</v>
      </c>
      <c r="Y142" s="5" t="s">
        <v>325</v>
      </c>
      <c r="Z142" s="5" t="s">
        <v>45</v>
      </c>
      <c r="AA142" s="5" t="s">
        <v>46</v>
      </c>
      <c r="AB142" s="5" t="s">
        <v>327</v>
      </c>
      <c r="AC142" s="5" t="s">
        <v>328</v>
      </c>
      <c r="AD142" s="5" t="str">
        <f>_xlfn.CONCAT(Table58911[[#This Row],[&lt;&lt;NOLA&gt;&gt;
NIEM Element]],Table58911[[#This Row],[Repeat Values per attribute]])</f>
        <v>nc:StreetDirectionalTextd</v>
      </c>
    </row>
    <row r="143" spans="1:30" ht="30" customHeight="1" x14ac:dyDescent="0.3">
      <c r="A143" s="5">
        <f t="shared" si="12"/>
        <v>142</v>
      </c>
      <c r="B143" s="5">
        <f t="shared" si="13"/>
        <v>1</v>
      </c>
      <c r="C143" s="5">
        <f t="shared" si="13"/>
        <v>14</v>
      </c>
      <c r="D143" s="5">
        <f t="shared" si="14"/>
        <v>48</v>
      </c>
      <c r="E143" s="5" t="s">
        <v>49</v>
      </c>
      <c r="F143" s="5" t="s">
        <v>8</v>
      </c>
      <c r="G143" s="5">
        <v>404</v>
      </c>
      <c r="H143" s="6" t="s">
        <v>33</v>
      </c>
      <c r="I143" s="7" t="s">
        <v>306</v>
      </c>
      <c r="J143" s="5" t="s">
        <v>34</v>
      </c>
      <c r="K143" s="5" t="s">
        <v>307</v>
      </c>
      <c r="L143" s="5" t="s">
        <v>36</v>
      </c>
      <c r="M143" s="8" t="s">
        <v>49</v>
      </c>
      <c r="N143" s="5" t="s">
        <v>306</v>
      </c>
      <c r="O143" s="5" t="s">
        <v>325</v>
      </c>
      <c r="P143" s="1" t="s">
        <v>326</v>
      </c>
      <c r="Q143" s="1" t="s">
        <v>310</v>
      </c>
      <c r="R143" s="5" t="s">
        <v>291</v>
      </c>
      <c r="S143" s="5" t="s">
        <v>42</v>
      </c>
      <c r="U143" s="5" t="s">
        <v>311</v>
      </c>
      <c r="X143" s="9" t="s">
        <v>315</v>
      </c>
      <c r="Y143" s="5" t="s">
        <v>325</v>
      </c>
      <c r="Z143" s="5" t="s">
        <v>45</v>
      </c>
      <c r="AA143" s="5" t="s">
        <v>46</v>
      </c>
      <c r="AB143" s="5" t="s">
        <v>327</v>
      </c>
      <c r="AC143" s="5" t="s">
        <v>328</v>
      </c>
      <c r="AD143" s="5" t="str">
        <f>_xlfn.CONCAT(Table58911[[#This Row],[&lt;&lt;NOLA&gt;&gt;
NIEM Element]],Table58911[[#This Row],[Repeat Values per attribute]])</f>
        <v>nc:StreetDirectionalTextd</v>
      </c>
    </row>
    <row r="144" spans="1:30" ht="30" customHeight="1" x14ac:dyDescent="0.3">
      <c r="A144" s="5">
        <f t="shared" si="12"/>
        <v>143</v>
      </c>
      <c r="B144" s="5">
        <f t="shared" si="13"/>
        <v>1</v>
      </c>
      <c r="C144" s="5">
        <f t="shared" si="13"/>
        <v>14</v>
      </c>
      <c r="D144" s="5">
        <f t="shared" si="14"/>
        <v>48</v>
      </c>
      <c r="E144" s="5" t="s">
        <v>49</v>
      </c>
      <c r="F144" s="5" t="s">
        <v>8</v>
      </c>
      <c r="G144" s="5">
        <v>404</v>
      </c>
      <c r="H144" s="6" t="s">
        <v>33</v>
      </c>
      <c r="I144" s="7" t="s">
        <v>306</v>
      </c>
      <c r="J144" s="5" t="s">
        <v>34</v>
      </c>
      <c r="K144" s="5" t="s">
        <v>307</v>
      </c>
      <c r="L144" s="5" t="s">
        <v>36</v>
      </c>
      <c r="M144" s="8" t="s">
        <v>49</v>
      </c>
      <c r="N144" s="5" t="s">
        <v>306</v>
      </c>
      <c r="O144" s="5" t="s">
        <v>325</v>
      </c>
      <c r="P144" s="1" t="s">
        <v>326</v>
      </c>
      <c r="Q144" s="1" t="s">
        <v>310</v>
      </c>
      <c r="R144" s="5" t="s">
        <v>291</v>
      </c>
      <c r="S144" s="5" t="s">
        <v>42</v>
      </c>
      <c r="U144" s="5" t="s">
        <v>311</v>
      </c>
      <c r="X144" s="9" t="s">
        <v>316</v>
      </c>
      <c r="Y144" s="5" t="s">
        <v>325</v>
      </c>
      <c r="Z144" s="5" t="s">
        <v>45</v>
      </c>
      <c r="AA144" s="5" t="s">
        <v>46</v>
      </c>
      <c r="AB144" s="5" t="s">
        <v>327</v>
      </c>
      <c r="AC144" s="5" t="s">
        <v>328</v>
      </c>
      <c r="AD144" s="5" t="str">
        <f>_xlfn.CONCAT(Table58911[[#This Row],[&lt;&lt;NOLA&gt;&gt;
NIEM Element]],Table58911[[#This Row],[Repeat Values per attribute]])</f>
        <v>nc:StreetDirectionalTextd</v>
      </c>
    </row>
    <row r="145" spans="1:30" ht="30" customHeight="1" x14ac:dyDescent="0.3">
      <c r="A145" s="5">
        <f t="shared" si="12"/>
        <v>144</v>
      </c>
      <c r="B145" s="5">
        <f t="shared" si="13"/>
        <v>1</v>
      </c>
      <c r="C145" s="5">
        <f t="shared" si="13"/>
        <v>14</v>
      </c>
      <c r="D145" s="5">
        <f t="shared" si="14"/>
        <v>49</v>
      </c>
      <c r="E145" s="5" t="s">
        <v>49</v>
      </c>
      <c r="F145" s="5" t="s">
        <v>8</v>
      </c>
      <c r="G145" s="5">
        <v>404</v>
      </c>
      <c r="H145" s="6" t="s">
        <v>33</v>
      </c>
      <c r="I145" s="7" t="s">
        <v>306</v>
      </c>
      <c r="J145" s="5" t="s">
        <v>34</v>
      </c>
      <c r="K145" s="5" t="s">
        <v>307</v>
      </c>
      <c r="L145" s="5" t="s">
        <v>36</v>
      </c>
      <c r="M145" s="8" t="s">
        <v>87</v>
      </c>
      <c r="N145" s="5" t="s">
        <v>306</v>
      </c>
      <c r="O145" s="5" t="s">
        <v>329</v>
      </c>
      <c r="P145" s="1" t="s">
        <v>330</v>
      </c>
      <c r="Q145" s="1" t="s">
        <v>310</v>
      </c>
      <c r="R145" s="5" t="s">
        <v>291</v>
      </c>
      <c r="S145" s="5" t="s">
        <v>42</v>
      </c>
      <c r="U145" s="5" t="s">
        <v>311</v>
      </c>
      <c r="X145" s="9" t="s">
        <v>312</v>
      </c>
      <c r="Y145" s="5" t="s">
        <v>329</v>
      </c>
      <c r="Z145" s="5" t="s">
        <v>45</v>
      </c>
      <c r="AA145" s="5" t="s">
        <v>46</v>
      </c>
      <c r="AB145" s="5" t="s">
        <v>331</v>
      </c>
      <c r="AC145" s="5" t="s">
        <v>332</v>
      </c>
      <c r="AD145" s="5" t="str">
        <f>_xlfn.CONCAT(Table58911[[#This Row],[&lt;&lt;NOLA&gt;&gt;
NIEM Element]],Table58911[[#This Row],[Repeat Values per attribute]])</f>
        <v>nc:StreetDirectionalTexte</v>
      </c>
    </row>
    <row r="146" spans="1:30" ht="30" customHeight="1" x14ac:dyDescent="0.3">
      <c r="A146" s="5">
        <f t="shared" si="12"/>
        <v>145</v>
      </c>
      <c r="B146" s="5">
        <f t="shared" ref="B146:C161" si="15">IF(H145=H146,B145,B145+1)</f>
        <v>1</v>
      </c>
      <c r="C146" s="5">
        <f t="shared" si="15"/>
        <v>14</v>
      </c>
      <c r="D146" s="5">
        <f t="shared" si="14"/>
        <v>49</v>
      </c>
      <c r="E146" s="5" t="s">
        <v>49</v>
      </c>
      <c r="F146" s="5" t="s">
        <v>8</v>
      </c>
      <c r="G146" s="5">
        <v>404</v>
      </c>
      <c r="H146" s="6" t="s">
        <v>33</v>
      </c>
      <c r="I146" s="7" t="s">
        <v>306</v>
      </c>
      <c r="J146" s="5" t="s">
        <v>34</v>
      </c>
      <c r="K146" s="5" t="s">
        <v>307</v>
      </c>
      <c r="L146" s="5" t="s">
        <v>36</v>
      </c>
      <c r="M146" s="8" t="s">
        <v>87</v>
      </c>
      <c r="N146" s="5" t="s">
        <v>306</v>
      </c>
      <c r="O146" s="5" t="s">
        <v>329</v>
      </c>
      <c r="P146" s="1" t="s">
        <v>330</v>
      </c>
      <c r="Q146" s="1" t="s">
        <v>310</v>
      </c>
      <c r="R146" s="5" t="s">
        <v>291</v>
      </c>
      <c r="S146" s="5" t="s">
        <v>42</v>
      </c>
      <c r="U146" s="5" t="s">
        <v>311</v>
      </c>
      <c r="X146" s="9" t="s">
        <v>315</v>
      </c>
      <c r="Y146" s="5" t="s">
        <v>329</v>
      </c>
      <c r="Z146" s="5" t="s">
        <v>45</v>
      </c>
      <c r="AA146" s="5" t="s">
        <v>46</v>
      </c>
      <c r="AB146" s="5" t="s">
        <v>331</v>
      </c>
      <c r="AC146" s="5" t="s">
        <v>332</v>
      </c>
      <c r="AD146" s="5" t="str">
        <f>_xlfn.CONCAT(Table58911[[#This Row],[&lt;&lt;NOLA&gt;&gt;
NIEM Element]],Table58911[[#This Row],[Repeat Values per attribute]])</f>
        <v>nc:StreetDirectionalTexte</v>
      </c>
    </row>
    <row r="147" spans="1:30" ht="30" customHeight="1" x14ac:dyDescent="0.3">
      <c r="A147" s="5">
        <f t="shared" si="12"/>
        <v>146</v>
      </c>
      <c r="B147" s="5">
        <f t="shared" si="15"/>
        <v>1</v>
      </c>
      <c r="C147" s="5">
        <f t="shared" si="15"/>
        <v>14</v>
      </c>
      <c r="D147" s="5">
        <f t="shared" si="14"/>
        <v>49</v>
      </c>
      <c r="E147" s="5" t="s">
        <v>49</v>
      </c>
      <c r="F147" s="5" t="s">
        <v>8</v>
      </c>
      <c r="G147" s="5">
        <v>404</v>
      </c>
      <c r="H147" s="6" t="s">
        <v>33</v>
      </c>
      <c r="I147" s="7" t="s">
        <v>306</v>
      </c>
      <c r="J147" s="5" t="s">
        <v>34</v>
      </c>
      <c r="K147" s="5" t="s">
        <v>307</v>
      </c>
      <c r="L147" s="5" t="s">
        <v>36</v>
      </c>
      <c r="M147" s="8" t="s">
        <v>87</v>
      </c>
      <c r="N147" s="5" t="s">
        <v>306</v>
      </c>
      <c r="O147" s="5" t="s">
        <v>329</v>
      </c>
      <c r="P147" s="1" t="s">
        <v>330</v>
      </c>
      <c r="Q147" s="1" t="s">
        <v>310</v>
      </c>
      <c r="R147" s="5" t="s">
        <v>291</v>
      </c>
      <c r="S147" s="5" t="s">
        <v>42</v>
      </c>
      <c r="U147" s="5" t="s">
        <v>311</v>
      </c>
      <c r="X147" s="9" t="s">
        <v>316</v>
      </c>
      <c r="Y147" s="5" t="s">
        <v>329</v>
      </c>
      <c r="Z147" s="5" t="s">
        <v>45</v>
      </c>
      <c r="AA147" s="5" t="s">
        <v>46</v>
      </c>
      <c r="AB147" s="5" t="s">
        <v>331</v>
      </c>
      <c r="AC147" s="5" t="s">
        <v>332</v>
      </c>
      <c r="AD147" s="5" t="str">
        <f>_xlfn.CONCAT(Table58911[[#This Row],[&lt;&lt;NOLA&gt;&gt;
NIEM Element]],Table58911[[#This Row],[Repeat Values per attribute]])</f>
        <v>nc:StreetDirectionalTexte</v>
      </c>
    </row>
    <row r="148" spans="1:30" ht="30" customHeight="1" x14ac:dyDescent="0.3">
      <c r="A148" s="5">
        <f t="shared" si="12"/>
        <v>147</v>
      </c>
      <c r="B148" s="5">
        <f t="shared" si="15"/>
        <v>1</v>
      </c>
      <c r="C148" s="5">
        <f t="shared" si="15"/>
        <v>14</v>
      </c>
      <c r="D148" s="5">
        <f t="shared" si="14"/>
        <v>50</v>
      </c>
      <c r="E148" s="5" t="s">
        <v>32</v>
      </c>
      <c r="F148" s="5" t="s">
        <v>8</v>
      </c>
      <c r="G148" s="5">
        <v>404</v>
      </c>
      <c r="H148" s="6" t="s">
        <v>33</v>
      </c>
      <c r="I148" s="7" t="s">
        <v>306</v>
      </c>
      <c r="J148" s="5" t="s">
        <v>34</v>
      </c>
      <c r="K148" s="5" t="s">
        <v>307</v>
      </c>
      <c r="L148" s="5" t="s">
        <v>36</v>
      </c>
      <c r="M148" s="8" t="s">
        <v>182</v>
      </c>
      <c r="N148" s="5" t="s">
        <v>306</v>
      </c>
      <c r="O148" s="5" t="s">
        <v>333</v>
      </c>
      <c r="P148" s="1" t="s">
        <v>334</v>
      </c>
      <c r="Q148" s="1" t="s">
        <v>310</v>
      </c>
      <c r="R148" s="5" t="s">
        <v>291</v>
      </c>
      <c r="S148" s="5" t="s">
        <v>42</v>
      </c>
      <c r="U148" s="5" t="s">
        <v>311</v>
      </c>
      <c r="X148" s="9" t="s">
        <v>312</v>
      </c>
      <c r="Y148" s="5" t="s">
        <v>333</v>
      </c>
      <c r="Z148" s="5" t="s">
        <v>45</v>
      </c>
      <c r="AA148" s="5" t="s">
        <v>90</v>
      </c>
      <c r="AB148" s="5" t="s">
        <v>313</v>
      </c>
      <c r="AC148" s="5" t="s">
        <v>335</v>
      </c>
      <c r="AD148" s="5" t="str">
        <f>_xlfn.CONCAT(Table58911[[#This Row],[&lt;&lt;NOLA&gt;&gt;
NIEM Element]],Table58911[[#This Row],[Repeat Values per attribute]])</f>
        <v>nc:StreetDirectionalTextg</v>
      </c>
    </row>
    <row r="149" spans="1:30" ht="30" customHeight="1" x14ac:dyDescent="0.3">
      <c r="A149" s="5">
        <f t="shared" si="12"/>
        <v>148</v>
      </c>
      <c r="B149" s="5">
        <f t="shared" si="15"/>
        <v>1</v>
      </c>
      <c r="C149" s="5">
        <f t="shared" si="15"/>
        <v>14</v>
      </c>
      <c r="D149" s="5">
        <f t="shared" si="14"/>
        <v>50</v>
      </c>
      <c r="E149" s="5" t="s">
        <v>49</v>
      </c>
      <c r="F149" s="5" t="s">
        <v>8</v>
      </c>
      <c r="G149" s="5">
        <v>404</v>
      </c>
      <c r="H149" s="6" t="s">
        <v>33</v>
      </c>
      <c r="I149" s="7" t="s">
        <v>306</v>
      </c>
      <c r="J149" s="5" t="s">
        <v>34</v>
      </c>
      <c r="K149" s="5" t="s">
        <v>307</v>
      </c>
      <c r="L149" s="5" t="s">
        <v>36</v>
      </c>
      <c r="M149" s="8" t="s">
        <v>182</v>
      </c>
      <c r="N149" s="5" t="s">
        <v>306</v>
      </c>
      <c r="O149" s="5" t="s">
        <v>333</v>
      </c>
      <c r="P149" s="1" t="s">
        <v>334</v>
      </c>
      <c r="Q149" s="1" t="s">
        <v>310</v>
      </c>
      <c r="R149" s="5" t="s">
        <v>291</v>
      </c>
      <c r="S149" s="5" t="s">
        <v>42</v>
      </c>
      <c r="U149" s="5" t="s">
        <v>311</v>
      </c>
      <c r="X149" s="9" t="s">
        <v>315</v>
      </c>
      <c r="Y149" s="5" t="s">
        <v>333</v>
      </c>
      <c r="Z149" s="5" t="s">
        <v>45</v>
      </c>
      <c r="AA149" s="5" t="s">
        <v>90</v>
      </c>
      <c r="AB149" s="5" t="s">
        <v>313</v>
      </c>
      <c r="AC149" s="5" t="s">
        <v>335</v>
      </c>
      <c r="AD149" s="5" t="str">
        <f>_xlfn.CONCAT(Table58911[[#This Row],[&lt;&lt;NOLA&gt;&gt;
NIEM Element]],Table58911[[#This Row],[Repeat Values per attribute]])</f>
        <v>nc:StreetDirectionalTextg</v>
      </c>
    </row>
    <row r="150" spans="1:30" ht="30" customHeight="1" x14ac:dyDescent="0.3">
      <c r="A150" s="5">
        <f t="shared" si="12"/>
        <v>149</v>
      </c>
      <c r="B150" s="5">
        <f t="shared" si="15"/>
        <v>1</v>
      </c>
      <c r="C150" s="5">
        <f t="shared" si="15"/>
        <v>14</v>
      </c>
      <c r="D150" s="5">
        <f t="shared" si="14"/>
        <v>50</v>
      </c>
      <c r="E150" s="5" t="s">
        <v>49</v>
      </c>
      <c r="F150" s="5" t="s">
        <v>8</v>
      </c>
      <c r="G150" s="5">
        <v>404</v>
      </c>
      <c r="H150" s="6" t="s">
        <v>33</v>
      </c>
      <c r="I150" s="7" t="s">
        <v>306</v>
      </c>
      <c r="J150" s="5" t="s">
        <v>34</v>
      </c>
      <c r="K150" s="5" t="s">
        <v>307</v>
      </c>
      <c r="L150" s="5" t="s">
        <v>36</v>
      </c>
      <c r="M150" s="8" t="s">
        <v>182</v>
      </c>
      <c r="N150" s="5" t="s">
        <v>306</v>
      </c>
      <c r="O150" s="5" t="s">
        <v>333</v>
      </c>
      <c r="P150" s="1" t="s">
        <v>334</v>
      </c>
      <c r="Q150" s="1" t="s">
        <v>310</v>
      </c>
      <c r="R150" s="5" t="s">
        <v>291</v>
      </c>
      <c r="S150" s="5" t="s">
        <v>42</v>
      </c>
      <c r="U150" s="5" t="s">
        <v>311</v>
      </c>
      <c r="X150" s="9" t="s">
        <v>316</v>
      </c>
      <c r="Y150" s="5" t="s">
        <v>333</v>
      </c>
      <c r="Z150" s="5" t="s">
        <v>45</v>
      </c>
      <c r="AA150" s="5" t="s">
        <v>90</v>
      </c>
      <c r="AB150" s="5" t="s">
        <v>313</v>
      </c>
      <c r="AC150" s="5" t="s">
        <v>335</v>
      </c>
      <c r="AD150" s="5" t="str">
        <f>_xlfn.CONCAT(Table58911[[#This Row],[&lt;&lt;NOLA&gt;&gt;
NIEM Element]],Table58911[[#This Row],[Repeat Values per attribute]])</f>
        <v>nc:StreetDirectionalTextg</v>
      </c>
    </row>
    <row r="151" spans="1:30" ht="30" customHeight="1" x14ac:dyDescent="0.3">
      <c r="A151" s="5">
        <f t="shared" si="12"/>
        <v>150</v>
      </c>
      <c r="B151" s="5">
        <f t="shared" si="15"/>
        <v>1</v>
      </c>
      <c r="C151" s="5">
        <f t="shared" si="15"/>
        <v>15</v>
      </c>
      <c r="D151" s="5">
        <f t="shared" si="14"/>
        <v>51</v>
      </c>
      <c r="E151" s="5" t="s">
        <v>32</v>
      </c>
      <c r="F151" s="5" t="s">
        <v>8</v>
      </c>
      <c r="G151" s="5">
        <v>405</v>
      </c>
      <c r="H151" s="6" t="s">
        <v>33</v>
      </c>
      <c r="I151" s="7" t="s">
        <v>336</v>
      </c>
      <c r="J151" s="5" t="s">
        <v>34</v>
      </c>
      <c r="K151" s="5" t="s">
        <v>337</v>
      </c>
      <c r="L151" s="5" t="s">
        <v>36</v>
      </c>
      <c r="M151" s="8" t="s">
        <v>52</v>
      </c>
      <c r="N151" s="5" t="s">
        <v>336</v>
      </c>
      <c r="O151" s="5" t="s">
        <v>338</v>
      </c>
      <c r="P151" s="1" t="s">
        <v>339</v>
      </c>
      <c r="Q151" s="1" t="s">
        <v>340</v>
      </c>
      <c r="R151" s="5" t="s">
        <v>341</v>
      </c>
      <c r="S151" s="5" t="s">
        <v>159</v>
      </c>
      <c r="U151" s="5" t="s">
        <v>342</v>
      </c>
      <c r="X151" s="9" t="s">
        <v>343</v>
      </c>
      <c r="Y151" s="5" t="s">
        <v>338</v>
      </c>
      <c r="Z151" s="5" t="s">
        <v>45</v>
      </c>
      <c r="AA151" s="5" t="s">
        <v>90</v>
      </c>
      <c r="AB151" s="5" t="s">
        <v>344</v>
      </c>
      <c r="AC151" s="5" t="s">
        <v>345</v>
      </c>
      <c r="AD151" s="5" t="str">
        <f>_xlfn.CONCAT(Table58911[[#This Row],[&lt;&lt;NOLA&gt;&gt;
NIEM Element]],Table58911[[#This Row],[Repeat Values per attribute]])</f>
        <v>nc:AddressPostalCodeb</v>
      </c>
    </row>
    <row r="152" spans="1:30" ht="30" customHeight="1" x14ac:dyDescent="0.3">
      <c r="A152" s="5">
        <f t="shared" si="12"/>
        <v>151</v>
      </c>
      <c r="B152" s="5">
        <f t="shared" si="15"/>
        <v>1</v>
      </c>
      <c r="C152" s="5">
        <f t="shared" si="15"/>
        <v>15</v>
      </c>
      <c r="D152" s="5">
        <f t="shared" si="14"/>
        <v>51</v>
      </c>
      <c r="E152" s="5" t="s">
        <v>49</v>
      </c>
      <c r="F152" s="5" t="s">
        <v>8</v>
      </c>
      <c r="G152" s="5">
        <v>405</v>
      </c>
      <c r="H152" s="6" t="s">
        <v>33</v>
      </c>
      <c r="I152" s="7" t="s">
        <v>336</v>
      </c>
      <c r="J152" s="5" t="s">
        <v>34</v>
      </c>
      <c r="K152" s="5" t="s">
        <v>337</v>
      </c>
      <c r="L152" s="5" t="s">
        <v>36</v>
      </c>
      <c r="M152" s="8" t="s">
        <v>52</v>
      </c>
      <c r="N152" s="5" t="s">
        <v>336</v>
      </c>
      <c r="O152" s="5" t="s">
        <v>338</v>
      </c>
      <c r="P152" s="1" t="s">
        <v>339</v>
      </c>
      <c r="Q152" s="1" t="s">
        <v>340</v>
      </c>
      <c r="R152" s="5" t="s">
        <v>341</v>
      </c>
      <c r="S152" s="5" t="s">
        <v>159</v>
      </c>
      <c r="U152" s="5" t="s">
        <v>342</v>
      </c>
      <c r="X152" s="9" t="s">
        <v>346</v>
      </c>
      <c r="Y152" s="5" t="s">
        <v>338</v>
      </c>
      <c r="Z152" s="5" t="s">
        <v>45</v>
      </c>
      <c r="AA152" s="5" t="s">
        <v>90</v>
      </c>
      <c r="AB152" s="5" t="s">
        <v>344</v>
      </c>
      <c r="AC152" s="5" t="s">
        <v>345</v>
      </c>
      <c r="AD152" s="5" t="str">
        <f>_xlfn.CONCAT(Table58911[[#This Row],[&lt;&lt;NOLA&gt;&gt;
NIEM Element]],Table58911[[#This Row],[Repeat Values per attribute]])</f>
        <v>nc:AddressPostalCodeb</v>
      </c>
    </row>
    <row r="153" spans="1:30" ht="30" customHeight="1" x14ac:dyDescent="0.3">
      <c r="A153" s="5">
        <f t="shared" si="12"/>
        <v>152</v>
      </c>
      <c r="B153" s="5">
        <f t="shared" si="15"/>
        <v>1</v>
      </c>
      <c r="C153" s="5">
        <f t="shared" si="15"/>
        <v>15</v>
      </c>
      <c r="D153" s="5">
        <f t="shared" si="14"/>
        <v>51</v>
      </c>
      <c r="E153" s="5" t="s">
        <v>49</v>
      </c>
      <c r="F153" s="5" t="s">
        <v>8</v>
      </c>
      <c r="G153" s="5">
        <v>405</v>
      </c>
      <c r="H153" s="6" t="s">
        <v>33</v>
      </c>
      <c r="I153" s="7" t="s">
        <v>336</v>
      </c>
      <c r="J153" s="5" t="s">
        <v>34</v>
      </c>
      <c r="K153" s="5" t="s">
        <v>337</v>
      </c>
      <c r="L153" s="5" t="s">
        <v>36</v>
      </c>
      <c r="M153" s="8" t="s">
        <v>52</v>
      </c>
      <c r="N153" s="5" t="s">
        <v>336</v>
      </c>
      <c r="O153" s="5" t="s">
        <v>338</v>
      </c>
      <c r="P153" s="1" t="s">
        <v>339</v>
      </c>
      <c r="Q153" s="1" t="s">
        <v>340</v>
      </c>
      <c r="R153" s="5" t="s">
        <v>341</v>
      </c>
      <c r="S153" s="5" t="s">
        <v>159</v>
      </c>
      <c r="U153" s="5" t="s">
        <v>342</v>
      </c>
      <c r="X153" s="9" t="s">
        <v>347</v>
      </c>
      <c r="Y153" s="5" t="s">
        <v>338</v>
      </c>
      <c r="Z153" s="5" t="s">
        <v>45</v>
      </c>
      <c r="AA153" s="5" t="s">
        <v>90</v>
      </c>
      <c r="AB153" s="5" t="s">
        <v>344</v>
      </c>
      <c r="AC153" s="5" t="s">
        <v>345</v>
      </c>
      <c r="AD153" s="5" t="str">
        <f>_xlfn.CONCAT(Table58911[[#This Row],[&lt;&lt;NOLA&gt;&gt;
NIEM Element]],Table58911[[#This Row],[Repeat Values per attribute]])</f>
        <v>nc:AddressPostalCodeb</v>
      </c>
    </row>
    <row r="154" spans="1:30" ht="30" customHeight="1" x14ac:dyDescent="0.3">
      <c r="A154" s="5">
        <f t="shared" si="12"/>
        <v>153</v>
      </c>
      <c r="B154" s="5">
        <f t="shared" si="15"/>
        <v>1</v>
      </c>
      <c r="C154" s="5">
        <f t="shared" si="15"/>
        <v>16</v>
      </c>
      <c r="D154" s="5">
        <f t="shared" si="14"/>
        <v>52</v>
      </c>
      <c r="E154" s="5" t="s">
        <v>32</v>
      </c>
      <c r="F154" s="5" t="s">
        <v>8</v>
      </c>
      <c r="G154" s="5">
        <v>406</v>
      </c>
      <c r="H154" s="6" t="s">
        <v>33</v>
      </c>
      <c r="I154" s="7" t="s">
        <v>348</v>
      </c>
      <c r="J154" s="5" t="s">
        <v>34</v>
      </c>
      <c r="K154" s="5" t="s">
        <v>337</v>
      </c>
      <c r="L154" s="5" t="s">
        <v>36</v>
      </c>
      <c r="M154" s="8" t="s">
        <v>52</v>
      </c>
      <c r="N154" s="5" t="s">
        <v>348</v>
      </c>
      <c r="O154" s="5" t="s">
        <v>338</v>
      </c>
      <c r="P154" s="1" t="s">
        <v>339</v>
      </c>
      <c r="Q154" s="1" t="s">
        <v>340</v>
      </c>
      <c r="R154" s="5" t="s">
        <v>349</v>
      </c>
      <c r="S154" s="5" t="s">
        <v>159</v>
      </c>
      <c r="U154" s="5" t="s">
        <v>350</v>
      </c>
      <c r="X154" s="9" t="s">
        <v>351</v>
      </c>
      <c r="Y154" s="5" t="s">
        <v>338</v>
      </c>
      <c r="Z154" s="5" t="s">
        <v>45</v>
      </c>
      <c r="AA154" s="5" t="s">
        <v>90</v>
      </c>
      <c r="AB154" s="5" t="s">
        <v>344</v>
      </c>
      <c r="AC154" s="5" t="s">
        <v>345</v>
      </c>
      <c r="AD154" s="5" t="str">
        <f>_xlfn.CONCAT(Table58911[[#This Row],[&lt;&lt;NOLA&gt;&gt;
NIEM Element]],Table58911[[#This Row],[Repeat Values per attribute]])</f>
        <v>nc:AddressPostalExtensionCodeb</v>
      </c>
    </row>
    <row r="155" spans="1:30" ht="30" customHeight="1" x14ac:dyDescent="0.3">
      <c r="A155" s="5">
        <f t="shared" si="12"/>
        <v>154</v>
      </c>
      <c r="B155" s="5">
        <f t="shared" si="15"/>
        <v>1</v>
      </c>
      <c r="C155" s="5">
        <f t="shared" si="15"/>
        <v>16</v>
      </c>
      <c r="D155" s="5">
        <f t="shared" si="14"/>
        <v>52</v>
      </c>
      <c r="E155" s="5" t="s">
        <v>49</v>
      </c>
      <c r="F155" s="5" t="s">
        <v>8</v>
      </c>
      <c r="G155" s="5">
        <v>406</v>
      </c>
      <c r="H155" s="6" t="s">
        <v>33</v>
      </c>
      <c r="I155" s="7" t="s">
        <v>348</v>
      </c>
      <c r="J155" s="5" t="s">
        <v>34</v>
      </c>
      <c r="K155" s="5" t="s">
        <v>337</v>
      </c>
      <c r="L155" s="5" t="s">
        <v>36</v>
      </c>
      <c r="M155" s="8" t="s">
        <v>52</v>
      </c>
      <c r="N155" s="5" t="s">
        <v>348</v>
      </c>
      <c r="O155" s="5" t="s">
        <v>338</v>
      </c>
      <c r="P155" s="1" t="s">
        <v>339</v>
      </c>
      <c r="Q155" s="1" t="s">
        <v>340</v>
      </c>
      <c r="R155" s="5" t="s">
        <v>349</v>
      </c>
      <c r="S155" s="5" t="s">
        <v>159</v>
      </c>
      <c r="U155" s="5" t="s">
        <v>350</v>
      </c>
      <c r="X155" s="9" t="s">
        <v>352</v>
      </c>
      <c r="Y155" s="5" t="s">
        <v>338</v>
      </c>
      <c r="Z155" s="5" t="s">
        <v>45</v>
      </c>
      <c r="AA155" s="5" t="s">
        <v>90</v>
      </c>
      <c r="AB155" s="5" t="s">
        <v>344</v>
      </c>
      <c r="AC155" s="5" t="s">
        <v>345</v>
      </c>
      <c r="AD155" s="5" t="str">
        <f>_xlfn.CONCAT(Table58911[[#This Row],[&lt;&lt;NOLA&gt;&gt;
NIEM Element]],Table58911[[#This Row],[Repeat Values per attribute]])</f>
        <v>nc:AddressPostalExtensionCodeb</v>
      </c>
    </row>
    <row r="156" spans="1:30" ht="30" customHeight="1" x14ac:dyDescent="0.3">
      <c r="A156" s="5">
        <f t="shared" si="12"/>
        <v>155</v>
      </c>
      <c r="B156" s="5">
        <f t="shared" si="15"/>
        <v>1</v>
      </c>
      <c r="C156" s="5">
        <f t="shared" si="15"/>
        <v>16</v>
      </c>
      <c r="D156" s="5">
        <f t="shared" si="14"/>
        <v>52</v>
      </c>
      <c r="E156" s="5" t="s">
        <v>49</v>
      </c>
      <c r="F156" s="5" t="s">
        <v>8</v>
      </c>
      <c r="G156" s="5">
        <v>406</v>
      </c>
      <c r="H156" s="6" t="s">
        <v>33</v>
      </c>
      <c r="I156" s="7" t="s">
        <v>348</v>
      </c>
      <c r="J156" s="5" t="s">
        <v>34</v>
      </c>
      <c r="K156" s="5" t="s">
        <v>337</v>
      </c>
      <c r="L156" s="5" t="s">
        <v>36</v>
      </c>
      <c r="M156" s="8" t="s">
        <v>52</v>
      </c>
      <c r="N156" s="5" t="s">
        <v>348</v>
      </c>
      <c r="O156" s="5" t="s">
        <v>338</v>
      </c>
      <c r="P156" s="1" t="s">
        <v>339</v>
      </c>
      <c r="Q156" s="1" t="s">
        <v>340</v>
      </c>
      <c r="R156" s="5" t="s">
        <v>349</v>
      </c>
      <c r="S156" s="5" t="s">
        <v>159</v>
      </c>
      <c r="U156" s="5" t="s">
        <v>350</v>
      </c>
      <c r="X156" s="9" t="s">
        <v>353</v>
      </c>
      <c r="Y156" s="5" t="s">
        <v>338</v>
      </c>
      <c r="Z156" s="5" t="s">
        <v>45</v>
      </c>
      <c r="AA156" s="5" t="s">
        <v>90</v>
      </c>
      <c r="AB156" s="5" t="s">
        <v>344</v>
      </c>
      <c r="AC156" s="5" t="s">
        <v>345</v>
      </c>
      <c r="AD156" s="5" t="str">
        <f>_xlfn.CONCAT(Table58911[[#This Row],[&lt;&lt;NOLA&gt;&gt;
NIEM Element]],Table58911[[#This Row],[Repeat Values per attribute]])</f>
        <v>nc:AddressPostalExtensionCodeb</v>
      </c>
    </row>
    <row r="157" spans="1:30" ht="30" customHeight="1" x14ac:dyDescent="0.3">
      <c r="A157" s="5">
        <f t="shared" si="12"/>
        <v>156</v>
      </c>
      <c r="B157" s="5">
        <f t="shared" si="15"/>
        <v>2</v>
      </c>
      <c r="C157" s="5">
        <f t="shared" si="15"/>
        <v>17</v>
      </c>
      <c r="D157" s="5">
        <f t="shared" si="14"/>
        <v>53</v>
      </c>
      <c r="E157" s="5" t="s">
        <v>49</v>
      </c>
      <c r="F157" s="5" t="s">
        <v>8</v>
      </c>
      <c r="G157" s="5">
        <v>204</v>
      </c>
      <c r="H157" s="6" t="s">
        <v>354</v>
      </c>
      <c r="I157" s="7" t="s">
        <v>355</v>
      </c>
      <c r="J157" s="5" t="s">
        <v>34</v>
      </c>
      <c r="K157" s="5" t="s">
        <v>356</v>
      </c>
      <c r="L157" s="5" t="s">
        <v>36</v>
      </c>
      <c r="M157" s="8" t="s">
        <v>37</v>
      </c>
      <c r="N157" s="5" t="s">
        <v>355</v>
      </c>
      <c r="O157" s="5" t="s">
        <v>357</v>
      </c>
      <c r="P157" s="5" t="s">
        <v>358</v>
      </c>
      <c r="Q157" s="1" t="s">
        <v>359</v>
      </c>
      <c r="R157" s="5" t="s">
        <v>360</v>
      </c>
      <c r="S157" s="5" t="s">
        <v>42</v>
      </c>
      <c r="U157" s="1" t="s">
        <v>361</v>
      </c>
      <c r="X157" s="9" t="s">
        <v>362</v>
      </c>
      <c r="Y157" s="5" t="s">
        <v>357</v>
      </c>
      <c r="Z157" s="5" t="s">
        <v>45</v>
      </c>
      <c r="AA157" s="5" t="s">
        <v>90</v>
      </c>
      <c r="AB157" s="5" t="s">
        <v>363</v>
      </c>
      <c r="AC157" s="5" t="s">
        <v>364</v>
      </c>
      <c r="AD157" s="5" t="str">
        <f>_xlfn.CONCAT(Table58911[[#This Row],[&lt;&lt;NOLA&gt;&gt;
NIEM Element]],Table58911[[#This Row],[Repeat Values per attribute]])</f>
        <v>nc:OrganizationNamea</v>
      </c>
    </row>
    <row r="158" spans="1:30" ht="30" customHeight="1" x14ac:dyDescent="0.3">
      <c r="A158" s="5">
        <f t="shared" si="12"/>
        <v>157</v>
      </c>
      <c r="B158" s="5">
        <f t="shared" si="15"/>
        <v>2</v>
      </c>
      <c r="C158" s="5">
        <f t="shared" si="15"/>
        <v>17</v>
      </c>
      <c r="D158" s="5">
        <f t="shared" si="14"/>
        <v>53</v>
      </c>
      <c r="E158" s="5" t="s">
        <v>32</v>
      </c>
      <c r="F158" s="5" t="s">
        <v>8</v>
      </c>
      <c r="G158" s="5">
        <v>204</v>
      </c>
      <c r="H158" s="6" t="s">
        <v>354</v>
      </c>
      <c r="I158" s="7" t="s">
        <v>355</v>
      </c>
      <c r="J158" s="5" t="s">
        <v>34</v>
      </c>
      <c r="K158" s="5" t="s">
        <v>356</v>
      </c>
      <c r="L158" s="5" t="s">
        <v>36</v>
      </c>
      <c r="M158" s="8" t="s">
        <v>37</v>
      </c>
      <c r="N158" s="5" t="s">
        <v>355</v>
      </c>
      <c r="O158" s="5" t="s">
        <v>357</v>
      </c>
      <c r="P158" s="5" t="s">
        <v>358</v>
      </c>
      <c r="Q158" s="1" t="s">
        <v>359</v>
      </c>
      <c r="R158" s="5" t="s">
        <v>360</v>
      </c>
      <c r="S158" s="5" t="s">
        <v>42</v>
      </c>
      <c r="U158" s="1" t="s">
        <v>361</v>
      </c>
      <c r="X158" s="9" t="s">
        <v>365</v>
      </c>
      <c r="Y158" s="5" t="s">
        <v>357</v>
      </c>
      <c r="Z158" s="5" t="s">
        <v>45</v>
      </c>
      <c r="AA158" s="5" t="s">
        <v>90</v>
      </c>
      <c r="AB158" s="5" t="s">
        <v>363</v>
      </c>
      <c r="AC158" s="5" t="s">
        <v>364</v>
      </c>
      <c r="AD158" s="5" t="str">
        <f>_xlfn.CONCAT(Table58911[[#This Row],[&lt;&lt;NOLA&gt;&gt;
NIEM Element]],Table58911[[#This Row],[Repeat Values per attribute]])</f>
        <v>nc:OrganizationNamea</v>
      </c>
    </row>
    <row r="159" spans="1:30" ht="30" customHeight="1" x14ac:dyDescent="0.3">
      <c r="A159" s="5">
        <f t="shared" si="12"/>
        <v>158</v>
      </c>
      <c r="B159" s="5">
        <f t="shared" si="15"/>
        <v>2</v>
      </c>
      <c r="C159" s="5">
        <f t="shared" si="15"/>
        <v>17</v>
      </c>
      <c r="D159" s="5">
        <f t="shared" si="14"/>
        <v>53</v>
      </c>
      <c r="E159" s="5" t="s">
        <v>49</v>
      </c>
      <c r="F159" s="5" t="s">
        <v>8</v>
      </c>
      <c r="G159" s="5">
        <v>204</v>
      </c>
      <c r="H159" s="6" t="s">
        <v>354</v>
      </c>
      <c r="I159" s="7" t="s">
        <v>355</v>
      </c>
      <c r="J159" s="5" t="s">
        <v>34</v>
      </c>
      <c r="K159" s="5" t="s">
        <v>356</v>
      </c>
      <c r="L159" s="5" t="s">
        <v>36</v>
      </c>
      <c r="M159" s="8" t="s">
        <v>37</v>
      </c>
      <c r="N159" s="5" t="s">
        <v>355</v>
      </c>
      <c r="O159" s="5" t="s">
        <v>357</v>
      </c>
      <c r="P159" s="5" t="s">
        <v>358</v>
      </c>
      <c r="Q159" s="1" t="s">
        <v>359</v>
      </c>
      <c r="R159" s="5" t="s">
        <v>360</v>
      </c>
      <c r="S159" s="5" t="s">
        <v>42</v>
      </c>
      <c r="U159" s="1" t="s">
        <v>361</v>
      </c>
      <c r="X159" s="9" t="s">
        <v>366</v>
      </c>
      <c r="Y159" s="5" t="s">
        <v>357</v>
      </c>
      <c r="Z159" s="5" t="s">
        <v>45</v>
      </c>
      <c r="AA159" s="5" t="s">
        <v>90</v>
      </c>
      <c r="AB159" s="5" t="s">
        <v>363</v>
      </c>
      <c r="AC159" s="5" t="s">
        <v>364</v>
      </c>
      <c r="AD159" s="5" t="str">
        <f>_xlfn.CONCAT(Table58911[[#This Row],[&lt;&lt;NOLA&gt;&gt;
NIEM Element]],Table58911[[#This Row],[Repeat Values per attribute]])</f>
        <v>nc:OrganizationNamea</v>
      </c>
    </row>
    <row r="160" spans="1:30" ht="30" customHeight="1" x14ac:dyDescent="0.3">
      <c r="A160" s="5">
        <f t="shared" si="12"/>
        <v>159</v>
      </c>
      <c r="B160" s="5">
        <f t="shared" si="15"/>
        <v>2</v>
      </c>
      <c r="C160" s="5">
        <f t="shared" si="15"/>
        <v>17</v>
      </c>
      <c r="D160" s="5">
        <f t="shared" si="14"/>
        <v>53</v>
      </c>
      <c r="E160" s="5" t="s">
        <v>49</v>
      </c>
      <c r="F160" s="5" t="s">
        <v>8</v>
      </c>
      <c r="G160" s="5">
        <v>204</v>
      </c>
      <c r="H160" s="6" t="s">
        <v>354</v>
      </c>
      <c r="I160" s="7" t="s">
        <v>355</v>
      </c>
      <c r="J160" s="5" t="s">
        <v>34</v>
      </c>
      <c r="K160" s="5" t="s">
        <v>356</v>
      </c>
      <c r="L160" s="5" t="s">
        <v>36</v>
      </c>
      <c r="M160" s="8" t="s">
        <v>37</v>
      </c>
      <c r="N160" s="5" t="s">
        <v>355</v>
      </c>
      <c r="O160" s="5" t="s">
        <v>357</v>
      </c>
      <c r="P160" s="5" t="s">
        <v>358</v>
      </c>
      <c r="Q160" s="1" t="s">
        <v>359</v>
      </c>
      <c r="R160" s="5" t="s">
        <v>360</v>
      </c>
      <c r="S160" s="5" t="s">
        <v>42</v>
      </c>
      <c r="U160" s="1" t="s">
        <v>361</v>
      </c>
      <c r="X160" s="9" t="s">
        <v>367</v>
      </c>
      <c r="Y160" s="5" t="s">
        <v>357</v>
      </c>
      <c r="Z160" s="5" t="s">
        <v>45</v>
      </c>
      <c r="AA160" s="5" t="s">
        <v>90</v>
      </c>
      <c r="AB160" s="5" t="s">
        <v>363</v>
      </c>
      <c r="AC160" s="5" t="s">
        <v>364</v>
      </c>
      <c r="AD160" s="5" t="str">
        <f>_xlfn.CONCAT(Table58911[[#This Row],[&lt;&lt;NOLA&gt;&gt;
NIEM Element]],Table58911[[#This Row],[Repeat Values per attribute]])</f>
        <v>nc:OrganizationNamea</v>
      </c>
    </row>
    <row r="161" spans="1:31" ht="30" customHeight="1" x14ac:dyDescent="0.3">
      <c r="A161" s="5">
        <f t="shared" si="12"/>
        <v>160</v>
      </c>
      <c r="B161" s="5">
        <f t="shared" si="15"/>
        <v>3</v>
      </c>
      <c r="C161" s="5">
        <f t="shared" si="15"/>
        <v>18</v>
      </c>
      <c r="D161" s="5">
        <f t="shared" si="14"/>
        <v>54</v>
      </c>
      <c r="E161" s="5" t="s">
        <v>32</v>
      </c>
      <c r="F161" s="5" t="s">
        <v>8</v>
      </c>
      <c r="G161" s="5">
        <v>311</v>
      </c>
      <c r="H161" s="6" t="s">
        <v>368</v>
      </c>
      <c r="I161" s="7" t="s">
        <v>369</v>
      </c>
      <c r="J161" s="5" t="s">
        <v>370</v>
      </c>
      <c r="K161" s="5" t="s">
        <v>371</v>
      </c>
      <c r="L161" s="5" t="s">
        <v>36</v>
      </c>
      <c r="M161" s="8" t="s">
        <v>37</v>
      </c>
      <c r="N161" s="5" t="s">
        <v>369</v>
      </c>
      <c r="O161" s="5" t="s">
        <v>372</v>
      </c>
      <c r="P161" s="5" t="s">
        <v>373</v>
      </c>
      <c r="Q161" s="1" t="s">
        <v>374</v>
      </c>
      <c r="R161" s="5" t="s">
        <v>375</v>
      </c>
      <c r="U161" s="5" t="s">
        <v>376</v>
      </c>
      <c r="X161" s="9" t="s">
        <v>377</v>
      </c>
      <c r="Y161" s="5" t="s">
        <v>372</v>
      </c>
      <c r="Z161" s="5" t="s">
        <v>45</v>
      </c>
      <c r="AA161" s="5" t="s">
        <v>46</v>
      </c>
      <c r="AB161" s="5" t="s">
        <v>378</v>
      </c>
      <c r="AC161" s="5" t="s">
        <v>379</v>
      </c>
      <c r="AD161" s="5" t="str">
        <f>_xlfn.CONCAT(Table58911[[#This Row],[&lt;&lt;NOLA&gt;&gt;
NIEM Element]],Table58911[[#This Row],[Repeat Values per attribute]])</f>
        <v>nc:IdentificationIDa</v>
      </c>
    </row>
    <row r="162" spans="1:31" ht="30" customHeight="1" x14ac:dyDescent="0.3">
      <c r="A162" s="5">
        <f t="shared" si="12"/>
        <v>161</v>
      </c>
      <c r="B162" s="5">
        <f t="shared" ref="B162:C177" si="16">IF(H161=H162,B161,B161+1)</f>
        <v>3</v>
      </c>
      <c r="C162" s="5">
        <f t="shared" si="16"/>
        <v>18</v>
      </c>
      <c r="D162" s="5">
        <f t="shared" si="14"/>
        <v>55</v>
      </c>
      <c r="E162" s="5" t="s">
        <v>32</v>
      </c>
      <c r="F162" s="5" t="s">
        <v>8</v>
      </c>
      <c r="G162" s="5">
        <v>311</v>
      </c>
      <c r="H162" s="6" t="s">
        <v>368</v>
      </c>
      <c r="I162" s="7" t="s">
        <v>369</v>
      </c>
      <c r="J162" s="5" t="s">
        <v>370</v>
      </c>
      <c r="K162" s="5" t="s">
        <v>371</v>
      </c>
      <c r="L162" s="5" t="s">
        <v>36</v>
      </c>
      <c r="M162" s="8" t="s">
        <v>57</v>
      </c>
      <c r="N162" s="5" t="s">
        <v>369</v>
      </c>
      <c r="O162" s="5" t="s">
        <v>380</v>
      </c>
      <c r="P162" s="1" t="s">
        <v>381</v>
      </c>
      <c r="Q162" s="1" t="s">
        <v>374</v>
      </c>
      <c r="R162" s="5" t="s">
        <v>375</v>
      </c>
      <c r="U162" s="5" t="s">
        <v>376</v>
      </c>
      <c r="X162" s="9" t="s">
        <v>377</v>
      </c>
      <c r="Y162" s="5" t="s">
        <v>380</v>
      </c>
      <c r="Z162" s="5" t="s">
        <v>382</v>
      </c>
      <c r="AA162" s="5" t="s">
        <v>90</v>
      </c>
      <c r="AB162" s="5" t="s">
        <v>378</v>
      </c>
      <c r="AC162" s="5" t="s">
        <v>383</v>
      </c>
      <c r="AD162" s="5" t="str">
        <f>_xlfn.CONCAT(Table58911[[#This Row],[&lt;&lt;NOLA&gt;&gt;
NIEM Element]],Table58911[[#This Row],[Repeat Values per attribute]])</f>
        <v>nc:IdentificationIDc</v>
      </c>
    </row>
    <row r="163" spans="1:31" ht="30" customHeight="1" x14ac:dyDescent="0.3">
      <c r="A163" s="5">
        <f t="shared" si="12"/>
        <v>162</v>
      </c>
      <c r="B163" s="5">
        <f t="shared" si="16"/>
        <v>4</v>
      </c>
      <c r="C163" s="5">
        <f t="shared" si="16"/>
        <v>19</v>
      </c>
      <c r="D163" s="5">
        <f t="shared" si="14"/>
        <v>56</v>
      </c>
      <c r="E163" s="5" t="s">
        <v>32</v>
      </c>
      <c r="F163" s="5" t="s">
        <v>8</v>
      </c>
      <c r="G163" s="5">
        <v>370</v>
      </c>
      <c r="H163" s="6" t="s">
        <v>384</v>
      </c>
      <c r="I163" s="7" t="s">
        <v>385</v>
      </c>
      <c r="J163" s="5" t="s">
        <v>386</v>
      </c>
      <c r="K163" s="5" t="s">
        <v>387</v>
      </c>
      <c r="L163" s="5" t="s">
        <v>36</v>
      </c>
      <c r="M163" s="8" t="s">
        <v>37</v>
      </c>
      <c r="N163" s="5" t="s">
        <v>385</v>
      </c>
      <c r="O163" s="5" t="s">
        <v>388</v>
      </c>
      <c r="P163" s="5" t="s">
        <v>389</v>
      </c>
      <c r="Q163" s="1" t="s">
        <v>390</v>
      </c>
      <c r="R163" s="5" t="s">
        <v>391</v>
      </c>
      <c r="S163" s="5" t="s">
        <v>392</v>
      </c>
      <c r="U163" s="5" t="s">
        <v>393</v>
      </c>
      <c r="X163" s="9" t="s">
        <v>394</v>
      </c>
      <c r="Y163" s="5" t="s">
        <v>388</v>
      </c>
      <c r="Z163" s="5" t="s">
        <v>45</v>
      </c>
      <c r="AA163" s="5" t="s">
        <v>46</v>
      </c>
      <c r="AB163" s="5" t="s">
        <v>395</v>
      </c>
      <c r="AC163" s="5" t="s">
        <v>396</v>
      </c>
      <c r="AD163" s="5" t="str">
        <f>_xlfn.CONCAT(Table58911[[#This Row],[&lt;&lt;NOLA&gt;&gt;
NIEM Element]],Table58911[[#This Row],[Repeat Values per attribute]])</f>
        <v>nc:Amounta</v>
      </c>
    </row>
    <row r="164" spans="1:31" ht="30" customHeight="1" x14ac:dyDescent="0.3">
      <c r="A164" s="5">
        <f t="shared" si="12"/>
        <v>163</v>
      </c>
      <c r="B164" s="5">
        <f t="shared" si="16"/>
        <v>5</v>
      </c>
      <c r="C164" s="5">
        <f t="shared" si="16"/>
        <v>20</v>
      </c>
      <c r="D164" s="5">
        <f t="shared" si="14"/>
        <v>57</v>
      </c>
      <c r="E164" s="5" t="s">
        <v>32</v>
      </c>
      <c r="F164" s="5" t="s">
        <v>8</v>
      </c>
      <c r="G164" s="5">
        <v>359</v>
      </c>
      <c r="H164" s="6" t="s">
        <v>397</v>
      </c>
      <c r="I164" s="7" t="s">
        <v>398</v>
      </c>
      <c r="J164" s="5" t="s">
        <v>399</v>
      </c>
      <c r="K164" s="5" t="s">
        <v>400</v>
      </c>
      <c r="L164" s="5" t="s">
        <v>36</v>
      </c>
      <c r="M164" s="8" t="s">
        <v>37</v>
      </c>
      <c r="N164" s="5" t="s">
        <v>398</v>
      </c>
      <c r="O164" s="5" t="s">
        <v>401</v>
      </c>
      <c r="P164" s="5" t="s">
        <v>402</v>
      </c>
      <c r="Q164" s="1" t="s">
        <v>403</v>
      </c>
      <c r="R164" s="5" t="s">
        <v>404</v>
      </c>
      <c r="S164" s="5" t="s">
        <v>405</v>
      </c>
      <c r="U164" s="5" t="s">
        <v>406</v>
      </c>
      <c r="X164" s="9" t="s">
        <v>407</v>
      </c>
      <c r="Y164" s="5" t="s">
        <v>401</v>
      </c>
      <c r="Z164" s="5" t="s">
        <v>45</v>
      </c>
      <c r="AA164" s="5" t="s">
        <v>46</v>
      </c>
      <c r="AB164" s="5" t="s">
        <v>408</v>
      </c>
      <c r="AC164" s="5" t="s">
        <v>409</v>
      </c>
      <c r="AD164" s="5" t="str">
        <f>_xlfn.CONCAT(Table58911[[#This Row],[&lt;&lt;NOLA&gt;&gt;
NIEM Element]],Table58911[[#This Row],[Repeat Values per attribute]])</f>
        <v>nc:DateTimea</v>
      </c>
    </row>
    <row r="165" spans="1:31" ht="30" customHeight="1" x14ac:dyDescent="0.3">
      <c r="A165" s="5">
        <f t="shared" si="12"/>
        <v>164</v>
      </c>
      <c r="B165" s="5">
        <f t="shared" si="16"/>
        <v>5</v>
      </c>
      <c r="C165" s="5">
        <f t="shared" si="16"/>
        <v>20</v>
      </c>
      <c r="D165" s="5">
        <f t="shared" si="14"/>
        <v>58</v>
      </c>
      <c r="E165" s="5" t="s">
        <v>32</v>
      </c>
      <c r="F165" s="5" t="s">
        <v>8</v>
      </c>
      <c r="G165" s="5">
        <v>359</v>
      </c>
      <c r="H165" s="6" t="s">
        <v>397</v>
      </c>
      <c r="I165" s="7" t="s">
        <v>398</v>
      </c>
      <c r="J165" s="5" t="s">
        <v>399</v>
      </c>
      <c r="K165" s="5" t="s">
        <v>400</v>
      </c>
      <c r="L165" s="5" t="s">
        <v>36</v>
      </c>
      <c r="M165" s="8" t="s">
        <v>52</v>
      </c>
      <c r="N165" s="5" t="s">
        <v>398</v>
      </c>
      <c r="O165" s="5" t="s">
        <v>410</v>
      </c>
      <c r="P165" s="1" t="s">
        <v>411</v>
      </c>
      <c r="Q165" s="1" t="s">
        <v>403</v>
      </c>
      <c r="R165" s="5" t="s">
        <v>404</v>
      </c>
      <c r="S165" s="5" t="s">
        <v>405</v>
      </c>
      <c r="U165" s="5" t="s">
        <v>406</v>
      </c>
      <c r="X165" s="9" t="s">
        <v>407</v>
      </c>
      <c r="Y165" s="5" t="s">
        <v>410</v>
      </c>
      <c r="Z165" s="5" t="s">
        <v>45</v>
      </c>
      <c r="AA165" s="5" t="s">
        <v>46</v>
      </c>
      <c r="AB165" s="5" t="s">
        <v>412</v>
      </c>
      <c r="AC165" s="5" t="s">
        <v>413</v>
      </c>
      <c r="AD165" s="5" t="str">
        <f>_xlfn.CONCAT(Table58911[[#This Row],[&lt;&lt;NOLA&gt;&gt;
NIEM Element]],Table58911[[#This Row],[Repeat Values per attribute]])</f>
        <v>nc:DateTimeb</v>
      </c>
    </row>
    <row r="166" spans="1:31" ht="30" customHeight="1" x14ac:dyDescent="0.3">
      <c r="A166" s="5">
        <f t="shared" si="12"/>
        <v>165</v>
      </c>
      <c r="B166" s="5">
        <f t="shared" si="16"/>
        <v>5</v>
      </c>
      <c r="C166" s="5">
        <f t="shared" si="16"/>
        <v>20</v>
      </c>
      <c r="D166" s="5">
        <f t="shared" si="14"/>
        <v>59</v>
      </c>
      <c r="E166" s="5" t="s">
        <v>32</v>
      </c>
      <c r="F166" s="5" t="s">
        <v>8</v>
      </c>
      <c r="G166" s="5">
        <v>359</v>
      </c>
      <c r="H166" s="6" t="s">
        <v>397</v>
      </c>
      <c r="I166" s="7" t="s">
        <v>398</v>
      </c>
      <c r="J166" s="5" t="s">
        <v>399</v>
      </c>
      <c r="K166" s="5" t="s">
        <v>400</v>
      </c>
      <c r="L166" s="5" t="s">
        <v>36</v>
      </c>
      <c r="M166" s="8" t="s">
        <v>57</v>
      </c>
      <c r="N166" s="5" t="s">
        <v>398</v>
      </c>
      <c r="O166" s="5" t="s">
        <v>414</v>
      </c>
      <c r="P166" s="1" t="s">
        <v>415</v>
      </c>
      <c r="Q166" s="1" t="s">
        <v>403</v>
      </c>
      <c r="R166" s="5" t="s">
        <v>404</v>
      </c>
      <c r="S166" s="5" t="s">
        <v>405</v>
      </c>
      <c r="U166" s="5" t="s">
        <v>406</v>
      </c>
      <c r="X166" s="9" t="s">
        <v>407</v>
      </c>
      <c r="Y166" s="5" t="s">
        <v>414</v>
      </c>
      <c r="Z166" s="5" t="s">
        <v>45</v>
      </c>
      <c r="AA166" s="5" t="s">
        <v>46</v>
      </c>
      <c r="AB166" s="5" t="s">
        <v>416</v>
      </c>
      <c r="AC166" s="5" t="s">
        <v>417</v>
      </c>
      <c r="AD166" s="5" t="str">
        <f>_xlfn.CONCAT(Table58911[[#This Row],[&lt;&lt;NOLA&gt;&gt;
NIEM Element]],Table58911[[#This Row],[Repeat Values per attribute]])</f>
        <v>nc:DateTimec</v>
      </c>
    </row>
    <row r="167" spans="1:31" ht="30" customHeight="1" x14ac:dyDescent="0.3">
      <c r="A167" s="5">
        <f t="shared" si="12"/>
        <v>166</v>
      </c>
      <c r="B167" s="5">
        <f t="shared" si="16"/>
        <v>5</v>
      </c>
      <c r="C167" s="5">
        <f t="shared" si="16"/>
        <v>20</v>
      </c>
      <c r="D167" s="5">
        <f t="shared" si="14"/>
        <v>60</v>
      </c>
      <c r="E167" s="5" t="s">
        <v>32</v>
      </c>
      <c r="F167" s="5" t="s">
        <v>8</v>
      </c>
      <c r="G167" s="5">
        <v>359</v>
      </c>
      <c r="H167" s="6" t="s">
        <v>397</v>
      </c>
      <c r="I167" s="7" t="s">
        <v>398</v>
      </c>
      <c r="J167" s="5" t="s">
        <v>399</v>
      </c>
      <c r="K167" s="5" t="s">
        <v>400</v>
      </c>
      <c r="L167" s="5" t="s">
        <v>36</v>
      </c>
      <c r="M167" s="8" t="s">
        <v>49</v>
      </c>
      <c r="N167" s="5" t="s">
        <v>398</v>
      </c>
      <c r="O167" s="5" t="s">
        <v>418</v>
      </c>
      <c r="P167" s="1" t="s">
        <v>419</v>
      </c>
      <c r="Q167" s="1" t="s">
        <v>403</v>
      </c>
      <c r="R167" s="5" t="s">
        <v>404</v>
      </c>
      <c r="S167" s="5" t="s">
        <v>405</v>
      </c>
      <c r="U167" s="5" t="s">
        <v>406</v>
      </c>
      <c r="X167" s="9" t="s">
        <v>407</v>
      </c>
      <c r="Y167" s="5" t="s">
        <v>418</v>
      </c>
      <c r="Z167" s="5" t="s">
        <v>45</v>
      </c>
      <c r="AA167" s="5" t="s">
        <v>90</v>
      </c>
      <c r="AB167" s="5" t="s">
        <v>416</v>
      </c>
      <c r="AC167" s="5" t="s">
        <v>420</v>
      </c>
      <c r="AD167" s="5" t="str">
        <f>_xlfn.CONCAT(Table58911[[#This Row],[&lt;&lt;NOLA&gt;&gt;
NIEM Element]],Table58911[[#This Row],[Repeat Values per attribute]])</f>
        <v>nc:DateTimed</v>
      </c>
    </row>
    <row r="168" spans="1:31" ht="30" customHeight="1" x14ac:dyDescent="0.3">
      <c r="A168" s="5">
        <f t="shared" si="12"/>
        <v>167</v>
      </c>
      <c r="B168" s="5">
        <f t="shared" si="16"/>
        <v>5</v>
      </c>
      <c r="C168" s="5">
        <f t="shared" si="16"/>
        <v>20</v>
      </c>
      <c r="D168" s="5">
        <f t="shared" si="14"/>
        <v>61</v>
      </c>
      <c r="E168" s="5" t="s">
        <v>32</v>
      </c>
      <c r="F168" s="5" t="s">
        <v>8</v>
      </c>
      <c r="G168" s="5">
        <v>359</v>
      </c>
      <c r="H168" s="6" t="s">
        <v>397</v>
      </c>
      <c r="I168" s="7" t="s">
        <v>398</v>
      </c>
      <c r="J168" s="5" t="s">
        <v>399</v>
      </c>
      <c r="K168" s="5" t="s">
        <v>400</v>
      </c>
      <c r="L168" s="5" t="s">
        <v>36</v>
      </c>
      <c r="M168" s="8" t="s">
        <v>421</v>
      </c>
      <c r="N168" s="5" t="s">
        <v>398</v>
      </c>
      <c r="O168" s="5" t="s">
        <v>422</v>
      </c>
      <c r="P168" s="1" t="s">
        <v>423</v>
      </c>
      <c r="Q168" s="1" t="s">
        <v>403</v>
      </c>
      <c r="R168" s="5" t="s">
        <v>404</v>
      </c>
      <c r="S168" s="5" t="s">
        <v>405</v>
      </c>
      <c r="U168" s="5" t="s">
        <v>406</v>
      </c>
      <c r="X168" s="9" t="s">
        <v>407</v>
      </c>
      <c r="Y168" s="5" t="s">
        <v>422</v>
      </c>
      <c r="Z168" s="5" t="s">
        <v>45</v>
      </c>
      <c r="AA168" s="5" t="s">
        <v>90</v>
      </c>
      <c r="AB168" s="5" t="s">
        <v>408</v>
      </c>
      <c r="AC168" s="5" t="s">
        <v>424</v>
      </c>
      <c r="AD168" s="5" t="str">
        <f>_xlfn.CONCAT(Table58911[[#This Row],[&lt;&lt;NOLA&gt;&gt;
NIEM Element]],Table58911[[#This Row],[Repeat Values per attribute]])</f>
        <v>nc:DateTimef</v>
      </c>
    </row>
    <row r="169" spans="1:31" ht="30" customHeight="1" x14ac:dyDescent="0.3">
      <c r="A169" s="5">
        <f t="shared" si="12"/>
        <v>168</v>
      </c>
      <c r="B169" s="5">
        <f t="shared" si="16"/>
        <v>5</v>
      </c>
      <c r="C169" s="5">
        <f t="shared" si="16"/>
        <v>20</v>
      </c>
      <c r="D169" s="5">
        <f t="shared" si="14"/>
        <v>62</v>
      </c>
      <c r="E169" s="5" t="s">
        <v>32</v>
      </c>
      <c r="F169" s="5" t="s">
        <v>8</v>
      </c>
      <c r="G169" s="5">
        <v>359</v>
      </c>
      <c r="H169" s="6" t="s">
        <v>397</v>
      </c>
      <c r="I169" s="7" t="s">
        <v>398</v>
      </c>
      <c r="J169" s="5" t="s">
        <v>399</v>
      </c>
      <c r="K169" s="5" t="s">
        <v>400</v>
      </c>
      <c r="L169" s="5" t="s">
        <v>36</v>
      </c>
      <c r="M169" s="8" t="s">
        <v>425</v>
      </c>
      <c r="N169" s="5" t="s">
        <v>398</v>
      </c>
      <c r="O169" s="5" t="s">
        <v>426</v>
      </c>
      <c r="P169" s="1" t="s">
        <v>427</v>
      </c>
      <c r="Q169" s="1" t="s">
        <v>403</v>
      </c>
      <c r="R169" s="5" t="s">
        <v>404</v>
      </c>
      <c r="S169" s="5" t="s">
        <v>405</v>
      </c>
      <c r="U169" s="5" t="s">
        <v>406</v>
      </c>
      <c r="X169" s="9" t="s">
        <v>407</v>
      </c>
      <c r="Y169" s="5" t="s">
        <v>426</v>
      </c>
      <c r="Z169" s="5" t="s">
        <v>45</v>
      </c>
      <c r="AA169" s="5" t="s">
        <v>90</v>
      </c>
      <c r="AB169" s="5" t="s">
        <v>412</v>
      </c>
      <c r="AC169" s="5" t="s">
        <v>428</v>
      </c>
      <c r="AD169" s="5" t="str">
        <f>_xlfn.CONCAT(Table58911[[#This Row],[&lt;&lt;NOLA&gt;&gt;
NIEM Element]],Table58911[[#This Row],[Repeat Values per attribute]])</f>
        <v>nc:DateTimei</v>
      </c>
    </row>
    <row r="170" spans="1:31" ht="30" customHeight="1" x14ac:dyDescent="0.3">
      <c r="A170" s="5">
        <f t="shared" si="12"/>
        <v>169</v>
      </c>
      <c r="B170" s="5">
        <f t="shared" si="16"/>
        <v>5</v>
      </c>
      <c r="C170" s="5">
        <f t="shared" si="16"/>
        <v>21</v>
      </c>
      <c r="D170" s="5">
        <f t="shared" si="14"/>
        <v>63</v>
      </c>
      <c r="E170" s="5" t="s">
        <v>32</v>
      </c>
      <c r="F170" s="5" t="s">
        <v>8</v>
      </c>
      <c r="G170" s="5">
        <v>363</v>
      </c>
      <c r="H170" s="6" t="s">
        <v>397</v>
      </c>
      <c r="I170" s="7" t="s">
        <v>429</v>
      </c>
      <c r="J170" s="5" t="s">
        <v>34</v>
      </c>
      <c r="K170" s="5" t="s">
        <v>430</v>
      </c>
      <c r="L170" s="5" t="s">
        <v>36</v>
      </c>
      <c r="M170" s="8" t="s">
        <v>429</v>
      </c>
      <c r="N170" s="5" t="s">
        <v>429</v>
      </c>
      <c r="O170" s="5" t="s">
        <v>431</v>
      </c>
      <c r="P170" s="5" t="s">
        <v>432</v>
      </c>
      <c r="Q170" s="5" t="s">
        <v>432</v>
      </c>
      <c r="R170" s="5" t="s">
        <v>433</v>
      </c>
      <c r="S170" s="5" t="s">
        <v>42</v>
      </c>
      <c r="U170" s="5" t="s">
        <v>434</v>
      </c>
      <c r="X170" s="9" t="s">
        <v>435</v>
      </c>
      <c r="Y170" s="5" t="s">
        <v>431</v>
      </c>
      <c r="Z170" s="5" t="s">
        <v>45</v>
      </c>
      <c r="AA170" s="5" t="s">
        <v>90</v>
      </c>
      <c r="AB170" s="5" t="s">
        <v>436</v>
      </c>
      <c r="AC170" s="5" t="s">
        <v>437</v>
      </c>
      <c r="AD170" s="5" t="str">
        <f>_xlfn.CONCAT(Table58911[[#This Row],[&lt;&lt;NOLA&gt;&gt;
NIEM Element]],Table58911[[#This Row],[Repeat Values per attribute]])</f>
        <v>j:AppointmentPriorityTextBookingPriority</v>
      </c>
    </row>
    <row r="171" spans="1:31" ht="30" customHeight="1" x14ac:dyDescent="0.3">
      <c r="A171" s="5">
        <f t="shared" si="12"/>
        <v>170</v>
      </c>
      <c r="B171" s="5">
        <f t="shared" si="16"/>
        <v>5</v>
      </c>
      <c r="C171" s="5">
        <f t="shared" si="16"/>
        <v>22</v>
      </c>
      <c r="D171" s="5">
        <f t="shared" si="14"/>
        <v>64</v>
      </c>
      <c r="E171" s="5" t="s">
        <v>32</v>
      </c>
      <c r="F171" s="5" t="s">
        <v>8</v>
      </c>
      <c r="G171" s="5">
        <v>367</v>
      </c>
      <c r="H171" s="6" t="s">
        <v>397</v>
      </c>
      <c r="I171" s="7" t="s">
        <v>438</v>
      </c>
      <c r="J171" s="5" t="s">
        <v>34</v>
      </c>
      <c r="K171" s="5" t="s">
        <v>439</v>
      </c>
      <c r="L171" s="5" t="s">
        <v>440</v>
      </c>
      <c r="M171" s="8" t="s">
        <v>37</v>
      </c>
      <c r="N171" s="5" t="s">
        <v>438</v>
      </c>
      <c r="O171" s="5" t="s">
        <v>441</v>
      </c>
      <c r="P171" s="5" t="s">
        <v>442</v>
      </c>
      <c r="Q171" s="1" t="s">
        <v>443</v>
      </c>
      <c r="R171" s="5" t="s">
        <v>375</v>
      </c>
      <c r="S171" s="5" t="s">
        <v>159</v>
      </c>
      <c r="U171" s="5" t="s">
        <v>444</v>
      </c>
      <c r="X171" s="9" t="s">
        <v>445</v>
      </c>
      <c r="Y171" s="5" t="s">
        <v>441</v>
      </c>
      <c r="Z171" s="5" t="s">
        <v>45</v>
      </c>
      <c r="AA171" s="5" t="s">
        <v>46</v>
      </c>
      <c r="AB171" s="5" t="s">
        <v>446</v>
      </c>
      <c r="AC171" s="5" t="s">
        <v>447</v>
      </c>
      <c r="AD171" s="5" t="str">
        <f>_xlfn.CONCAT(Table58911[[#This Row],[&lt;&lt;NOLA&gt;&gt;
NIEM Element]],Table58911[[#This Row],[Repeat Values per attribute]])</f>
        <v>nc:IdentificationIDa</v>
      </c>
    </row>
    <row r="172" spans="1:31" ht="30" customHeight="1" x14ac:dyDescent="0.3">
      <c r="A172" s="5">
        <f t="shared" si="12"/>
        <v>171</v>
      </c>
      <c r="B172" s="5">
        <f t="shared" si="16"/>
        <v>5</v>
      </c>
      <c r="C172" s="5">
        <f t="shared" si="16"/>
        <v>22</v>
      </c>
      <c r="D172" s="5">
        <f t="shared" si="14"/>
        <v>65</v>
      </c>
      <c r="E172" s="5" t="s">
        <v>32</v>
      </c>
      <c r="F172" s="5" t="s">
        <v>8</v>
      </c>
      <c r="G172" s="5">
        <v>367</v>
      </c>
      <c r="H172" s="6" t="s">
        <v>397</v>
      </c>
      <c r="I172" s="7" t="s">
        <v>438</v>
      </c>
      <c r="J172" s="5" t="s">
        <v>34</v>
      </c>
      <c r="K172" s="5" t="s">
        <v>439</v>
      </c>
      <c r="L172" s="5" t="s">
        <v>440</v>
      </c>
      <c r="M172" s="8" t="s">
        <v>49</v>
      </c>
      <c r="N172" s="5" t="s">
        <v>438</v>
      </c>
      <c r="O172" s="5" t="s">
        <v>448</v>
      </c>
      <c r="P172" s="1" t="s">
        <v>449</v>
      </c>
      <c r="Q172" s="1" t="s">
        <v>443</v>
      </c>
      <c r="R172" s="5" t="s">
        <v>375</v>
      </c>
      <c r="S172" s="5" t="s">
        <v>159</v>
      </c>
      <c r="U172" s="5" t="s">
        <v>444</v>
      </c>
      <c r="X172" s="9" t="s">
        <v>445</v>
      </c>
      <c r="Y172" s="5" t="s">
        <v>448</v>
      </c>
      <c r="Z172" s="5" t="s">
        <v>45</v>
      </c>
      <c r="AA172" s="5" t="s">
        <v>90</v>
      </c>
      <c r="AB172" s="5" t="s">
        <v>446</v>
      </c>
      <c r="AC172" s="5" t="s">
        <v>450</v>
      </c>
      <c r="AD172" s="5" t="str">
        <f>_xlfn.CONCAT(Table58911[[#This Row],[&lt;&lt;NOLA&gt;&gt;
NIEM Element]],Table58911[[#This Row],[Repeat Values per attribute]])</f>
        <v>nc:IdentificationIDd</v>
      </c>
    </row>
    <row r="173" spans="1:31" ht="30" customHeight="1" x14ac:dyDescent="0.3">
      <c r="A173" s="5">
        <f t="shared" si="12"/>
        <v>172</v>
      </c>
      <c r="B173" s="5">
        <f t="shared" si="16"/>
        <v>5</v>
      </c>
      <c r="C173" s="5">
        <f t="shared" si="16"/>
        <v>23</v>
      </c>
      <c r="D173" s="5">
        <f t="shared" si="14"/>
        <v>66</v>
      </c>
      <c r="E173" s="5" t="s">
        <v>32</v>
      </c>
      <c r="F173" s="5" t="s">
        <v>8</v>
      </c>
      <c r="G173" s="5">
        <v>358</v>
      </c>
      <c r="H173" s="6" t="s">
        <v>397</v>
      </c>
      <c r="I173" s="7" t="s">
        <v>451</v>
      </c>
      <c r="J173" s="5" t="s">
        <v>34</v>
      </c>
      <c r="K173" s="5" t="s">
        <v>452</v>
      </c>
      <c r="L173" s="5" t="s">
        <v>440</v>
      </c>
      <c r="M173" s="8" t="s">
        <v>37</v>
      </c>
      <c r="N173" s="5" t="s">
        <v>451</v>
      </c>
      <c r="O173" s="5" t="s">
        <v>453</v>
      </c>
      <c r="P173" s="5" t="s">
        <v>454</v>
      </c>
      <c r="Q173" s="1" t="s">
        <v>455</v>
      </c>
      <c r="R173" s="5" t="s">
        <v>456</v>
      </c>
      <c r="S173" s="5" t="s">
        <v>159</v>
      </c>
      <c r="U173" s="5" t="s">
        <v>457</v>
      </c>
      <c r="X173" s="9" t="s">
        <v>458</v>
      </c>
      <c r="Y173" s="5" t="s">
        <v>453</v>
      </c>
      <c r="Z173" s="5" t="s">
        <v>45</v>
      </c>
      <c r="AA173" s="5" t="s">
        <v>46</v>
      </c>
      <c r="AB173" s="5" t="s">
        <v>459</v>
      </c>
      <c r="AC173" s="5" t="s">
        <v>460</v>
      </c>
      <c r="AD173" s="5" t="str">
        <f>_xlfn.CONCAT(Table58911[[#This Row],[&lt;&lt;NOLA&gt;&gt;
NIEM Element]],Table58911[[#This Row],[Repeat Values per attribute]])</f>
        <v>nola-ext:StatewideArrestTrackingNumbera</v>
      </c>
    </row>
    <row r="174" spans="1:31" ht="30" customHeight="1" x14ac:dyDescent="0.3">
      <c r="A174" s="5">
        <f t="shared" si="12"/>
        <v>173</v>
      </c>
      <c r="B174" s="5">
        <f t="shared" si="16"/>
        <v>5</v>
      </c>
      <c r="C174" s="5">
        <f t="shared" si="16"/>
        <v>23</v>
      </c>
      <c r="D174" s="5">
        <f t="shared" si="14"/>
        <v>67</v>
      </c>
      <c r="E174" s="5" t="s">
        <v>32</v>
      </c>
      <c r="F174" s="5" t="s">
        <v>8</v>
      </c>
      <c r="G174" s="5">
        <v>358</v>
      </c>
      <c r="H174" s="6" t="s">
        <v>397</v>
      </c>
      <c r="I174" s="7" t="s">
        <v>451</v>
      </c>
      <c r="J174" s="5" t="s">
        <v>34</v>
      </c>
      <c r="K174" s="5" t="s">
        <v>452</v>
      </c>
      <c r="L174" s="5" t="s">
        <v>440</v>
      </c>
      <c r="M174" s="8" t="s">
        <v>52</v>
      </c>
      <c r="N174" s="5" t="s">
        <v>451</v>
      </c>
      <c r="O174" s="5" t="s">
        <v>461</v>
      </c>
      <c r="P174" s="1" t="s">
        <v>462</v>
      </c>
      <c r="Q174" s="1" t="s">
        <v>455</v>
      </c>
      <c r="R174" s="5" t="s">
        <v>456</v>
      </c>
      <c r="S174" s="5" t="s">
        <v>159</v>
      </c>
      <c r="U174" s="5" t="s">
        <v>457</v>
      </c>
      <c r="X174" s="9" t="s">
        <v>458</v>
      </c>
      <c r="Y174" s="5" t="s">
        <v>461</v>
      </c>
      <c r="Z174" s="5" t="s">
        <v>45</v>
      </c>
      <c r="AA174" s="5" t="s">
        <v>46</v>
      </c>
      <c r="AB174" s="5" t="s">
        <v>459</v>
      </c>
      <c r="AC174" s="5" t="s">
        <v>463</v>
      </c>
      <c r="AD174" s="5" t="str">
        <f>_xlfn.CONCAT(Table58911[[#This Row],[&lt;&lt;NOLA&gt;&gt;
NIEM Element]],Table58911[[#This Row],[Repeat Values per attribute]])</f>
        <v>nola-ext:StatewideArrestTrackingNumberb</v>
      </c>
    </row>
    <row r="175" spans="1:31" ht="30" customHeight="1" x14ac:dyDescent="0.3">
      <c r="A175" s="5">
        <f t="shared" si="12"/>
        <v>174</v>
      </c>
      <c r="B175" s="5">
        <f t="shared" si="16"/>
        <v>5</v>
      </c>
      <c r="C175" s="5">
        <f t="shared" si="16"/>
        <v>23</v>
      </c>
      <c r="D175" s="5">
        <f t="shared" si="14"/>
        <v>68</v>
      </c>
      <c r="E175" s="5" t="s">
        <v>32</v>
      </c>
      <c r="F175" s="5" t="s">
        <v>8</v>
      </c>
      <c r="G175" s="5">
        <v>358</v>
      </c>
      <c r="H175" s="6" t="s">
        <v>397</v>
      </c>
      <c r="I175" s="7" t="s">
        <v>451</v>
      </c>
      <c r="J175" s="5" t="s">
        <v>34</v>
      </c>
      <c r="K175" s="5" t="s">
        <v>452</v>
      </c>
      <c r="L175" s="5" t="s">
        <v>440</v>
      </c>
      <c r="M175" s="8" t="s">
        <v>57</v>
      </c>
      <c r="N175" s="5" t="s">
        <v>451</v>
      </c>
      <c r="O175" s="5" t="s">
        <v>464</v>
      </c>
      <c r="P175" s="1" t="s">
        <v>465</v>
      </c>
      <c r="Q175" s="1" t="s">
        <v>455</v>
      </c>
      <c r="R175" s="5" t="s">
        <v>456</v>
      </c>
      <c r="S175" s="5" t="s">
        <v>159</v>
      </c>
      <c r="U175" s="5" t="s">
        <v>457</v>
      </c>
      <c r="X175" s="9" t="s">
        <v>458</v>
      </c>
      <c r="Y175" s="5" t="s">
        <v>464</v>
      </c>
      <c r="Z175" s="5" t="s">
        <v>45</v>
      </c>
      <c r="AA175" s="5" t="s">
        <v>46</v>
      </c>
      <c r="AB175" s="5" t="s">
        <v>466</v>
      </c>
      <c r="AC175" s="5" t="s">
        <v>467</v>
      </c>
      <c r="AD175" s="5" t="str">
        <f>_xlfn.CONCAT(Table58911[[#This Row],[&lt;&lt;NOLA&gt;&gt;
NIEM Element]],Table58911[[#This Row],[Repeat Values per attribute]])</f>
        <v>nola-ext:StatewideArrestTrackingNumberc</v>
      </c>
    </row>
    <row r="176" spans="1:31" ht="30" customHeight="1" x14ac:dyDescent="0.3">
      <c r="A176" s="5">
        <f t="shared" si="12"/>
        <v>175</v>
      </c>
      <c r="B176" s="5">
        <f t="shared" si="16"/>
        <v>5</v>
      </c>
      <c r="C176" s="5">
        <f t="shared" si="16"/>
        <v>23</v>
      </c>
      <c r="D176" s="5">
        <f t="shared" si="14"/>
        <v>69</v>
      </c>
      <c r="E176" s="5" t="s">
        <v>32</v>
      </c>
      <c r="F176" s="5" t="s">
        <v>8</v>
      </c>
      <c r="G176" s="5">
        <v>358</v>
      </c>
      <c r="H176" s="6" t="s">
        <v>397</v>
      </c>
      <c r="I176" s="7" t="s">
        <v>451</v>
      </c>
      <c r="J176" s="5" t="s">
        <v>34</v>
      </c>
      <c r="K176" s="5" t="s">
        <v>452</v>
      </c>
      <c r="L176" s="5" t="s">
        <v>440</v>
      </c>
      <c r="M176" s="8" t="s">
        <v>49</v>
      </c>
      <c r="N176" s="5" t="s">
        <v>451</v>
      </c>
      <c r="O176" s="5" t="s">
        <v>468</v>
      </c>
      <c r="P176" s="1" t="s">
        <v>469</v>
      </c>
      <c r="Q176" s="1" t="s">
        <v>455</v>
      </c>
      <c r="R176" s="5" t="s">
        <v>456</v>
      </c>
      <c r="S176" s="5" t="s">
        <v>159</v>
      </c>
      <c r="U176" s="5" t="s">
        <v>457</v>
      </c>
      <c r="X176" s="9" t="s">
        <v>458</v>
      </c>
      <c r="Y176" s="5" t="s">
        <v>468</v>
      </c>
      <c r="Z176" s="5" t="s">
        <v>45</v>
      </c>
      <c r="AA176" s="5" t="s">
        <v>46</v>
      </c>
      <c r="AB176" s="5" t="s">
        <v>459</v>
      </c>
      <c r="AC176" s="5" t="s">
        <v>470</v>
      </c>
      <c r="AD176" s="5" t="str">
        <f>_xlfn.CONCAT(Table58911[[#This Row],[&lt;&lt;NOLA&gt;&gt;
NIEM Element]],Table58911[[#This Row],[Repeat Values per attribute]])</f>
        <v>nola-ext:StatewideArrestTrackingNumberd</v>
      </c>
    </row>
    <row r="177" spans="1:30" ht="30" customHeight="1" x14ac:dyDescent="0.3">
      <c r="A177" s="5">
        <f t="shared" si="12"/>
        <v>176</v>
      </c>
      <c r="B177" s="5">
        <f t="shared" si="16"/>
        <v>5</v>
      </c>
      <c r="C177" s="5">
        <f t="shared" si="16"/>
        <v>23</v>
      </c>
      <c r="D177" s="5">
        <f t="shared" si="14"/>
        <v>70</v>
      </c>
      <c r="E177" s="5" t="s">
        <v>32</v>
      </c>
      <c r="F177" s="5" t="s">
        <v>8</v>
      </c>
      <c r="G177" s="5">
        <v>358</v>
      </c>
      <c r="H177" s="6" t="s">
        <v>397</v>
      </c>
      <c r="I177" s="7" t="s">
        <v>451</v>
      </c>
      <c r="J177" s="5" t="s">
        <v>34</v>
      </c>
      <c r="K177" s="5" t="s">
        <v>452</v>
      </c>
      <c r="L177" s="5" t="s">
        <v>440</v>
      </c>
      <c r="M177" s="8" t="s">
        <v>87</v>
      </c>
      <c r="N177" s="5" t="s">
        <v>451</v>
      </c>
      <c r="O177" s="5" t="s">
        <v>471</v>
      </c>
      <c r="P177" s="1" t="s">
        <v>472</v>
      </c>
      <c r="Q177" s="1" t="s">
        <v>455</v>
      </c>
      <c r="R177" s="5" t="s">
        <v>456</v>
      </c>
      <c r="S177" s="5" t="s">
        <v>159</v>
      </c>
      <c r="U177" s="5" t="s">
        <v>457</v>
      </c>
      <c r="X177" s="9" t="s">
        <v>458</v>
      </c>
      <c r="Y177" s="5" t="s">
        <v>471</v>
      </c>
      <c r="Z177" s="5" t="s">
        <v>45</v>
      </c>
      <c r="AA177" s="5" t="s">
        <v>46</v>
      </c>
      <c r="AB177" s="5" t="s">
        <v>466</v>
      </c>
      <c r="AC177" s="5" t="s">
        <v>473</v>
      </c>
      <c r="AD177" s="5" t="str">
        <f>_xlfn.CONCAT(Table58911[[#This Row],[&lt;&lt;NOLA&gt;&gt;
NIEM Element]],Table58911[[#This Row],[Repeat Values per attribute]])</f>
        <v>nola-ext:StatewideArrestTrackingNumbere</v>
      </c>
    </row>
    <row r="178" spans="1:30" ht="30" customHeight="1" x14ac:dyDescent="0.3">
      <c r="A178" s="5">
        <f t="shared" si="12"/>
        <v>177</v>
      </c>
      <c r="B178" s="5">
        <f t="shared" ref="B178:C193" si="17">IF(H177=H178,B177,B177+1)</f>
        <v>5</v>
      </c>
      <c r="C178" s="5">
        <f t="shared" si="17"/>
        <v>23</v>
      </c>
      <c r="D178" s="5">
        <f t="shared" si="14"/>
        <v>71</v>
      </c>
      <c r="E178" s="5" t="s">
        <v>32</v>
      </c>
      <c r="F178" s="5" t="s">
        <v>8</v>
      </c>
      <c r="G178" s="5">
        <v>358</v>
      </c>
      <c r="H178" s="6" t="s">
        <v>397</v>
      </c>
      <c r="I178" s="7" t="s">
        <v>451</v>
      </c>
      <c r="J178" s="5" t="s">
        <v>34</v>
      </c>
      <c r="K178" s="5" t="s">
        <v>452</v>
      </c>
      <c r="L178" s="5" t="s">
        <v>440</v>
      </c>
      <c r="M178" s="8" t="s">
        <v>421</v>
      </c>
      <c r="N178" s="5" t="s">
        <v>451</v>
      </c>
      <c r="O178" s="5" t="s">
        <v>474</v>
      </c>
      <c r="P178" s="1" t="s">
        <v>475</v>
      </c>
      <c r="Q178" s="1" t="s">
        <v>455</v>
      </c>
      <c r="R178" s="5" t="s">
        <v>456</v>
      </c>
      <c r="S178" s="5" t="s">
        <v>159</v>
      </c>
      <c r="U178" s="5" t="s">
        <v>457</v>
      </c>
      <c r="X178" s="9" t="s">
        <v>458</v>
      </c>
      <c r="Y178" s="5" t="s">
        <v>474</v>
      </c>
      <c r="Z178" s="5" t="s">
        <v>45</v>
      </c>
      <c r="AA178" s="5" t="s">
        <v>46</v>
      </c>
      <c r="AB178" s="5" t="s">
        <v>459</v>
      </c>
      <c r="AC178" s="5" t="s">
        <v>476</v>
      </c>
      <c r="AD178" s="5" t="str">
        <f>_xlfn.CONCAT(Table58911[[#This Row],[&lt;&lt;NOLA&gt;&gt;
NIEM Element]],Table58911[[#This Row],[Repeat Values per attribute]])</f>
        <v>nola-ext:StatewideArrestTrackingNumberf</v>
      </c>
    </row>
    <row r="179" spans="1:30" ht="30" customHeight="1" x14ac:dyDescent="0.3">
      <c r="A179" s="5">
        <f t="shared" si="12"/>
        <v>178</v>
      </c>
      <c r="B179" s="5">
        <f t="shared" si="17"/>
        <v>6</v>
      </c>
      <c r="C179" s="5">
        <f t="shared" si="17"/>
        <v>24</v>
      </c>
      <c r="D179" s="5">
        <f t="shared" si="14"/>
        <v>72</v>
      </c>
      <c r="E179" s="5" t="s">
        <v>32</v>
      </c>
      <c r="F179" s="5" t="s">
        <v>8</v>
      </c>
      <c r="G179" s="5">
        <v>164</v>
      </c>
      <c r="H179" s="6" t="s">
        <v>477</v>
      </c>
      <c r="I179" s="7" t="s">
        <v>478</v>
      </c>
      <c r="J179" s="5" t="s">
        <v>34</v>
      </c>
      <c r="K179" s="5" t="s">
        <v>479</v>
      </c>
      <c r="L179" s="5" t="s">
        <v>36</v>
      </c>
      <c r="M179" s="8" t="s">
        <v>37</v>
      </c>
      <c r="N179" s="5" t="s">
        <v>478</v>
      </c>
      <c r="O179" s="5" t="s">
        <v>480</v>
      </c>
      <c r="P179" s="5" t="s">
        <v>481</v>
      </c>
      <c r="Q179" s="1" t="s">
        <v>482</v>
      </c>
      <c r="R179" s="5" t="s">
        <v>483</v>
      </c>
      <c r="S179" s="5" t="s">
        <v>159</v>
      </c>
      <c r="U179" s="5" t="s">
        <v>484</v>
      </c>
      <c r="X179" s="9" t="s">
        <v>485</v>
      </c>
      <c r="Y179" s="5" t="s">
        <v>480</v>
      </c>
      <c r="Z179" s="5" t="s">
        <v>45</v>
      </c>
      <c r="AA179" s="5" t="s">
        <v>46</v>
      </c>
      <c r="AB179" s="5" t="s">
        <v>486</v>
      </c>
      <c r="AC179" s="5" t="s">
        <v>487</v>
      </c>
      <c r="AD179" s="5" t="str">
        <f>_xlfn.CONCAT(Table58911[[#This Row],[&lt;&lt;NOLA&gt;&gt;
NIEM Element]],Table58911[[#This Row],[Repeat Values per attribute]])</f>
        <v>nola-ext:ChargeKeya</v>
      </c>
    </row>
    <row r="180" spans="1:30" ht="30" customHeight="1" x14ac:dyDescent="0.3">
      <c r="A180" s="5">
        <f t="shared" si="12"/>
        <v>179</v>
      </c>
      <c r="B180" s="5">
        <f t="shared" si="17"/>
        <v>6</v>
      </c>
      <c r="C180" s="5">
        <f t="shared" si="17"/>
        <v>24</v>
      </c>
      <c r="D180" s="5">
        <f t="shared" si="14"/>
        <v>73</v>
      </c>
      <c r="E180" s="5" t="s">
        <v>32</v>
      </c>
      <c r="F180" s="5" t="s">
        <v>8</v>
      </c>
      <c r="G180" s="5">
        <v>164</v>
      </c>
      <c r="H180" s="6" t="s">
        <v>477</v>
      </c>
      <c r="I180" s="7" t="s">
        <v>478</v>
      </c>
      <c r="J180" s="5" t="s">
        <v>34</v>
      </c>
      <c r="K180" s="5" t="s">
        <v>479</v>
      </c>
      <c r="L180" s="5" t="s">
        <v>36</v>
      </c>
      <c r="M180" s="8" t="s">
        <v>52</v>
      </c>
      <c r="N180" s="5" t="s">
        <v>478</v>
      </c>
      <c r="O180" s="5" t="s">
        <v>488</v>
      </c>
      <c r="P180" s="1" t="s">
        <v>489</v>
      </c>
      <c r="Q180" s="1" t="s">
        <v>482</v>
      </c>
      <c r="R180" s="5" t="s">
        <v>483</v>
      </c>
      <c r="S180" s="5" t="s">
        <v>159</v>
      </c>
      <c r="U180" s="5" t="s">
        <v>484</v>
      </c>
      <c r="X180" s="9" t="s">
        <v>485</v>
      </c>
      <c r="Y180" s="5" t="s">
        <v>488</v>
      </c>
      <c r="Z180" s="5" t="s">
        <v>45</v>
      </c>
      <c r="AA180" s="5" t="s">
        <v>46</v>
      </c>
      <c r="AB180" s="5" t="s">
        <v>486</v>
      </c>
      <c r="AC180" s="5" t="s">
        <v>490</v>
      </c>
      <c r="AD180" s="5" t="str">
        <f>_xlfn.CONCAT(Table58911[[#This Row],[&lt;&lt;NOLA&gt;&gt;
NIEM Element]],Table58911[[#This Row],[Repeat Values per attribute]])</f>
        <v>nola-ext:ChargeKeyb</v>
      </c>
    </row>
    <row r="181" spans="1:30" ht="30" customHeight="1" x14ac:dyDescent="0.3">
      <c r="A181" s="5">
        <f t="shared" si="12"/>
        <v>180</v>
      </c>
      <c r="B181" s="5">
        <f t="shared" si="17"/>
        <v>6</v>
      </c>
      <c r="C181" s="5">
        <f t="shared" si="17"/>
        <v>24</v>
      </c>
      <c r="D181" s="5">
        <f t="shared" si="14"/>
        <v>74</v>
      </c>
      <c r="E181" s="5" t="s">
        <v>32</v>
      </c>
      <c r="F181" s="5" t="s">
        <v>8</v>
      </c>
      <c r="G181" s="5">
        <v>164</v>
      </c>
      <c r="H181" s="6" t="s">
        <v>477</v>
      </c>
      <c r="I181" s="7" t="s">
        <v>478</v>
      </c>
      <c r="J181" s="5" t="s">
        <v>34</v>
      </c>
      <c r="K181" s="5" t="s">
        <v>479</v>
      </c>
      <c r="L181" s="5" t="s">
        <v>36</v>
      </c>
      <c r="M181" s="8" t="s">
        <v>57</v>
      </c>
      <c r="N181" s="5" t="s">
        <v>478</v>
      </c>
      <c r="O181" s="5" t="s">
        <v>491</v>
      </c>
      <c r="P181" s="1" t="s">
        <v>492</v>
      </c>
      <c r="Q181" s="1" t="s">
        <v>482</v>
      </c>
      <c r="R181" s="5" t="s">
        <v>483</v>
      </c>
      <c r="S181" s="5" t="s">
        <v>159</v>
      </c>
      <c r="U181" s="5" t="s">
        <v>484</v>
      </c>
      <c r="X181" s="9" t="s">
        <v>485</v>
      </c>
      <c r="Y181" s="5" t="s">
        <v>491</v>
      </c>
      <c r="Z181" s="5" t="s">
        <v>45</v>
      </c>
      <c r="AA181" s="5" t="s">
        <v>46</v>
      </c>
      <c r="AB181" s="5" t="s">
        <v>486</v>
      </c>
      <c r="AC181" s="5" t="s">
        <v>493</v>
      </c>
      <c r="AD181" s="5" t="str">
        <f>_xlfn.CONCAT(Table58911[[#This Row],[&lt;&lt;NOLA&gt;&gt;
NIEM Element]],Table58911[[#This Row],[Repeat Values per attribute]])</f>
        <v>nola-ext:ChargeKeyc</v>
      </c>
    </row>
    <row r="182" spans="1:30" ht="30" customHeight="1" x14ac:dyDescent="0.3">
      <c r="A182" s="5">
        <f t="shared" si="12"/>
        <v>181</v>
      </c>
      <c r="B182" s="5">
        <f t="shared" si="17"/>
        <v>6</v>
      </c>
      <c r="C182" s="5">
        <f t="shared" si="17"/>
        <v>24</v>
      </c>
      <c r="D182" s="5">
        <f t="shared" si="14"/>
        <v>75</v>
      </c>
      <c r="E182" s="5" t="s">
        <v>32</v>
      </c>
      <c r="F182" s="5" t="s">
        <v>8</v>
      </c>
      <c r="G182" s="5">
        <v>164</v>
      </c>
      <c r="H182" s="6" t="s">
        <v>477</v>
      </c>
      <c r="I182" s="7" t="s">
        <v>478</v>
      </c>
      <c r="J182" s="5" t="s">
        <v>34</v>
      </c>
      <c r="K182" s="5" t="s">
        <v>479</v>
      </c>
      <c r="L182" s="5" t="s">
        <v>36</v>
      </c>
      <c r="M182" s="8" t="s">
        <v>49</v>
      </c>
      <c r="N182" s="5" t="s">
        <v>478</v>
      </c>
      <c r="O182" s="5" t="s">
        <v>494</v>
      </c>
      <c r="P182" s="1" t="s">
        <v>495</v>
      </c>
      <c r="Q182" s="1" t="s">
        <v>482</v>
      </c>
      <c r="R182" s="5" t="s">
        <v>483</v>
      </c>
      <c r="S182" s="5" t="s">
        <v>159</v>
      </c>
      <c r="U182" s="5" t="s">
        <v>484</v>
      </c>
      <c r="X182" s="9" t="s">
        <v>485</v>
      </c>
      <c r="Y182" s="5" t="s">
        <v>494</v>
      </c>
      <c r="Z182" s="5" t="s">
        <v>45</v>
      </c>
      <c r="AA182" s="5" t="s">
        <v>46</v>
      </c>
      <c r="AB182" s="5" t="s">
        <v>486</v>
      </c>
      <c r="AC182" s="5" t="s">
        <v>496</v>
      </c>
      <c r="AD182" s="5" t="str">
        <f>_xlfn.CONCAT(Table58911[[#This Row],[&lt;&lt;NOLA&gt;&gt;
NIEM Element]],Table58911[[#This Row],[Repeat Values per attribute]])</f>
        <v>nola-ext:ChargeKeyd</v>
      </c>
    </row>
    <row r="183" spans="1:30" ht="30" customHeight="1" x14ac:dyDescent="0.3">
      <c r="A183" s="5">
        <f t="shared" si="12"/>
        <v>182</v>
      </c>
      <c r="B183" s="5">
        <f t="shared" si="17"/>
        <v>6</v>
      </c>
      <c r="C183" s="5">
        <f t="shared" si="17"/>
        <v>24</v>
      </c>
      <c r="D183" s="5">
        <f t="shared" si="14"/>
        <v>76</v>
      </c>
      <c r="E183" s="5" t="s">
        <v>32</v>
      </c>
      <c r="F183" s="5" t="s">
        <v>8</v>
      </c>
      <c r="G183" s="5">
        <v>164</v>
      </c>
      <c r="H183" s="6" t="s">
        <v>477</v>
      </c>
      <c r="I183" s="7" t="s">
        <v>478</v>
      </c>
      <c r="J183" s="5" t="s">
        <v>34</v>
      </c>
      <c r="K183" s="5" t="s">
        <v>479</v>
      </c>
      <c r="L183" s="5" t="s">
        <v>36</v>
      </c>
      <c r="M183" s="8" t="s">
        <v>87</v>
      </c>
      <c r="N183" s="5" t="s">
        <v>478</v>
      </c>
      <c r="O183" s="5" t="s">
        <v>497</v>
      </c>
      <c r="P183" s="1" t="s">
        <v>498</v>
      </c>
      <c r="Q183" s="1" t="s">
        <v>482</v>
      </c>
      <c r="R183" s="5" t="s">
        <v>483</v>
      </c>
      <c r="S183" s="5" t="s">
        <v>159</v>
      </c>
      <c r="U183" s="5" t="s">
        <v>484</v>
      </c>
      <c r="X183" s="9" t="s">
        <v>485</v>
      </c>
      <c r="Y183" s="5" t="s">
        <v>497</v>
      </c>
      <c r="Z183" s="5" t="s">
        <v>45</v>
      </c>
      <c r="AA183" s="5" t="s">
        <v>46</v>
      </c>
      <c r="AB183" s="5" t="s">
        <v>486</v>
      </c>
      <c r="AC183" s="5" t="s">
        <v>499</v>
      </c>
      <c r="AD183" s="5" t="str">
        <f>_xlfn.CONCAT(Table58911[[#This Row],[&lt;&lt;NOLA&gt;&gt;
NIEM Element]],Table58911[[#This Row],[Repeat Values per attribute]])</f>
        <v>nola-ext:ChargeKeye</v>
      </c>
    </row>
    <row r="184" spans="1:30" ht="30" customHeight="1" x14ac:dyDescent="0.3">
      <c r="A184" s="5">
        <f t="shared" si="12"/>
        <v>183</v>
      </c>
      <c r="B184" s="5">
        <f t="shared" si="17"/>
        <v>6</v>
      </c>
      <c r="C184" s="5">
        <f t="shared" si="17"/>
        <v>24</v>
      </c>
      <c r="D184" s="5">
        <f t="shared" si="14"/>
        <v>77</v>
      </c>
      <c r="E184" s="5" t="s">
        <v>32</v>
      </c>
      <c r="F184" s="5" t="s">
        <v>8</v>
      </c>
      <c r="G184" s="5">
        <v>164</v>
      </c>
      <c r="H184" s="6" t="s">
        <v>477</v>
      </c>
      <c r="I184" s="7" t="s">
        <v>478</v>
      </c>
      <c r="J184" s="5" t="s">
        <v>34</v>
      </c>
      <c r="K184" s="5" t="s">
        <v>479</v>
      </c>
      <c r="L184" s="5" t="s">
        <v>36</v>
      </c>
      <c r="M184" s="8" t="s">
        <v>421</v>
      </c>
      <c r="N184" s="5" t="s">
        <v>478</v>
      </c>
      <c r="O184" s="5" t="s">
        <v>500</v>
      </c>
      <c r="P184" s="1" t="s">
        <v>501</v>
      </c>
      <c r="Q184" s="1" t="s">
        <v>482</v>
      </c>
      <c r="R184" s="5" t="s">
        <v>483</v>
      </c>
      <c r="S184" s="5" t="s">
        <v>159</v>
      </c>
      <c r="U184" s="5" t="s">
        <v>484</v>
      </c>
      <c r="X184" s="9" t="s">
        <v>485</v>
      </c>
      <c r="Y184" s="5" t="s">
        <v>500</v>
      </c>
      <c r="Z184" s="5" t="s">
        <v>45</v>
      </c>
      <c r="AA184" s="5" t="s">
        <v>46</v>
      </c>
      <c r="AB184" s="5" t="s">
        <v>486</v>
      </c>
      <c r="AC184" s="5" t="s">
        <v>502</v>
      </c>
      <c r="AD184" s="5" t="str">
        <f>_xlfn.CONCAT(Table58911[[#This Row],[&lt;&lt;NOLA&gt;&gt;
NIEM Element]],Table58911[[#This Row],[Repeat Values per attribute]])</f>
        <v>nola-ext:ChargeKeyf</v>
      </c>
    </row>
    <row r="185" spans="1:30" ht="30" customHeight="1" x14ac:dyDescent="0.3">
      <c r="A185" s="5">
        <f t="shared" si="12"/>
        <v>184</v>
      </c>
      <c r="B185" s="5">
        <f t="shared" si="17"/>
        <v>6</v>
      </c>
      <c r="C185" s="5">
        <f t="shared" si="17"/>
        <v>25</v>
      </c>
      <c r="D185" s="5">
        <f t="shared" si="14"/>
        <v>78</v>
      </c>
      <c r="E185" s="5" t="s">
        <v>32</v>
      </c>
      <c r="F185" s="5" t="s">
        <v>8</v>
      </c>
      <c r="G185" s="5">
        <v>165</v>
      </c>
      <c r="H185" s="6" t="s">
        <v>477</v>
      </c>
      <c r="I185" s="7" t="s">
        <v>503</v>
      </c>
      <c r="J185" s="5" t="s">
        <v>504</v>
      </c>
      <c r="K185" s="5" t="s">
        <v>505</v>
      </c>
      <c r="L185" s="5" t="s">
        <v>506</v>
      </c>
      <c r="M185" s="8" t="s">
        <v>37</v>
      </c>
      <c r="N185" s="5" t="s">
        <v>503</v>
      </c>
      <c r="O185" s="5" t="s">
        <v>507</v>
      </c>
      <c r="P185" s="5" t="s">
        <v>508</v>
      </c>
      <c r="Q185" s="1" t="s">
        <v>509</v>
      </c>
      <c r="R185" s="5" t="s">
        <v>510</v>
      </c>
      <c r="S185" s="5" t="s">
        <v>159</v>
      </c>
      <c r="U185" s="5" t="s">
        <v>511</v>
      </c>
      <c r="X185" s="9" t="s">
        <v>512</v>
      </c>
      <c r="Y185" s="5" t="s">
        <v>507</v>
      </c>
      <c r="Z185" s="5" t="s">
        <v>45</v>
      </c>
      <c r="AA185" s="5" t="s">
        <v>46</v>
      </c>
      <c r="AB185" s="5" t="s">
        <v>513</v>
      </c>
      <c r="AC185" s="5" t="s">
        <v>514</v>
      </c>
      <c r="AD185" s="5" t="str">
        <f>_xlfn.CONCAT(Table58911[[#This Row],[&lt;&lt;NOLA&gt;&gt;
NIEM Element]],Table58911[[#This Row],[Repeat Values per attribute]])</f>
        <v>nola-ext:ChargeLIBRSCodea</v>
      </c>
    </row>
    <row r="186" spans="1:30" ht="30" customHeight="1" x14ac:dyDescent="0.3">
      <c r="A186" s="5">
        <f t="shared" si="12"/>
        <v>185</v>
      </c>
      <c r="B186" s="5">
        <f t="shared" si="17"/>
        <v>6</v>
      </c>
      <c r="C186" s="5">
        <f t="shared" si="17"/>
        <v>25</v>
      </c>
      <c r="D186" s="5">
        <f t="shared" si="14"/>
        <v>79</v>
      </c>
      <c r="E186" s="5" t="s">
        <v>32</v>
      </c>
      <c r="F186" s="5" t="s">
        <v>8</v>
      </c>
      <c r="G186" s="5">
        <v>165</v>
      </c>
      <c r="H186" s="6" t="s">
        <v>477</v>
      </c>
      <c r="I186" s="7" t="s">
        <v>503</v>
      </c>
      <c r="J186" s="5" t="s">
        <v>504</v>
      </c>
      <c r="K186" s="5" t="s">
        <v>505</v>
      </c>
      <c r="L186" s="5" t="s">
        <v>506</v>
      </c>
      <c r="M186" s="8" t="s">
        <v>52</v>
      </c>
      <c r="N186" s="5" t="s">
        <v>503</v>
      </c>
      <c r="O186" s="5" t="s">
        <v>515</v>
      </c>
      <c r="P186" s="1" t="s">
        <v>516</v>
      </c>
      <c r="Q186" s="1" t="s">
        <v>509</v>
      </c>
      <c r="R186" s="5" t="s">
        <v>510</v>
      </c>
      <c r="S186" s="5" t="s">
        <v>159</v>
      </c>
      <c r="U186" s="5" t="s">
        <v>511</v>
      </c>
      <c r="X186" s="9" t="s">
        <v>512</v>
      </c>
      <c r="Y186" s="5" t="s">
        <v>515</v>
      </c>
      <c r="Z186" s="5" t="s">
        <v>45</v>
      </c>
      <c r="AA186" s="5" t="s">
        <v>46</v>
      </c>
      <c r="AB186" s="5" t="s">
        <v>513</v>
      </c>
      <c r="AC186" s="5" t="s">
        <v>517</v>
      </c>
      <c r="AD186" s="5" t="str">
        <f>_xlfn.CONCAT(Table58911[[#This Row],[&lt;&lt;NOLA&gt;&gt;
NIEM Element]],Table58911[[#This Row],[Repeat Values per attribute]])</f>
        <v>nola-ext:ChargeLIBRSCodeb</v>
      </c>
    </row>
    <row r="187" spans="1:30" ht="30" customHeight="1" x14ac:dyDescent="0.3">
      <c r="A187" s="5">
        <f t="shared" si="12"/>
        <v>186</v>
      </c>
      <c r="B187" s="5">
        <f t="shared" si="17"/>
        <v>6</v>
      </c>
      <c r="C187" s="5">
        <f t="shared" si="17"/>
        <v>25</v>
      </c>
      <c r="D187" s="5">
        <f t="shared" si="14"/>
        <v>80</v>
      </c>
      <c r="E187" s="5" t="s">
        <v>32</v>
      </c>
      <c r="F187" s="5" t="s">
        <v>8</v>
      </c>
      <c r="G187" s="5">
        <v>165</v>
      </c>
      <c r="H187" s="6" t="s">
        <v>477</v>
      </c>
      <c r="I187" s="7" t="s">
        <v>503</v>
      </c>
      <c r="J187" s="5" t="s">
        <v>504</v>
      </c>
      <c r="K187" s="5" t="s">
        <v>505</v>
      </c>
      <c r="L187" s="5" t="s">
        <v>506</v>
      </c>
      <c r="M187" s="8" t="s">
        <v>57</v>
      </c>
      <c r="N187" s="5" t="s">
        <v>503</v>
      </c>
      <c r="O187" s="5" t="s">
        <v>518</v>
      </c>
      <c r="P187" s="1" t="s">
        <v>519</v>
      </c>
      <c r="Q187" s="1" t="s">
        <v>509</v>
      </c>
      <c r="R187" s="5" t="s">
        <v>510</v>
      </c>
      <c r="S187" s="5" t="s">
        <v>159</v>
      </c>
      <c r="U187" s="5" t="s">
        <v>511</v>
      </c>
      <c r="X187" s="9" t="s">
        <v>512</v>
      </c>
      <c r="Y187" s="5" t="s">
        <v>518</v>
      </c>
      <c r="Z187" s="5" t="s">
        <v>45</v>
      </c>
      <c r="AA187" s="5" t="s">
        <v>46</v>
      </c>
      <c r="AB187" s="5" t="s">
        <v>513</v>
      </c>
      <c r="AC187" s="5" t="s">
        <v>520</v>
      </c>
      <c r="AD187" s="5" t="str">
        <f>_xlfn.CONCAT(Table58911[[#This Row],[&lt;&lt;NOLA&gt;&gt;
NIEM Element]],Table58911[[#This Row],[Repeat Values per attribute]])</f>
        <v>nola-ext:ChargeLIBRSCodec</v>
      </c>
    </row>
    <row r="188" spans="1:30" ht="30" customHeight="1" x14ac:dyDescent="0.3">
      <c r="A188" s="5">
        <f t="shared" si="12"/>
        <v>187</v>
      </c>
      <c r="B188" s="5">
        <f t="shared" si="17"/>
        <v>6</v>
      </c>
      <c r="C188" s="5">
        <f t="shared" si="17"/>
        <v>25</v>
      </c>
      <c r="D188" s="5">
        <f t="shared" si="14"/>
        <v>81</v>
      </c>
      <c r="E188" s="5" t="s">
        <v>32</v>
      </c>
      <c r="F188" s="5" t="s">
        <v>8</v>
      </c>
      <c r="G188" s="5">
        <v>165</v>
      </c>
      <c r="H188" s="6" t="s">
        <v>477</v>
      </c>
      <c r="I188" s="7" t="s">
        <v>503</v>
      </c>
      <c r="J188" s="5" t="s">
        <v>504</v>
      </c>
      <c r="K188" s="5" t="s">
        <v>505</v>
      </c>
      <c r="L188" s="5" t="s">
        <v>506</v>
      </c>
      <c r="M188" s="8" t="s">
        <v>49</v>
      </c>
      <c r="N188" s="5" t="s">
        <v>503</v>
      </c>
      <c r="O188" s="5" t="s">
        <v>521</v>
      </c>
      <c r="P188" s="1" t="s">
        <v>522</v>
      </c>
      <c r="Q188" s="1" t="s">
        <v>509</v>
      </c>
      <c r="R188" s="5" t="s">
        <v>510</v>
      </c>
      <c r="S188" s="5" t="s">
        <v>159</v>
      </c>
      <c r="U188" s="5" t="s">
        <v>511</v>
      </c>
      <c r="X188" s="9" t="s">
        <v>512</v>
      </c>
      <c r="Y188" s="5" t="s">
        <v>521</v>
      </c>
      <c r="Z188" s="5" t="s">
        <v>45</v>
      </c>
      <c r="AA188" s="5" t="s">
        <v>46</v>
      </c>
      <c r="AB188" s="5" t="s">
        <v>513</v>
      </c>
      <c r="AC188" s="5" t="s">
        <v>523</v>
      </c>
      <c r="AD188" s="5" t="str">
        <f>_xlfn.CONCAT(Table58911[[#This Row],[&lt;&lt;NOLA&gt;&gt;
NIEM Element]],Table58911[[#This Row],[Repeat Values per attribute]])</f>
        <v>nola-ext:ChargeLIBRSCoded</v>
      </c>
    </row>
    <row r="189" spans="1:30" ht="30" customHeight="1" x14ac:dyDescent="0.3">
      <c r="A189" s="5">
        <f t="shared" si="12"/>
        <v>188</v>
      </c>
      <c r="B189" s="5">
        <f t="shared" si="17"/>
        <v>6</v>
      </c>
      <c r="C189" s="5">
        <f t="shared" si="17"/>
        <v>25</v>
      </c>
      <c r="D189" s="5">
        <f t="shared" si="14"/>
        <v>82</v>
      </c>
      <c r="E189" s="5" t="s">
        <v>32</v>
      </c>
      <c r="F189" s="5" t="s">
        <v>8</v>
      </c>
      <c r="G189" s="5">
        <v>165</v>
      </c>
      <c r="H189" s="6" t="s">
        <v>477</v>
      </c>
      <c r="I189" s="7" t="s">
        <v>503</v>
      </c>
      <c r="J189" s="5" t="s">
        <v>504</v>
      </c>
      <c r="K189" s="5" t="s">
        <v>505</v>
      </c>
      <c r="L189" s="5" t="s">
        <v>506</v>
      </c>
      <c r="M189" s="8" t="s">
        <v>87</v>
      </c>
      <c r="N189" s="5" t="s">
        <v>503</v>
      </c>
      <c r="O189" s="5" t="s">
        <v>524</v>
      </c>
      <c r="P189" s="1" t="s">
        <v>525</v>
      </c>
      <c r="Q189" s="1" t="s">
        <v>509</v>
      </c>
      <c r="R189" s="5" t="s">
        <v>510</v>
      </c>
      <c r="S189" s="5" t="s">
        <v>159</v>
      </c>
      <c r="U189" s="5" t="s">
        <v>511</v>
      </c>
      <c r="X189" s="9" t="s">
        <v>512</v>
      </c>
      <c r="Y189" s="5" t="s">
        <v>524</v>
      </c>
      <c r="Z189" s="5" t="s">
        <v>45</v>
      </c>
      <c r="AA189" s="5" t="s">
        <v>46</v>
      </c>
      <c r="AB189" s="5" t="s">
        <v>513</v>
      </c>
      <c r="AC189" s="5" t="s">
        <v>526</v>
      </c>
      <c r="AD189" s="5" t="str">
        <f>_xlfn.CONCAT(Table58911[[#This Row],[&lt;&lt;NOLA&gt;&gt;
NIEM Element]],Table58911[[#This Row],[Repeat Values per attribute]])</f>
        <v>nola-ext:ChargeLIBRSCodee</v>
      </c>
    </row>
    <row r="190" spans="1:30" ht="30" customHeight="1" x14ac:dyDescent="0.3">
      <c r="A190" s="5">
        <f t="shared" si="12"/>
        <v>189</v>
      </c>
      <c r="B190" s="5">
        <f t="shared" si="17"/>
        <v>6</v>
      </c>
      <c r="C190" s="5">
        <f t="shared" si="17"/>
        <v>25</v>
      </c>
      <c r="D190" s="5">
        <f t="shared" si="14"/>
        <v>83</v>
      </c>
      <c r="E190" s="5" t="s">
        <v>32</v>
      </c>
      <c r="F190" s="5" t="s">
        <v>8</v>
      </c>
      <c r="G190" s="5">
        <v>165</v>
      </c>
      <c r="H190" s="6" t="s">
        <v>477</v>
      </c>
      <c r="I190" s="7" t="s">
        <v>503</v>
      </c>
      <c r="J190" s="5" t="s">
        <v>504</v>
      </c>
      <c r="K190" s="5" t="s">
        <v>505</v>
      </c>
      <c r="L190" s="5" t="s">
        <v>506</v>
      </c>
      <c r="M190" s="8" t="s">
        <v>421</v>
      </c>
      <c r="N190" s="5" t="s">
        <v>503</v>
      </c>
      <c r="O190" s="5" t="s">
        <v>527</v>
      </c>
      <c r="P190" s="1" t="s">
        <v>528</v>
      </c>
      <c r="Q190" s="1" t="s">
        <v>509</v>
      </c>
      <c r="R190" s="5" t="s">
        <v>510</v>
      </c>
      <c r="S190" s="5" t="s">
        <v>159</v>
      </c>
      <c r="U190" s="5" t="s">
        <v>511</v>
      </c>
      <c r="X190" s="9" t="s">
        <v>512</v>
      </c>
      <c r="Y190" s="5" t="s">
        <v>527</v>
      </c>
      <c r="Z190" s="5" t="s">
        <v>45</v>
      </c>
      <c r="AA190" s="5" t="s">
        <v>46</v>
      </c>
      <c r="AB190" s="5" t="s">
        <v>513</v>
      </c>
      <c r="AC190" s="5" t="s">
        <v>529</v>
      </c>
      <c r="AD190" s="5" t="str">
        <f>_xlfn.CONCAT(Table58911[[#This Row],[&lt;&lt;NOLA&gt;&gt;
NIEM Element]],Table58911[[#This Row],[Repeat Values per attribute]])</f>
        <v>nola-ext:ChargeLIBRSCodef</v>
      </c>
    </row>
    <row r="191" spans="1:30" ht="30" customHeight="1" x14ac:dyDescent="0.3">
      <c r="A191" s="5">
        <f t="shared" si="12"/>
        <v>190</v>
      </c>
      <c r="B191" s="5">
        <f t="shared" si="17"/>
        <v>7</v>
      </c>
      <c r="C191" s="5">
        <f t="shared" si="17"/>
        <v>26</v>
      </c>
      <c r="D191" s="5">
        <f t="shared" si="14"/>
        <v>84</v>
      </c>
      <c r="E191" s="5" t="s">
        <v>49</v>
      </c>
      <c r="F191" s="5" t="s">
        <v>8</v>
      </c>
      <c r="G191" s="5">
        <v>417</v>
      </c>
      <c r="H191" s="6" t="s">
        <v>530</v>
      </c>
      <c r="I191" s="7" t="s">
        <v>531</v>
      </c>
      <c r="J191" s="5" t="s">
        <v>532</v>
      </c>
      <c r="K191" s="5" t="s">
        <v>533</v>
      </c>
      <c r="L191" s="5" t="s">
        <v>440</v>
      </c>
      <c r="M191" s="8" t="s">
        <v>37</v>
      </c>
      <c r="N191" s="5" t="s">
        <v>531</v>
      </c>
      <c r="O191" s="5" t="s">
        <v>534</v>
      </c>
      <c r="P191" s="5" t="s">
        <v>535</v>
      </c>
      <c r="Q191" s="1" t="s">
        <v>536</v>
      </c>
      <c r="R191" s="5" t="s">
        <v>537</v>
      </c>
      <c r="S191" s="5" t="s">
        <v>538</v>
      </c>
      <c r="U191" s="1" t="s">
        <v>539</v>
      </c>
      <c r="X191" s="9" t="s">
        <v>540</v>
      </c>
      <c r="Y191" s="5" t="s">
        <v>534</v>
      </c>
      <c r="Z191" s="5" t="s">
        <v>45</v>
      </c>
      <c r="AA191" s="5" t="s">
        <v>46</v>
      </c>
      <c r="AB191" s="5" t="s">
        <v>541</v>
      </c>
      <c r="AC191" s="5" t="s">
        <v>542</v>
      </c>
      <c r="AD191" s="5" t="str">
        <f>_xlfn.CONCAT(Table58911[[#This Row],[&lt;&lt;NOLA&gt;&gt;
NIEM Element]],Table58911[[#This Row],[Repeat Values per attribute]])</f>
        <v>nc:ContactTelephoneNumbera</v>
      </c>
    </row>
    <row r="192" spans="1:30" ht="30" customHeight="1" x14ac:dyDescent="0.3">
      <c r="A192" s="5">
        <f t="shared" si="12"/>
        <v>191</v>
      </c>
      <c r="B192" s="5">
        <f t="shared" si="17"/>
        <v>7</v>
      </c>
      <c r="C192" s="5">
        <f t="shared" si="17"/>
        <v>26</v>
      </c>
      <c r="D192" s="5">
        <f t="shared" si="14"/>
        <v>84</v>
      </c>
      <c r="E192" s="5" t="s">
        <v>49</v>
      </c>
      <c r="F192" s="5" t="s">
        <v>8</v>
      </c>
      <c r="G192" s="5">
        <v>417</v>
      </c>
      <c r="H192" s="6" t="s">
        <v>530</v>
      </c>
      <c r="I192" s="7" t="s">
        <v>531</v>
      </c>
      <c r="J192" s="5" t="s">
        <v>532</v>
      </c>
      <c r="K192" s="5" t="s">
        <v>533</v>
      </c>
      <c r="L192" s="5" t="s">
        <v>440</v>
      </c>
      <c r="M192" s="8" t="s">
        <v>37</v>
      </c>
      <c r="N192" s="5" t="s">
        <v>531</v>
      </c>
      <c r="O192" s="5" t="s">
        <v>534</v>
      </c>
      <c r="P192" s="5" t="s">
        <v>535</v>
      </c>
      <c r="Q192" s="1" t="s">
        <v>536</v>
      </c>
      <c r="R192" s="5" t="s">
        <v>537</v>
      </c>
      <c r="S192" s="5" t="s">
        <v>538</v>
      </c>
      <c r="U192" s="1" t="s">
        <v>539</v>
      </c>
      <c r="X192" s="9" t="s">
        <v>543</v>
      </c>
      <c r="Y192" s="5" t="s">
        <v>534</v>
      </c>
      <c r="Z192" s="5" t="s">
        <v>45</v>
      </c>
      <c r="AA192" s="5" t="s">
        <v>46</v>
      </c>
      <c r="AB192" s="5" t="s">
        <v>541</v>
      </c>
      <c r="AC192" s="5" t="s">
        <v>542</v>
      </c>
      <c r="AD192" s="5" t="str">
        <f>_xlfn.CONCAT(Table58911[[#This Row],[&lt;&lt;NOLA&gt;&gt;
NIEM Element]],Table58911[[#This Row],[Repeat Values per attribute]])</f>
        <v>nc:ContactTelephoneNumbera</v>
      </c>
    </row>
    <row r="193" spans="1:30" ht="30" customHeight="1" x14ac:dyDescent="0.3">
      <c r="A193" s="5">
        <f t="shared" si="12"/>
        <v>192</v>
      </c>
      <c r="B193" s="5">
        <f t="shared" si="17"/>
        <v>7</v>
      </c>
      <c r="C193" s="5">
        <f t="shared" si="17"/>
        <v>26</v>
      </c>
      <c r="D193" s="5">
        <f t="shared" si="14"/>
        <v>84</v>
      </c>
      <c r="E193" s="5" t="s">
        <v>49</v>
      </c>
      <c r="F193" s="5" t="s">
        <v>8</v>
      </c>
      <c r="G193" s="5">
        <v>417</v>
      </c>
      <c r="H193" s="6" t="s">
        <v>530</v>
      </c>
      <c r="I193" s="7" t="s">
        <v>531</v>
      </c>
      <c r="J193" s="5" t="s">
        <v>532</v>
      </c>
      <c r="K193" s="5" t="s">
        <v>533</v>
      </c>
      <c r="L193" s="5" t="s">
        <v>440</v>
      </c>
      <c r="M193" s="8" t="s">
        <v>37</v>
      </c>
      <c r="N193" s="5" t="s">
        <v>531</v>
      </c>
      <c r="O193" s="5" t="s">
        <v>534</v>
      </c>
      <c r="P193" s="5" t="s">
        <v>535</v>
      </c>
      <c r="Q193" s="1" t="s">
        <v>536</v>
      </c>
      <c r="R193" s="5" t="s">
        <v>537</v>
      </c>
      <c r="S193" s="5" t="s">
        <v>538</v>
      </c>
      <c r="U193" s="1" t="s">
        <v>539</v>
      </c>
      <c r="X193" s="9" t="s">
        <v>544</v>
      </c>
      <c r="Y193" s="5" t="s">
        <v>534</v>
      </c>
      <c r="Z193" s="5" t="s">
        <v>45</v>
      </c>
      <c r="AA193" s="5" t="s">
        <v>46</v>
      </c>
      <c r="AB193" s="5" t="s">
        <v>541</v>
      </c>
      <c r="AC193" s="5" t="s">
        <v>542</v>
      </c>
      <c r="AD193" s="5" t="str">
        <f>_xlfn.CONCAT(Table58911[[#This Row],[&lt;&lt;NOLA&gt;&gt;
NIEM Element]],Table58911[[#This Row],[Repeat Values per attribute]])</f>
        <v>nc:ContactTelephoneNumbera</v>
      </c>
    </row>
    <row r="194" spans="1:30" ht="30" customHeight="1" x14ac:dyDescent="0.3">
      <c r="A194" s="5">
        <f t="shared" ref="A194:A257" si="18">ROW(A193)</f>
        <v>193</v>
      </c>
      <c r="B194" s="5">
        <f t="shared" ref="B194:C209" si="19">IF(H193=H194,B193,B193+1)</f>
        <v>7</v>
      </c>
      <c r="C194" s="5">
        <f t="shared" si="19"/>
        <v>26</v>
      </c>
      <c r="D194" s="5">
        <f t="shared" ref="D194:D257" si="20">IF(AD193=AD194,D193,D193+1)</f>
        <v>84</v>
      </c>
      <c r="E194" s="5" t="s">
        <v>49</v>
      </c>
      <c r="F194" s="5" t="s">
        <v>8</v>
      </c>
      <c r="G194" s="5">
        <v>417</v>
      </c>
      <c r="H194" s="6" t="s">
        <v>530</v>
      </c>
      <c r="I194" s="7" t="s">
        <v>531</v>
      </c>
      <c r="J194" s="5" t="s">
        <v>532</v>
      </c>
      <c r="K194" s="5" t="s">
        <v>533</v>
      </c>
      <c r="L194" s="5" t="s">
        <v>440</v>
      </c>
      <c r="M194" s="8" t="s">
        <v>37</v>
      </c>
      <c r="N194" s="5" t="s">
        <v>531</v>
      </c>
      <c r="O194" s="5" t="s">
        <v>534</v>
      </c>
      <c r="P194" s="5" t="s">
        <v>535</v>
      </c>
      <c r="Q194" s="1" t="s">
        <v>536</v>
      </c>
      <c r="R194" s="5" t="s">
        <v>537</v>
      </c>
      <c r="S194" s="5" t="s">
        <v>538</v>
      </c>
      <c r="U194" s="1" t="s">
        <v>539</v>
      </c>
      <c r="X194" s="9" t="s">
        <v>545</v>
      </c>
      <c r="Y194" s="5" t="s">
        <v>534</v>
      </c>
      <c r="Z194" s="5" t="s">
        <v>45</v>
      </c>
      <c r="AA194" s="5" t="s">
        <v>46</v>
      </c>
      <c r="AB194" s="5" t="s">
        <v>541</v>
      </c>
      <c r="AC194" s="5" t="s">
        <v>542</v>
      </c>
      <c r="AD194" s="5" t="str">
        <f>_xlfn.CONCAT(Table58911[[#This Row],[&lt;&lt;NOLA&gt;&gt;
NIEM Element]],Table58911[[#This Row],[Repeat Values per attribute]])</f>
        <v>nc:ContactTelephoneNumbera</v>
      </c>
    </row>
    <row r="195" spans="1:30" ht="30" customHeight="1" x14ac:dyDescent="0.3">
      <c r="A195" s="5">
        <f t="shared" si="18"/>
        <v>194</v>
      </c>
      <c r="B195" s="5">
        <f t="shared" si="19"/>
        <v>7</v>
      </c>
      <c r="C195" s="5">
        <f t="shared" si="19"/>
        <v>26</v>
      </c>
      <c r="D195" s="5">
        <f t="shared" si="20"/>
        <v>85</v>
      </c>
      <c r="E195" s="5" t="s">
        <v>49</v>
      </c>
      <c r="F195" s="5" t="s">
        <v>8</v>
      </c>
      <c r="G195" s="5">
        <v>417</v>
      </c>
      <c r="H195" s="6" t="s">
        <v>530</v>
      </c>
      <c r="I195" s="7" t="s">
        <v>531</v>
      </c>
      <c r="J195" s="5" t="s">
        <v>532</v>
      </c>
      <c r="K195" s="5" t="s">
        <v>533</v>
      </c>
      <c r="L195" s="5" t="s">
        <v>440</v>
      </c>
      <c r="M195" s="8" t="s">
        <v>52</v>
      </c>
      <c r="N195" s="5" t="s">
        <v>531</v>
      </c>
      <c r="O195" s="5" t="s">
        <v>546</v>
      </c>
      <c r="P195" s="1" t="s">
        <v>547</v>
      </c>
      <c r="Q195" s="1" t="s">
        <v>536</v>
      </c>
      <c r="R195" s="5" t="s">
        <v>537</v>
      </c>
      <c r="S195" s="5" t="s">
        <v>538</v>
      </c>
      <c r="U195" s="1" t="s">
        <v>539</v>
      </c>
      <c r="X195" s="9" t="s">
        <v>540</v>
      </c>
      <c r="Y195" s="5" t="s">
        <v>546</v>
      </c>
      <c r="Z195" s="5" t="s">
        <v>45</v>
      </c>
      <c r="AA195" s="5" t="s">
        <v>46</v>
      </c>
      <c r="AB195" s="5" t="s">
        <v>548</v>
      </c>
      <c r="AC195" s="5" t="s">
        <v>549</v>
      </c>
      <c r="AD195" s="5" t="str">
        <f>_xlfn.CONCAT(Table58911[[#This Row],[&lt;&lt;NOLA&gt;&gt;
NIEM Element]],Table58911[[#This Row],[Repeat Values per attribute]])</f>
        <v>nc:ContactTelephoneNumberb</v>
      </c>
    </row>
    <row r="196" spans="1:30" ht="30" customHeight="1" x14ac:dyDescent="0.3">
      <c r="A196" s="5">
        <f t="shared" si="18"/>
        <v>195</v>
      </c>
      <c r="B196" s="5">
        <f t="shared" si="19"/>
        <v>7</v>
      </c>
      <c r="C196" s="5">
        <f t="shared" si="19"/>
        <v>26</v>
      </c>
      <c r="D196" s="5">
        <f t="shared" si="20"/>
        <v>85</v>
      </c>
      <c r="E196" s="5" t="s">
        <v>49</v>
      </c>
      <c r="F196" s="5" t="s">
        <v>8</v>
      </c>
      <c r="G196" s="5">
        <v>417</v>
      </c>
      <c r="H196" s="6" t="s">
        <v>530</v>
      </c>
      <c r="I196" s="7" t="s">
        <v>531</v>
      </c>
      <c r="J196" s="5" t="s">
        <v>532</v>
      </c>
      <c r="K196" s="5" t="s">
        <v>533</v>
      </c>
      <c r="L196" s="5" t="s">
        <v>440</v>
      </c>
      <c r="M196" s="8" t="s">
        <v>52</v>
      </c>
      <c r="N196" s="5" t="s">
        <v>531</v>
      </c>
      <c r="O196" s="5" t="s">
        <v>546</v>
      </c>
      <c r="P196" s="1" t="s">
        <v>547</v>
      </c>
      <c r="Q196" s="1" t="s">
        <v>536</v>
      </c>
      <c r="R196" s="5" t="s">
        <v>537</v>
      </c>
      <c r="S196" s="5" t="s">
        <v>538</v>
      </c>
      <c r="U196" s="1" t="s">
        <v>539</v>
      </c>
      <c r="X196" s="9" t="s">
        <v>543</v>
      </c>
      <c r="Y196" s="5" t="s">
        <v>546</v>
      </c>
      <c r="Z196" s="5" t="s">
        <v>45</v>
      </c>
      <c r="AA196" s="5" t="s">
        <v>46</v>
      </c>
      <c r="AB196" s="5" t="s">
        <v>548</v>
      </c>
      <c r="AC196" s="5" t="s">
        <v>549</v>
      </c>
      <c r="AD196" s="5" t="str">
        <f>_xlfn.CONCAT(Table58911[[#This Row],[&lt;&lt;NOLA&gt;&gt;
NIEM Element]],Table58911[[#This Row],[Repeat Values per attribute]])</f>
        <v>nc:ContactTelephoneNumberb</v>
      </c>
    </row>
    <row r="197" spans="1:30" ht="30" customHeight="1" x14ac:dyDescent="0.3">
      <c r="A197" s="5">
        <f t="shared" si="18"/>
        <v>196</v>
      </c>
      <c r="B197" s="5">
        <f t="shared" si="19"/>
        <v>7</v>
      </c>
      <c r="C197" s="5">
        <f t="shared" si="19"/>
        <v>26</v>
      </c>
      <c r="D197" s="5">
        <f t="shared" si="20"/>
        <v>85</v>
      </c>
      <c r="E197" s="5" t="s">
        <v>49</v>
      </c>
      <c r="F197" s="5" t="s">
        <v>8</v>
      </c>
      <c r="G197" s="5">
        <v>417</v>
      </c>
      <c r="H197" s="6" t="s">
        <v>530</v>
      </c>
      <c r="I197" s="7" t="s">
        <v>531</v>
      </c>
      <c r="J197" s="5" t="s">
        <v>532</v>
      </c>
      <c r="K197" s="5" t="s">
        <v>533</v>
      </c>
      <c r="L197" s="5" t="s">
        <v>440</v>
      </c>
      <c r="M197" s="8" t="s">
        <v>52</v>
      </c>
      <c r="N197" s="5" t="s">
        <v>531</v>
      </c>
      <c r="O197" s="5" t="s">
        <v>546</v>
      </c>
      <c r="P197" s="1" t="s">
        <v>547</v>
      </c>
      <c r="Q197" s="1" t="s">
        <v>536</v>
      </c>
      <c r="R197" s="5" t="s">
        <v>537</v>
      </c>
      <c r="S197" s="5" t="s">
        <v>538</v>
      </c>
      <c r="U197" s="1" t="s">
        <v>539</v>
      </c>
      <c r="X197" s="9" t="s">
        <v>544</v>
      </c>
      <c r="Y197" s="5" t="s">
        <v>546</v>
      </c>
      <c r="Z197" s="5" t="s">
        <v>45</v>
      </c>
      <c r="AA197" s="5" t="s">
        <v>46</v>
      </c>
      <c r="AB197" s="5" t="s">
        <v>548</v>
      </c>
      <c r="AC197" s="5" t="s">
        <v>549</v>
      </c>
      <c r="AD197" s="5" t="str">
        <f>_xlfn.CONCAT(Table58911[[#This Row],[&lt;&lt;NOLA&gt;&gt;
NIEM Element]],Table58911[[#This Row],[Repeat Values per attribute]])</f>
        <v>nc:ContactTelephoneNumberb</v>
      </c>
    </row>
    <row r="198" spans="1:30" ht="30" customHeight="1" x14ac:dyDescent="0.3">
      <c r="A198" s="5">
        <f t="shared" si="18"/>
        <v>197</v>
      </c>
      <c r="B198" s="5">
        <f t="shared" si="19"/>
        <v>7</v>
      </c>
      <c r="C198" s="5">
        <f t="shared" si="19"/>
        <v>26</v>
      </c>
      <c r="D198" s="5">
        <f t="shared" si="20"/>
        <v>85</v>
      </c>
      <c r="E198" s="5" t="s">
        <v>49</v>
      </c>
      <c r="F198" s="5" t="s">
        <v>8</v>
      </c>
      <c r="G198" s="5">
        <v>417</v>
      </c>
      <c r="H198" s="6" t="s">
        <v>530</v>
      </c>
      <c r="I198" s="7" t="s">
        <v>531</v>
      </c>
      <c r="J198" s="5" t="s">
        <v>532</v>
      </c>
      <c r="K198" s="5" t="s">
        <v>533</v>
      </c>
      <c r="L198" s="5" t="s">
        <v>440</v>
      </c>
      <c r="M198" s="8" t="s">
        <v>52</v>
      </c>
      <c r="N198" s="5" t="s">
        <v>531</v>
      </c>
      <c r="O198" s="5" t="s">
        <v>546</v>
      </c>
      <c r="P198" s="1" t="s">
        <v>547</v>
      </c>
      <c r="Q198" s="1" t="s">
        <v>536</v>
      </c>
      <c r="R198" s="5" t="s">
        <v>537</v>
      </c>
      <c r="S198" s="5" t="s">
        <v>538</v>
      </c>
      <c r="U198" s="1" t="s">
        <v>539</v>
      </c>
      <c r="X198" s="9" t="s">
        <v>545</v>
      </c>
      <c r="Y198" s="5" t="s">
        <v>546</v>
      </c>
      <c r="Z198" s="5" t="s">
        <v>45</v>
      </c>
      <c r="AA198" s="5" t="s">
        <v>46</v>
      </c>
      <c r="AB198" s="5" t="s">
        <v>548</v>
      </c>
      <c r="AC198" s="5" t="s">
        <v>549</v>
      </c>
      <c r="AD198" s="5" t="str">
        <f>_xlfn.CONCAT(Table58911[[#This Row],[&lt;&lt;NOLA&gt;&gt;
NIEM Element]],Table58911[[#This Row],[Repeat Values per attribute]])</f>
        <v>nc:ContactTelephoneNumberb</v>
      </c>
    </row>
    <row r="199" spans="1:30" ht="30" customHeight="1" x14ac:dyDescent="0.3">
      <c r="A199" s="5">
        <f t="shared" si="18"/>
        <v>198</v>
      </c>
      <c r="B199" s="5">
        <f t="shared" si="19"/>
        <v>7</v>
      </c>
      <c r="C199" s="5">
        <f t="shared" si="19"/>
        <v>26</v>
      </c>
      <c r="D199" s="5">
        <f t="shared" si="20"/>
        <v>86</v>
      </c>
      <c r="E199" s="5" t="s">
        <v>32</v>
      </c>
      <c r="F199" s="5" t="s">
        <v>8</v>
      </c>
      <c r="G199" s="5">
        <v>417</v>
      </c>
      <c r="H199" s="6" t="s">
        <v>530</v>
      </c>
      <c r="I199" s="7" t="s">
        <v>531</v>
      </c>
      <c r="J199" s="5" t="s">
        <v>532</v>
      </c>
      <c r="K199" s="5" t="s">
        <v>533</v>
      </c>
      <c r="L199" s="5" t="s">
        <v>440</v>
      </c>
      <c r="M199" s="8" t="s">
        <v>49</v>
      </c>
      <c r="N199" s="5" t="s">
        <v>531</v>
      </c>
      <c r="O199" s="5" t="s">
        <v>550</v>
      </c>
      <c r="P199" s="1" t="s">
        <v>551</v>
      </c>
      <c r="Q199" s="1" t="s">
        <v>536</v>
      </c>
      <c r="R199" s="5" t="s">
        <v>537</v>
      </c>
      <c r="S199" s="5" t="s">
        <v>538</v>
      </c>
      <c r="U199" s="1" t="s">
        <v>539</v>
      </c>
      <c r="X199" s="9" t="s">
        <v>540</v>
      </c>
      <c r="Y199" s="5" t="s">
        <v>550</v>
      </c>
      <c r="Z199" s="5" t="s">
        <v>45</v>
      </c>
      <c r="AA199" s="5" t="s">
        <v>90</v>
      </c>
      <c r="AB199" s="5" t="s">
        <v>552</v>
      </c>
      <c r="AC199" s="5" t="s">
        <v>553</v>
      </c>
      <c r="AD199" s="5" t="str">
        <f>_xlfn.CONCAT(Table58911[[#This Row],[&lt;&lt;NOLA&gt;&gt;
NIEM Element]],Table58911[[#This Row],[Repeat Values per attribute]])</f>
        <v>nc:ContactTelephoneNumberd</v>
      </c>
    </row>
    <row r="200" spans="1:30" ht="30" customHeight="1" x14ac:dyDescent="0.3">
      <c r="A200" s="5">
        <f t="shared" si="18"/>
        <v>199</v>
      </c>
      <c r="B200" s="5">
        <f t="shared" si="19"/>
        <v>7</v>
      </c>
      <c r="C200" s="5">
        <f t="shared" si="19"/>
        <v>26</v>
      </c>
      <c r="D200" s="5">
        <f t="shared" si="20"/>
        <v>86</v>
      </c>
      <c r="E200" s="5" t="s">
        <v>49</v>
      </c>
      <c r="F200" s="5" t="s">
        <v>8</v>
      </c>
      <c r="G200" s="5">
        <v>417</v>
      </c>
      <c r="H200" s="6" t="s">
        <v>530</v>
      </c>
      <c r="I200" s="7" t="s">
        <v>531</v>
      </c>
      <c r="J200" s="5" t="s">
        <v>532</v>
      </c>
      <c r="K200" s="5" t="s">
        <v>533</v>
      </c>
      <c r="L200" s="5" t="s">
        <v>440</v>
      </c>
      <c r="M200" s="8" t="s">
        <v>49</v>
      </c>
      <c r="N200" s="5" t="s">
        <v>531</v>
      </c>
      <c r="O200" s="5" t="s">
        <v>550</v>
      </c>
      <c r="P200" s="1" t="s">
        <v>551</v>
      </c>
      <c r="Q200" s="1" t="s">
        <v>536</v>
      </c>
      <c r="R200" s="5" t="s">
        <v>537</v>
      </c>
      <c r="S200" s="5" t="s">
        <v>538</v>
      </c>
      <c r="U200" s="1" t="s">
        <v>539</v>
      </c>
      <c r="X200" s="9" t="s">
        <v>543</v>
      </c>
      <c r="Y200" s="5" t="s">
        <v>550</v>
      </c>
      <c r="Z200" s="5" t="s">
        <v>45</v>
      </c>
      <c r="AA200" s="5" t="s">
        <v>90</v>
      </c>
      <c r="AB200" s="5" t="s">
        <v>552</v>
      </c>
      <c r="AC200" s="5" t="s">
        <v>553</v>
      </c>
      <c r="AD200" s="5" t="str">
        <f>_xlfn.CONCAT(Table58911[[#This Row],[&lt;&lt;NOLA&gt;&gt;
NIEM Element]],Table58911[[#This Row],[Repeat Values per attribute]])</f>
        <v>nc:ContactTelephoneNumberd</v>
      </c>
    </row>
    <row r="201" spans="1:30" ht="30" customHeight="1" x14ac:dyDescent="0.3">
      <c r="A201" s="5">
        <f t="shared" si="18"/>
        <v>200</v>
      </c>
      <c r="B201" s="5">
        <f t="shared" si="19"/>
        <v>7</v>
      </c>
      <c r="C201" s="5">
        <f t="shared" si="19"/>
        <v>26</v>
      </c>
      <c r="D201" s="5">
        <f t="shared" si="20"/>
        <v>86</v>
      </c>
      <c r="E201" s="5" t="s">
        <v>49</v>
      </c>
      <c r="F201" s="5" t="s">
        <v>8</v>
      </c>
      <c r="G201" s="5">
        <v>417</v>
      </c>
      <c r="H201" s="6" t="s">
        <v>530</v>
      </c>
      <c r="I201" s="7" t="s">
        <v>531</v>
      </c>
      <c r="J201" s="5" t="s">
        <v>532</v>
      </c>
      <c r="K201" s="5" t="s">
        <v>533</v>
      </c>
      <c r="L201" s="5" t="s">
        <v>440</v>
      </c>
      <c r="M201" s="8" t="s">
        <v>49</v>
      </c>
      <c r="N201" s="5" t="s">
        <v>531</v>
      </c>
      <c r="O201" s="5" t="s">
        <v>550</v>
      </c>
      <c r="P201" s="1" t="s">
        <v>551</v>
      </c>
      <c r="Q201" s="1" t="s">
        <v>536</v>
      </c>
      <c r="R201" s="5" t="s">
        <v>537</v>
      </c>
      <c r="S201" s="5" t="s">
        <v>538</v>
      </c>
      <c r="U201" s="1" t="s">
        <v>539</v>
      </c>
      <c r="X201" s="9" t="s">
        <v>544</v>
      </c>
      <c r="Y201" s="5" t="s">
        <v>550</v>
      </c>
      <c r="Z201" s="5" t="s">
        <v>45</v>
      </c>
      <c r="AA201" s="5" t="s">
        <v>90</v>
      </c>
      <c r="AB201" s="5" t="s">
        <v>552</v>
      </c>
      <c r="AC201" s="5" t="s">
        <v>553</v>
      </c>
      <c r="AD201" s="5" t="str">
        <f>_xlfn.CONCAT(Table58911[[#This Row],[&lt;&lt;NOLA&gt;&gt;
NIEM Element]],Table58911[[#This Row],[Repeat Values per attribute]])</f>
        <v>nc:ContactTelephoneNumberd</v>
      </c>
    </row>
    <row r="202" spans="1:30" ht="30" customHeight="1" x14ac:dyDescent="0.3">
      <c r="A202" s="5">
        <f t="shared" si="18"/>
        <v>201</v>
      </c>
      <c r="B202" s="5">
        <f t="shared" si="19"/>
        <v>7</v>
      </c>
      <c r="C202" s="5">
        <f t="shared" si="19"/>
        <v>26</v>
      </c>
      <c r="D202" s="5">
        <f t="shared" si="20"/>
        <v>86</v>
      </c>
      <c r="E202" s="5" t="s">
        <v>49</v>
      </c>
      <c r="F202" s="5" t="s">
        <v>8</v>
      </c>
      <c r="G202" s="5">
        <v>417</v>
      </c>
      <c r="H202" s="6" t="s">
        <v>530</v>
      </c>
      <c r="I202" s="7" t="s">
        <v>531</v>
      </c>
      <c r="J202" s="5" t="s">
        <v>532</v>
      </c>
      <c r="K202" s="5" t="s">
        <v>533</v>
      </c>
      <c r="L202" s="5" t="s">
        <v>440</v>
      </c>
      <c r="M202" s="8" t="s">
        <v>49</v>
      </c>
      <c r="N202" s="5" t="s">
        <v>531</v>
      </c>
      <c r="O202" s="5" t="s">
        <v>550</v>
      </c>
      <c r="P202" s="1" t="s">
        <v>551</v>
      </c>
      <c r="Q202" s="1" t="s">
        <v>536</v>
      </c>
      <c r="R202" s="5" t="s">
        <v>537</v>
      </c>
      <c r="S202" s="5" t="s">
        <v>538</v>
      </c>
      <c r="U202" s="1" t="s">
        <v>539</v>
      </c>
      <c r="X202" s="9" t="s">
        <v>545</v>
      </c>
      <c r="Y202" s="5" t="s">
        <v>550</v>
      </c>
      <c r="Z202" s="5" t="s">
        <v>45</v>
      </c>
      <c r="AA202" s="5" t="s">
        <v>90</v>
      </c>
      <c r="AB202" s="5" t="s">
        <v>552</v>
      </c>
      <c r="AC202" s="5" t="s">
        <v>553</v>
      </c>
      <c r="AD202" s="5" t="str">
        <f>_xlfn.CONCAT(Table58911[[#This Row],[&lt;&lt;NOLA&gt;&gt;
NIEM Element]],Table58911[[#This Row],[Repeat Values per attribute]])</f>
        <v>nc:ContactTelephoneNumberd</v>
      </c>
    </row>
    <row r="203" spans="1:30" ht="30" customHeight="1" x14ac:dyDescent="0.3">
      <c r="A203" s="5">
        <f t="shared" si="18"/>
        <v>202</v>
      </c>
      <c r="B203" s="5">
        <f t="shared" si="19"/>
        <v>8</v>
      </c>
      <c r="C203" s="5">
        <f t="shared" si="19"/>
        <v>27</v>
      </c>
      <c r="D203" s="5">
        <f t="shared" si="20"/>
        <v>87</v>
      </c>
      <c r="E203" s="5" t="s">
        <v>32</v>
      </c>
      <c r="F203" s="5" t="s">
        <v>8</v>
      </c>
      <c r="G203" s="5">
        <v>227</v>
      </c>
      <c r="H203" s="6" t="s">
        <v>554</v>
      </c>
      <c r="I203" s="7" t="s">
        <v>555</v>
      </c>
      <c r="J203" s="5" t="s">
        <v>34</v>
      </c>
      <c r="K203" s="5" t="s">
        <v>556</v>
      </c>
      <c r="L203" s="5" t="s">
        <v>36</v>
      </c>
      <c r="M203" s="8" t="s">
        <v>37</v>
      </c>
      <c r="N203" s="5" t="s">
        <v>555</v>
      </c>
      <c r="O203" s="5" t="s">
        <v>557</v>
      </c>
      <c r="P203" s="5" t="s">
        <v>558</v>
      </c>
      <c r="Q203" s="1" t="s">
        <v>559</v>
      </c>
      <c r="R203" s="5" t="s">
        <v>560</v>
      </c>
      <c r="S203" s="5" t="s">
        <v>561</v>
      </c>
      <c r="U203" s="5" t="s">
        <v>562</v>
      </c>
      <c r="X203" s="9" t="s">
        <v>563</v>
      </c>
      <c r="Y203" s="5" t="s">
        <v>557</v>
      </c>
      <c r="Z203" s="5" t="s">
        <v>45</v>
      </c>
      <c r="AA203" s="5" t="s">
        <v>46</v>
      </c>
      <c r="AB203" s="5" t="s">
        <v>564</v>
      </c>
      <c r="AC203" s="5" t="s">
        <v>565</v>
      </c>
      <c r="AD203" s="5" t="str">
        <f>_xlfn.CONCAT(Table58911[[#This Row],[&lt;&lt;NOLA&gt;&gt;
NIEM Element]],Table58911[[#This Row],[Repeat Values per attribute]])</f>
        <v>j:CourtDivisionTexta</v>
      </c>
    </row>
    <row r="204" spans="1:30" ht="30" customHeight="1" x14ac:dyDescent="0.3">
      <c r="A204" s="5">
        <f t="shared" si="18"/>
        <v>203</v>
      </c>
      <c r="B204" s="5">
        <f t="shared" si="19"/>
        <v>8</v>
      </c>
      <c r="C204" s="5">
        <f t="shared" si="19"/>
        <v>28</v>
      </c>
      <c r="D204" s="5">
        <f t="shared" si="20"/>
        <v>88</v>
      </c>
      <c r="E204" s="5" t="s">
        <v>32</v>
      </c>
      <c r="F204" s="5" t="s">
        <v>8</v>
      </c>
      <c r="G204" s="5">
        <v>228</v>
      </c>
      <c r="H204" s="6" t="s">
        <v>554</v>
      </c>
      <c r="I204" s="7" t="s">
        <v>566</v>
      </c>
      <c r="J204" s="5" t="s">
        <v>153</v>
      </c>
      <c r="K204" s="5" t="s">
        <v>567</v>
      </c>
      <c r="L204" s="5" t="s">
        <v>36</v>
      </c>
      <c r="M204" s="8" t="s">
        <v>52</v>
      </c>
      <c r="N204" s="5" t="s">
        <v>566</v>
      </c>
      <c r="O204" s="5" t="s">
        <v>568</v>
      </c>
      <c r="P204" s="1" t="s">
        <v>569</v>
      </c>
      <c r="Q204" s="1" t="s">
        <v>570</v>
      </c>
      <c r="R204" s="5" t="s">
        <v>571</v>
      </c>
      <c r="S204" s="5" t="s">
        <v>572</v>
      </c>
      <c r="U204" s="1" t="s">
        <v>573</v>
      </c>
      <c r="X204" s="9" t="s">
        <v>574</v>
      </c>
      <c r="Y204" s="5" t="s">
        <v>568</v>
      </c>
      <c r="Z204" s="5" t="s">
        <v>45</v>
      </c>
      <c r="AA204" s="5" t="s">
        <v>46</v>
      </c>
      <c r="AB204" s="5" t="s">
        <v>575</v>
      </c>
      <c r="AC204" s="5" t="s">
        <v>576</v>
      </c>
      <c r="AD204" s="5" t="str">
        <f>_xlfn.CONCAT(Table58911[[#This Row],[&lt;&lt;NOLA&gt;&gt;
NIEM Element]],Table58911[[#This Row],[Repeat Values per attribute]])</f>
        <v>j:CourtCategoryCodeb</v>
      </c>
    </row>
    <row r="205" spans="1:30" ht="30" customHeight="1" x14ac:dyDescent="0.3">
      <c r="A205" s="5">
        <f t="shared" si="18"/>
        <v>204</v>
      </c>
      <c r="B205" s="5">
        <f t="shared" si="19"/>
        <v>9</v>
      </c>
      <c r="C205" s="5">
        <f t="shared" si="19"/>
        <v>29</v>
      </c>
      <c r="D205" s="5">
        <f t="shared" si="20"/>
        <v>89</v>
      </c>
      <c r="E205" s="5" t="s">
        <v>32</v>
      </c>
      <c r="F205" s="5" t="s">
        <v>8</v>
      </c>
      <c r="G205" s="5">
        <v>322</v>
      </c>
      <c r="H205" s="6" t="s">
        <v>577</v>
      </c>
      <c r="I205" s="7" t="s">
        <v>578</v>
      </c>
      <c r="J205" s="5" t="s">
        <v>34</v>
      </c>
      <c r="K205" s="5" t="s">
        <v>579</v>
      </c>
      <c r="L205" s="5" t="s">
        <v>36</v>
      </c>
      <c r="M205" s="8" t="s">
        <v>37</v>
      </c>
      <c r="N205" s="5" t="s">
        <v>578</v>
      </c>
      <c r="O205" s="5" t="s">
        <v>580</v>
      </c>
      <c r="P205" s="5" t="s">
        <v>581</v>
      </c>
      <c r="Q205" s="1" t="s">
        <v>582</v>
      </c>
      <c r="R205" s="5" t="s">
        <v>375</v>
      </c>
      <c r="S205" s="5" t="s">
        <v>159</v>
      </c>
      <c r="U205" s="5" t="s">
        <v>583</v>
      </c>
      <c r="X205" s="9" t="s">
        <v>584</v>
      </c>
      <c r="Y205" s="5" t="s">
        <v>580</v>
      </c>
      <c r="Z205" s="5" t="s">
        <v>45</v>
      </c>
      <c r="AA205" s="5" t="s">
        <v>46</v>
      </c>
      <c r="AB205" s="5" t="s">
        <v>585</v>
      </c>
      <c r="AC205" s="5" t="s">
        <v>586</v>
      </c>
      <c r="AD205" s="5" t="str">
        <f>_xlfn.CONCAT(Table58911[[#This Row],[&lt;&lt;NOLA&gt;&gt;
NIEM Element]],Table58911[[#This Row],[Repeat Values per attribute]])</f>
        <v>nc:IdentificationIDa</v>
      </c>
    </row>
    <row r="206" spans="1:30" ht="30" customHeight="1" x14ac:dyDescent="0.3">
      <c r="A206" s="5">
        <f t="shared" si="18"/>
        <v>205</v>
      </c>
      <c r="B206" s="5">
        <f t="shared" si="19"/>
        <v>9</v>
      </c>
      <c r="C206" s="5">
        <f t="shared" si="19"/>
        <v>29</v>
      </c>
      <c r="D206" s="5">
        <f t="shared" si="20"/>
        <v>90</v>
      </c>
      <c r="E206" s="5" t="s">
        <v>32</v>
      </c>
      <c r="F206" s="5" t="s">
        <v>8</v>
      </c>
      <c r="G206" s="5">
        <v>322</v>
      </c>
      <c r="H206" s="6" t="s">
        <v>577</v>
      </c>
      <c r="I206" s="7" t="s">
        <v>578</v>
      </c>
      <c r="J206" s="5" t="s">
        <v>34</v>
      </c>
      <c r="K206" s="5" t="s">
        <v>579</v>
      </c>
      <c r="L206" s="5" t="s">
        <v>36</v>
      </c>
      <c r="M206" s="8" t="s">
        <v>57</v>
      </c>
      <c r="N206" s="5" t="s">
        <v>578</v>
      </c>
      <c r="O206" s="5" t="s">
        <v>587</v>
      </c>
      <c r="P206" s="1" t="s">
        <v>588</v>
      </c>
      <c r="Q206" s="1" t="s">
        <v>582</v>
      </c>
      <c r="R206" s="5" t="s">
        <v>375</v>
      </c>
      <c r="S206" s="5" t="s">
        <v>159</v>
      </c>
      <c r="U206" s="5" t="s">
        <v>583</v>
      </c>
      <c r="X206" s="9" t="s">
        <v>584</v>
      </c>
      <c r="Y206" s="5" t="s">
        <v>587</v>
      </c>
      <c r="Z206" s="5" t="s">
        <v>45</v>
      </c>
      <c r="AA206" s="5" t="s">
        <v>90</v>
      </c>
      <c r="AB206" s="5" t="s">
        <v>589</v>
      </c>
      <c r="AC206" s="5" t="s">
        <v>590</v>
      </c>
      <c r="AD206" s="5" t="str">
        <f>_xlfn.CONCAT(Table58911[[#This Row],[&lt;&lt;NOLA&gt;&gt;
NIEM Element]],Table58911[[#This Row],[Repeat Values per attribute]])</f>
        <v>nc:IdentificationIDc</v>
      </c>
    </row>
    <row r="207" spans="1:30" ht="30" customHeight="1" x14ac:dyDescent="0.3">
      <c r="A207" s="5">
        <f t="shared" si="18"/>
        <v>206</v>
      </c>
      <c r="B207" s="5">
        <f t="shared" si="19"/>
        <v>9</v>
      </c>
      <c r="C207" s="5">
        <f t="shared" si="19"/>
        <v>30</v>
      </c>
      <c r="D207" s="5">
        <f t="shared" si="20"/>
        <v>91</v>
      </c>
      <c r="E207" s="5" t="s">
        <v>32</v>
      </c>
      <c r="F207" s="5" t="s">
        <v>8</v>
      </c>
      <c r="G207" s="5">
        <v>323</v>
      </c>
      <c r="H207" s="6" t="s">
        <v>577</v>
      </c>
      <c r="I207" s="7" t="s">
        <v>591</v>
      </c>
      <c r="J207" s="5" t="s">
        <v>153</v>
      </c>
      <c r="K207" s="5" t="s">
        <v>592</v>
      </c>
      <c r="L207" s="5" t="s">
        <v>36</v>
      </c>
      <c r="M207" s="8" t="s">
        <v>37</v>
      </c>
      <c r="N207" s="5" t="s">
        <v>591</v>
      </c>
      <c r="O207" s="5" t="s">
        <v>593</v>
      </c>
      <c r="P207" s="5" t="s">
        <v>594</v>
      </c>
      <c r="Q207" s="1" t="s">
        <v>595</v>
      </c>
      <c r="R207" s="5" t="s">
        <v>190</v>
      </c>
      <c r="S207" s="5" t="s">
        <v>596</v>
      </c>
      <c r="U207" s="5" t="s">
        <v>597</v>
      </c>
      <c r="X207" s="9" t="s">
        <v>197</v>
      </c>
      <c r="Y207" s="5" t="s">
        <v>593</v>
      </c>
      <c r="Z207" s="5" t="s">
        <v>45</v>
      </c>
      <c r="AA207" s="5" t="s">
        <v>46</v>
      </c>
      <c r="AB207" s="5" t="s">
        <v>598</v>
      </c>
      <c r="AC207" s="5" t="s">
        <v>599</v>
      </c>
      <c r="AD207" s="5" t="str">
        <f>_xlfn.CONCAT(Table58911[[#This Row],[&lt;&lt;NOLA&gt;&gt;
NIEM Element]],Table58911[[#This Row],[Repeat Values per attribute]])</f>
        <v>ncic:StateUSCodea</v>
      </c>
    </row>
    <row r="208" spans="1:30" ht="30" customHeight="1" x14ac:dyDescent="0.3">
      <c r="A208" s="5">
        <f t="shared" si="18"/>
        <v>207</v>
      </c>
      <c r="B208" s="5">
        <f t="shared" si="19"/>
        <v>9</v>
      </c>
      <c r="C208" s="5">
        <f t="shared" si="19"/>
        <v>30</v>
      </c>
      <c r="D208" s="5">
        <f t="shared" si="20"/>
        <v>92</v>
      </c>
      <c r="E208" s="5" t="s">
        <v>32</v>
      </c>
      <c r="F208" s="5" t="s">
        <v>8</v>
      </c>
      <c r="G208" s="5">
        <v>323</v>
      </c>
      <c r="H208" s="6" t="s">
        <v>577</v>
      </c>
      <c r="I208" s="7" t="s">
        <v>591</v>
      </c>
      <c r="J208" s="5" t="s">
        <v>153</v>
      </c>
      <c r="K208" s="5" t="s">
        <v>592</v>
      </c>
      <c r="L208" s="5" t="s">
        <v>36</v>
      </c>
      <c r="M208" s="8" t="s">
        <v>57</v>
      </c>
      <c r="N208" s="5" t="s">
        <v>591</v>
      </c>
      <c r="O208" s="5" t="s">
        <v>600</v>
      </c>
      <c r="P208" s="1" t="s">
        <v>601</v>
      </c>
      <c r="Q208" s="1" t="s">
        <v>595</v>
      </c>
      <c r="R208" s="5" t="s">
        <v>190</v>
      </c>
      <c r="S208" s="5" t="s">
        <v>596</v>
      </c>
      <c r="U208" s="5" t="s">
        <v>597</v>
      </c>
      <c r="X208" s="9" t="s">
        <v>197</v>
      </c>
      <c r="Y208" s="5" t="s">
        <v>600</v>
      </c>
      <c r="Z208" s="5" t="s">
        <v>45</v>
      </c>
      <c r="AA208" s="5" t="s">
        <v>90</v>
      </c>
      <c r="AB208" s="5" t="s">
        <v>602</v>
      </c>
      <c r="AC208" s="5" t="s">
        <v>603</v>
      </c>
      <c r="AD208" s="5" t="str">
        <f>_xlfn.CONCAT(Table58911[[#This Row],[&lt;&lt;NOLA&gt;&gt;
NIEM Element]],Table58911[[#This Row],[Repeat Values per attribute]])</f>
        <v>ncic:StateUSCodec</v>
      </c>
    </row>
    <row r="209" spans="1:30" ht="30" customHeight="1" x14ac:dyDescent="0.3">
      <c r="A209" s="5">
        <f t="shared" si="18"/>
        <v>208</v>
      </c>
      <c r="B209" s="5">
        <f t="shared" si="19"/>
        <v>9</v>
      </c>
      <c r="C209" s="5">
        <f t="shared" si="19"/>
        <v>31</v>
      </c>
      <c r="D209" s="5">
        <f t="shared" si="20"/>
        <v>93</v>
      </c>
      <c r="E209" s="5" t="s">
        <v>32</v>
      </c>
      <c r="F209" s="5" t="s">
        <v>8</v>
      </c>
      <c r="G209" s="5">
        <v>324</v>
      </c>
      <c r="H209" s="6" t="s">
        <v>577</v>
      </c>
      <c r="I209" s="7" t="s">
        <v>604</v>
      </c>
      <c r="J209" s="5" t="s">
        <v>605</v>
      </c>
      <c r="K209" s="5" t="s">
        <v>606</v>
      </c>
      <c r="L209" s="5" t="s">
        <v>36</v>
      </c>
      <c r="M209" s="8" t="s">
        <v>37</v>
      </c>
      <c r="N209" s="5" t="s">
        <v>604</v>
      </c>
      <c r="O209" s="5" t="s">
        <v>607</v>
      </c>
      <c r="P209" s="5" t="s">
        <v>608</v>
      </c>
      <c r="Q209" s="1" t="s">
        <v>609</v>
      </c>
      <c r="R209" s="5" t="s">
        <v>610</v>
      </c>
      <c r="S209" s="5" t="s">
        <v>611</v>
      </c>
      <c r="U209" s="5" t="s">
        <v>612</v>
      </c>
      <c r="X209" s="9" t="s">
        <v>613</v>
      </c>
      <c r="Y209" s="5" t="s">
        <v>607</v>
      </c>
      <c r="Z209" s="5" t="s">
        <v>45</v>
      </c>
      <c r="AA209" s="5" t="s">
        <v>46</v>
      </c>
      <c r="AB209" s="5" t="s">
        <v>614</v>
      </c>
      <c r="AC209" s="5" t="s">
        <v>615</v>
      </c>
      <c r="AD209" s="5" t="str">
        <f>_xlfn.CONCAT(Table58911[[#This Row],[&lt;&lt;NOLA&gt;&gt;
NIEM Element]],Table58911[[#This Row],[Repeat Values per attribute]])</f>
        <v>nc:Datea</v>
      </c>
    </row>
    <row r="210" spans="1:30" ht="30" customHeight="1" x14ac:dyDescent="0.3">
      <c r="A210" s="5">
        <f t="shared" si="18"/>
        <v>209</v>
      </c>
      <c r="B210" s="5">
        <f t="shared" ref="B210:C225" si="21">IF(H209=H210,B209,B209+1)</f>
        <v>9</v>
      </c>
      <c r="C210" s="5">
        <f t="shared" si="21"/>
        <v>31</v>
      </c>
      <c r="D210" s="5">
        <f t="shared" si="20"/>
        <v>94</v>
      </c>
      <c r="E210" s="5" t="s">
        <v>32</v>
      </c>
      <c r="F210" s="5" t="s">
        <v>8</v>
      </c>
      <c r="G210" s="5">
        <v>324</v>
      </c>
      <c r="H210" s="6" t="s">
        <v>577</v>
      </c>
      <c r="I210" s="7" t="s">
        <v>604</v>
      </c>
      <c r="J210" s="5" t="s">
        <v>605</v>
      </c>
      <c r="K210" s="5" t="s">
        <v>606</v>
      </c>
      <c r="L210" s="5" t="s">
        <v>36</v>
      </c>
      <c r="M210" s="8" t="s">
        <v>57</v>
      </c>
      <c r="N210" s="5" t="s">
        <v>604</v>
      </c>
      <c r="O210" s="5" t="s">
        <v>616</v>
      </c>
      <c r="P210" s="1" t="s">
        <v>617</v>
      </c>
      <c r="Q210" s="1" t="s">
        <v>609</v>
      </c>
      <c r="R210" s="5" t="s">
        <v>610</v>
      </c>
      <c r="S210" s="5" t="s">
        <v>611</v>
      </c>
      <c r="U210" s="5" t="s">
        <v>612</v>
      </c>
      <c r="X210" s="9" t="s">
        <v>613</v>
      </c>
      <c r="Y210" s="5" t="s">
        <v>616</v>
      </c>
      <c r="Z210" s="5" t="s">
        <v>45</v>
      </c>
      <c r="AA210" s="5" t="s">
        <v>90</v>
      </c>
      <c r="AB210" s="5" t="s">
        <v>618</v>
      </c>
      <c r="AC210" s="5" t="s">
        <v>619</v>
      </c>
      <c r="AD210" s="5" t="str">
        <f>_xlfn.CONCAT(Table58911[[#This Row],[&lt;&lt;NOLA&gt;&gt;
NIEM Element]],Table58911[[#This Row],[Repeat Values per attribute]])</f>
        <v>nc:Datec</v>
      </c>
    </row>
    <row r="211" spans="1:30" ht="30" customHeight="1" x14ac:dyDescent="0.3">
      <c r="A211" s="5">
        <f t="shared" si="18"/>
        <v>210</v>
      </c>
      <c r="B211" s="5">
        <f t="shared" si="21"/>
        <v>10</v>
      </c>
      <c r="C211" s="5">
        <f t="shared" si="21"/>
        <v>32</v>
      </c>
      <c r="D211" s="5">
        <f t="shared" si="20"/>
        <v>95</v>
      </c>
      <c r="E211" s="5" t="s">
        <v>32</v>
      </c>
      <c r="F211" s="5" t="s">
        <v>8</v>
      </c>
      <c r="G211" s="5">
        <v>383</v>
      </c>
      <c r="H211" s="6" t="s">
        <v>620</v>
      </c>
      <c r="I211" s="7" t="s">
        <v>621</v>
      </c>
      <c r="J211" s="5" t="s">
        <v>34</v>
      </c>
      <c r="K211" s="5" t="s">
        <v>622</v>
      </c>
      <c r="L211" s="5" t="s">
        <v>36</v>
      </c>
      <c r="M211" s="8" t="s">
        <v>52</v>
      </c>
      <c r="N211" s="5" t="s">
        <v>621</v>
      </c>
      <c r="O211" s="5" t="s">
        <v>623</v>
      </c>
      <c r="P211" s="1" t="s">
        <v>624</v>
      </c>
      <c r="Q211" s="1" t="s">
        <v>625</v>
      </c>
      <c r="R211" s="5" t="s">
        <v>626</v>
      </c>
      <c r="S211" s="5" t="s">
        <v>42</v>
      </c>
      <c r="U211" s="5" t="s">
        <v>627</v>
      </c>
      <c r="X211" s="9" t="s">
        <v>628</v>
      </c>
      <c r="Y211" s="5" t="s">
        <v>623</v>
      </c>
      <c r="Z211" s="5" t="s">
        <v>45</v>
      </c>
      <c r="AA211" s="5" t="s">
        <v>90</v>
      </c>
      <c r="AB211" s="5" t="s">
        <v>629</v>
      </c>
      <c r="AC211" s="5" t="s">
        <v>630</v>
      </c>
      <c r="AD211" s="5" t="str">
        <f>_xlfn.CONCAT(Table58911[[#This Row],[&lt;&lt;NOLA&gt;&gt;
NIEM Element]],Table58911[[#This Row],[Repeat Values per attribute]])</f>
        <v>hs:EmployerName b</v>
      </c>
    </row>
    <row r="212" spans="1:30" ht="30" customHeight="1" x14ac:dyDescent="0.3">
      <c r="A212" s="5">
        <f t="shared" si="18"/>
        <v>211</v>
      </c>
      <c r="B212" s="5">
        <f t="shared" si="21"/>
        <v>10</v>
      </c>
      <c r="C212" s="5">
        <f t="shared" si="21"/>
        <v>32</v>
      </c>
      <c r="D212" s="5">
        <f t="shared" si="20"/>
        <v>96</v>
      </c>
      <c r="E212" s="5" t="s">
        <v>32</v>
      </c>
      <c r="F212" s="5" t="s">
        <v>8</v>
      </c>
      <c r="G212" s="5">
        <v>383</v>
      </c>
      <c r="H212" s="6" t="s">
        <v>620</v>
      </c>
      <c r="I212" s="7" t="s">
        <v>621</v>
      </c>
      <c r="J212" s="5" t="s">
        <v>34</v>
      </c>
      <c r="K212" s="5" t="s">
        <v>622</v>
      </c>
      <c r="L212" s="5" t="s">
        <v>36</v>
      </c>
      <c r="M212" s="8" t="s">
        <v>57</v>
      </c>
      <c r="N212" s="5" t="s">
        <v>621</v>
      </c>
      <c r="O212" s="5" t="s">
        <v>631</v>
      </c>
      <c r="P212" s="1" t="s">
        <v>632</v>
      </c>
      <c r="Q212" s="1" t="s">
        <v>625</v>
      </c>
      <c r="R212" s="5" t="s">
        <v>626</v>
      </c>
      <c r="S212" s="5" t="s">
        <v>42</v>
      </c>
      <c r="U212" s="5" t="s">
        <v>627</v>
      </c>
      <c r="X212" s="9" t="s">
        <v>628</v>
      </c>
      <c r="Y212" s="5" t="s">
        <v>631</v>
      </c>
      <c r="Z212" s="5" t="s">
        <v>45</v>
      </c>
      <c r="AA212" s="5" t="s">
        <v>46</v>
      </c>
      <c r="AB212" s="5" t="s">
        <v>629</v>
      </c>
      <c r="AC212" s="5" t="s">
        <v>633</v>
      </c>
      <c r="AD212" s="5" t="str">
        <f>_xlfn.CONCAT(Table58911[[#This Row],[&lt;&lt;NOLA&gt;&gt;
NIEM Element]],Table58911[[#This Row],[Repeat Values per attribute]])</f>
        <v>hs:EmployerName c</v>
      </c>
    </row>
    <row r="213" spans="1:30" ht="30" customHeight="1" x14ac:dyDescent="0.3">
      <c r="A213" s="5">
        <f t="shared" si="18"/>
        <v>212</v>
      </c>
      <c r="B213" s="5">
        <f t="shared" si="21"/>
        <v>10</v>
      </c>
      <c r="C213" s="5">
        <f t="shared" si="21"/>
        <v>33</v>
      </c>
      <c r="D213" s="5">
        <f t="shared" si="20"/>
        <v>97</v>
      </c>
      <c r="E213" s="5" t="s">
        <v>32</v>
      </c>
      <c r="F213" s="5" t="s">
        <v>8</v>
      </c>
      <c r="G213" s="5">
        <v>384</v>
      </c>
      <c r="H213" s="6" t="s">
        <v>620</v>
      </c>
      <c r="I213" s="7" t="s">
        <v>634</v>
      </c>
      <c r="J213" s="5" t="s">
        <v>34</v>
      </c>
      <c r="K213" s="5" t="s">
        <v>635</v>
      </c>
      <c r="L213" s="5" t="s">
        <v>36</v>
      </c>
      <c r="M213" s="8" t="s">
        <v>37</v>
      </c>
      <c r="N213" s="5" t="s">
        <v>634</v>
      </c>
      <c r="O213" s="5" t="s">
        <v>636</v>
      </c>
      <c r="P213" s="5" t="s">
        <v>637</v>
      </c>
      <c r="Q213" s="1" t="s">
        <v>638</v>
      </c>
      <c r="R213" s="5" t="s">
        <v>639</v>
      </c>
      <c r="S213" s="5" t="s">
        <v>42</v>
      </c>
      <c r="U213" s="5" t="s">
        <v>640</v>
      </c>
      <c r="X213" s="9" t="s">
        <v>641</v>
      </c>
      <c r="Y213" s="5" t="s">
        <v>636</v>
      </c>
      <c r="Z213" s="5" t="s">
        <v>45</v>
      </c>
      <c r="AA213" s="5" t="s">
        <v>46</v>
      </c>
      <c r="AB213" s="5" t="s">
        <v>642</v>
      </c>
      <c r="AC213" s="5" t="s">
        <v>643</v>
      </c>
      <c r="AD213" s="5" t="str">
        <f>_xlfn.CONCAT(Table58911[[#This Row],[&lt;&lt;NOLA&gt;&gt;
NIEM Element]],Table58911[[#This Row],[Repeat Values per attribute]])</f>
        <v>nc:EmployeeOccupationTexta</v>
      </c>
    </row>
    <row r="214" spans="1:30" ht="30" customHeight="1" x14ac:dyDescent="0.3">
      <c r="A214" s="5">
        <f t="shared" si="18"/>
        <v>213</v>
      </c>
      <c r="B214" s="5">
        <f t="shared" si="21"/>
        <v>10</v>
      </c>
      <c r="C214" s="5">
        <f t="shared" si="21"/>
        <v>33</v>
      </c>
      <c r="D214" s="5">
        <f t="shared" si="20"/>
        <v>98</v>
      </c>
      <c r="E214" s="5" t="s">
        <v>32</v>
      </c>
      <c r="F214" s="5" t="s">
        <v>8</v>
      </c>
      <c r="G214" s="5">
        <v>384</v>
      </c>
      <c r="H214" s="6" t="s">
        <v>620</v>
      </c>
      <c r="I214" s="7" t="s">
        <v>634</v>
      </c>
      <c r="J214" s="5" t="s">
        <v>34</v>
      </c>
      <c r="K214" s="5" t="s">
        <v>635</v>
      </c>
      <c r="L214" s="5" t="s">
        <v>36</v>
      </c>
      <c r="M214" s="8" t="s">
        <v>57</v>
      </c>
      <c r="N214" s="5" t="s">
        <v>634</v>
      </c>
      <c r="O214" s="5" t="s">
        <v>644</v>
      </c>
      <c r="P214" s="1" t="s">
        <v>645</v>
      </c>
      <c r="Q214" s="1" t="s">
        <v>638</v>
      </c>
      <c r="R214" s="5" t="s">
        <v>639</v>
      </c>
      <c r="S214" s="5" t="s">
        <v>42</v>
      </c>
      <c r="U214" s="5" t="s">
        <v>640</v>
      </c>
      <c r="X214" s="9" t="s">
        <v>641</v>
      </c>
      <c r="Y214" s="5" t="s">
        <v>644</v>
      </c>
      <c r="Z214" s="5" t="s">
        <v>45</v>
      </c>
      <c r="AA214" s="5" t="s">
        <v>90</v>
      </c>
      <c r="AB214" s="5" t="s">
        <v>646</v>
      </c>
      <c r="AC214" s="5" t="s">
        <v>647</v>
      </c>
      <c r="AD214" s="5" t="str">
        <f>_xlfn.CONCAT(Table58911[[#This Row],[&lt;&lt;NOLA&gt;&gt;
NIEM Element]],Table58911[[#This Row],[Repeat Values per attribute]])</f>
        <v>nc:EmployeeOccupationTextc</v>
      </c>
    </row>
    <row r="215" spans="1:30" ht="30" customHeight="1" x14ac:dyDescent="0.3">
      <c r="A215" s="5">
        <f t="shared" si="18"/>
        <v>214</v>
      </c>
      <c r="B215" s="5">
        <f t="shared" si="21"/>
        <v>11</v>
      </c>
      <c r="C215" s="5">
        <f t="shared" si="21"/>
        <v>34</v>
      </c>
      <c r="D215" s="5">
        <f t="shared" si="20"/>
        <v>99</v>
      </c>
      <c r="E215" s="5" t="s">
        <v>32</v>
      </c>
      <c r="F215" s="5" t="s">
        <v>8</v>
      </c>
      <c r="G215" s="5">
        <v>154</v>
      </c>
      <c r="H215" s="6" t="s">
        <v>648</v>
      </c>
      <c r="I215" s="7" t="s">
        <v>649</v>
      </c>
      <c r="J215" s="5" t="s">
        <v>34</v>
      </c>
      <c r="K215" s="5" t="s">
        <v>650</v>
      </c>
      <c r="L215" s="5" t="s">
        <v>36</v>
      </c>
      <c r="M215" s="8" t="s">
        <v>37</v>
      </c>
      <c r="N215" s="5" t="s">
        <v>649</v>
      </c>
      <c r="O215" s="5" t="s">
        <v>651</v>
      </c>
      <c r="P215" s="5" t="s">
        <v>652</v>
      </c>
      <c r="Q215" s="1" t="s">
        <v>653</v>
      </c>
      <c r="R215" s="5" t="s">
        <v>375</v>
      </c>
      <c r="S215" s="5" t="s">
        <v>159</v>
      </c>
      <c r="U215" s="5" t="s">
        <v>654</v>
      </c>
      <c r="X215" s="9" t="s">
        <v>655</v>
      </c>
      <c r="Y215" s="5" t="s">
        <v>651</v>
      </c>
      <c r="Z215" s="5" t="s">
        <v>45</v>
      </c>
      <c r="AA215" s="5" t="s">
        <v>46</v>
      </c>
      <c r="AB215" s="5" t="s">
        <v>656</v>
      </c>
      <c r="AC215" s="5" t="s">
        <v>657</v>
      </c>
      <c r="AD215" s="5" t="str">
        <f>_xlfn.CONCAT(Table58911[[#This Row],[&lt;&lt;NOLA&gt;&gt;
NIEM Element]],Table58911[[#This Row],[Repeat Values per attribute]])</f>
        <v>nc:IdentificationIDa</v>
      </c>
    </row>
    <row r="216" spans="1:30" ht="30" customHeight="1" x14ac:dyDescent="0.3">
      <c r="A216" s="5">
        <f t="shared" si="18"/>
        <v>215</v>
      </c>
      <c r="B216" s="5">
        <f t="shared" si="21"/>
        <v>12</v>
      </c>
      <c r="C216" s="5">
        <f t="shared" si="21"/>
        <v>35</v>
      </c>
      <c r="D216" s="5">
        <f t="shared" si="20"/>
        <v>99</v>
      </c>
      <c r="E216" s="5" t="s">
        <v>32</v>
      </c>
      <c r="F216" s="5" t="s">
        <v>8</v>
      </c>
      <c r="G216" s="5">
        <v>244</v>
      </c>
      <c r="H216" s="6" t="s">
        <v>658</v>
      </c>
      <c r="I216" s="7" t="s">
        <v>659</v>
      </c>
      <c r="J216" s="5" t="s">
        <v>34</v>
      </c>
      <c r="K216" s="5" t="s">
        <v>660</v>
      </c>
      <c r="L216" s="5" t="s">
        <v>440</v>
      </c>
      <c r="M216" s="8" t="s">
        <v>37</v>
      </c>
      <c r="N216" s="5" t="s">
        <v>659</v>
      </c>
      <c r="O216" s="5" t="s">
        <v>661</v>
      </c>
      <c r="P216" s="5" t="s">
        <v>662</v>
      </c>
      <c r="Q216" s="1" t="s">
        <v>663</v>
      </c>
      <c r="R216" s="5" t="s">
        <v>375</v>
      </c>
      <c r="S216" s="5" t="s">
        <v>159</v>
      </c>
      <c r="U216" s="5" t="s">
        <v>664</v>
      </c>
      <c r="X216" s="9" t="s">
        <v>665</v>
      </c>
      <c r="Y216" s="5" t="s">
        <v>661</v>
      </c>
      <c r="Z216" s="5" t="s">
        <v>45</v>
      </c>
      <c r="AA216" s="5" t="s">
        <v>46</v>
      </c>
      <c r="AB216" s="5" t="s">
        <v>666</v>
      </c>
      <c r="AC216" s="5" t="s">
        <v>667</v>
      </c>
      <c r="AD216" s="5" t="str">
        <f>_xlfn.CONCAT(Table58911[[#This Row],[&lt;&lt;NOLA&gt;&gt;
NIEM Element]],Table58911[[#This Row],[Repeat Values per attribute]])</f>
        <v>nc:IdentificationIDa</v>
      </c>
    </row>
    <row r="217" spans="1:30" ht="30" customHeight="1" x14ac:dyDescent="0.3">
      <c r="A217" s="5">
        <f t="shared" si="18"/>
        <v>216</v>
      </c>
      <c r="B217" s="5">
        <f t="shared" si="21"/>
        <v>12</v>
      </c>
      <c r="C217" s="5">
        <f t="shared" si="21"/>
        <v>35</v>
      </c>
      <c r="D217" s="5">
        <f t="shared" si="20"/>
        <v>100</v>
      </c>
      <c r="E217" s="5" t="s">
        <v>32</v>
      </c>
      <c r="F217" s="5" t="s">
        <v>8</v>
      </c>
      <c r="G217" s="5">
        <v>244</v>
      </c>
      <c r="H217" s="6" t="s">
        <v>658</v>
      </c>
      <c r="I217" s="7" t="s">
        <v>659</v>
      </c>
      <c r="J217" s="5" t="s">
        <v>34</v>
      </c>
      <c r="K217" s="5" t="s">
        <v>660</v>
      </c>
      <c r="L217" s="5" t="s">
        <v>440</v>
      </c>
      <c r="M217" s="8" t="s">
        <v>52</v>
      </c>
      <c r="N217" s="5" t="s">
        <v>659</v>
      </c>
      <c r="O217" s="5" t="s">
        <v>668</v>
      </c>
      <c r="P217" s="1" t="s">
        <v>669</v>
      </c>
      <c r="Q217" s="1" t="s">
        <v>663</v>
      </c>
      <c r="R217" s="5" t="s">
        <v>375</v>
      </c>
      <c r="S217" s="5" t="s">
        <v>159</v>
      </c>
      <c r="U217" s="5" t="s">
        <v>664</v>
      </c>
      <c r="X217" s="9" t="s">
        <v>670</v>
      </c>
      <c r="Y217" s="5" t="s">
        <v>668</v>
      </c>
      <c r="Z217" s="5" t="s">
        <v>45</v>
      </c>
      <c r="AA217" s="5" t="s">
        <v>46</v>
      </c>
      <c r="AB217" s="5" t="s">
        <v>671</v>
      </c>
      <c r="AC217" s="5" t="s">
        <v>672</v>
      </c>
      <c r="AD217" s="5" t="str">
        <f>_xlfn.CONCAT(Table58911[[#This Row],[&lt;&lt;NOLA&gt;&gt;
NIEM Element]],Table58911[[#This Row],[Repeat Values per attribute]])</f>
        <v>nc:IdentificationIDb</v>
      </c>
    </row>
    <row r="218" spans="1:30" ht="30" customHeight="1" x14ac:dyDescent="0.3">
      <c r="A218" s="5">
        <f t="shared" si="18"/>
        <v>217</v>
      </c>
      <c r="B218" s="5">
        <f t="shared" si="21"/>
        <v>12</v>
      </c>
      <c r="C218" s="5">
        <f t="shared" si="21"/>
        <v>35</v>
      </c>
      <c r="D218" s="5">
        <f t="shared" si="20"/>
        <v>101</v>
      </c>
      <c r="E218" s="5" t="s">
        <v>32</v>
      </c>
      <c r="F218" s="5" t="s">
        <v>8</v>
      </c>
      <c r="G218" s="5">
        <v>244</v>
      </c>
      <c r="H218" s="6" t="s">
        <v>658</v>
      </c>
      <c r="I218" s="7" t="s">
        <v>659</v>
      </c>
      <c r="J218" s="5" t="s">
        <v>34</v>
      </c>
      <c r="K218" s="5" t="s">
        <v>660</v>
      </c>
      <c r="L218" s="5" t="s">
        <v>440</v>
      </c>
      <c r="M218" s="8" t="s">
        <v>57</v>
      </c>
      <c r="N218" s="5" t="s">
        <v>659</v>
      </c>
      <c r="O218" s="5" t="s">
        <v>673</v>
      </c>
      <c r="P218" s="1" t="s">
        <v>674</v>
      </c>
      <c r="Q218" s="1" t="s">
        <v>663</v>
      </c>
      <c r="R218" s="5" t="s">
        <v>375</v>
      </c>
      <c r="S218" s="5" t="s">
        <v>159</v>
      </c>
      <c r="U218" s="5" t="s">
        <v>664</v>
      </c>
      <c r="X218" s="9" t="s">
        <v>665</v>
      </c>
      <c r="Y218" s="5" t="s">
        <v>673</v>
      </c>
      <c r="Z218" s="5" t="s">
        <v>45</v>
      </c>
      <c r="AA218" s="5" t="s">
        <v>90</v>
      </c>
      <c r="AB218" s="5" t="s">
        <v>666</v>
      </c>
      <c r="AC218" s="5" t="s">
        <v>675</v>
      </c>
      <c r="AD218" s="5" t="str">
        <f>_xlfn.CONCAT(Table58911[[#This Row],[&lt;&lt;NOLA&gt;&gt;
NIEM Element]],Table58911[[#This Row],[Repeat Values per attribute]])</f>
        <v>nc:IdentificationIDc</v>
      </c>
    </row>
    <row r="219" spans="1:30" ht="30" customHeight="1" x14ac:dyDescent="0.3">
      <c r="A219" s="5">
        <f t="shared" si="18"/>
        <v>218</v>
      </c>
      <c r="B219" s="5">
        <f t="shared" si="21"/>
        <v>12</v>
      </c>
      <c r="C219" s="5">
        <f t="shared" si="21"/>
        <v>35</v>
      </c>
      <c r="D219" s="5">
        <f t="shared" si="20"/>
        <v>102</v>
      </c>
      <c r="E219" s="5" t="s">
        <v>32</v>
      </c>
      <c r="F219" s="5" t="s">
        <v>8</v>
      </c>
      <c r="G219" s="5">
        <v>244</v>
      </c>
      <c r="H219" s="6" t="s">
        <v>658</v>
      </c>
      <c r="I219" s="7" t="s">
        <v>659</v>
      </c>
      <c r="J219" s="5" t="s">
        <v>34</v>
      </c>
      <c r="K219" s="5" t="s">
        <v>660</v>
      </c>
      <c r="L219" s="5" t="s">
        <v>440</v>
      </c>
      <c r="M219" s="8" t="s">
        <v>49</v>
      </c>
      <c r="N219" s="5" t="s">
        <v>659</v>
      </c>
      <c r="O219" s="5" t="s">
        <v>676</v>
      </c>
      <c r="P219" s="1" t="s">
        <v>677</v>
      </c>
      <c r="Q219" s="1" t="s">
        <v>663</v>
      </c>
      <c r="R219" s="5" t="s">
        <v>375</v>
      </c>
      <c r="S219" s="5" t="s">
        <v>159</v>
      </c>
      <c r="U219" s="5" t="s">
        <v>664</v>
      </c>
      <c r="X219" s="9" t="s">
        <v>670</v>
      </c>
      <c r="Y219" s="5" t="s">
        <v>676</v>
      </c>
      <c r="Z219" s="5" t="s">
        <v>45</v>
      </c>
      <c r="AA219" s="5" t="s">
        <v>90</v>
      </c>
      <c r="AB219" s="5" t="s">
        <v>678</v>
      </c>
      <c r="AC219" s="5" t="s">
        <v>679</v>
      </c>
      <c r="AD219" s="5" t="str">
        <f>_xlfn.CONCAT(Table58911[[#This Row],[&lt;&lt;NOLA&gt;&gt;
NIEM Element]],Table58911[[#This Row],[Repeat Values per attribute]])</f>
        <v>nc:IdentificationIDd</v>
      </c>
    </row>
    <row r="220" spans="1:30" ht="30" customHeight="1" x14ac:dyDescent="0.3">
      <c r="A220" s="5">
        <f t="shared" si="18"/>
        <v>219</v>
      </c>
      <c r="B220" s="5">
        <f t="shared" si="21"/>
        <v>12</v>
      </c>
      <c r="C220" s="5">
        <f t="shared" si="21"/>
        <v>36</v>
      </c>
      <c r="D220" s="5">
        <f t="shared" si="20"/>
        <v>103</v>
      </c>
      <c r="E220" s="5" t="s">
        <v>32</v>
      </c>
      <c r="F220" s="5" t="s">
        <v>8</v>
      </c>
      <c r="G220" s="5">
        <v>248</v>
      </c>
      <c r="H220" s="6" t="s">
        <v>658</v>
      </c>
      <c r="I220" s="7" t="s">
        <v>680</v>
      </c>
      <c r="J220" s="5" t="s">
        <v>681</v>
      </c>
      <c r="K220" s="5" t="s">
        <v>682</v>
      </c>
      <c r="L220" s="5" t="s">
        <v>440</v>
      </c>
      <c r="M220" s="8" t="s">
        <v>37</v>
      </c>
      <c r="N220" s="5" t="s">
        <v>680</v>
      </c>
      <c r="O220" s="5" t="s">
        <v>661</v>
      </c>
      <c r="P220" s="5" t="s">
        <v>662</v>
      </c>
      <c r="Q220" s="1" t="s">
        <v>663</v>
      </c>
      <c r="R220" s="5" t="s">
        <v>683</v>
      </c>
      <c r="S220" s="5" t="s">
        <v>684</v>
      </c>
      <c r="U220" s="5" t="s">
        <v>685</v>
      </c>
      <c r="X220" s="9" t="s">
        <v>686</v>
      </c>
      <c r="Y220" s="5" t="s">
        <v>661</v>
      </c>
      <c r="Z220" s="5" t="s">
        <v>45</v>
      </c>
      <c r="AA220" s="5" t="s">
        <v>46</v>
      </c>
      <c r="AB220" s="5" t="s">
        <v>666</v>
      </c>
      <c r="AC220" s="5" t="s">
        <v>667</v>
      </c>
      <c r="AD220" s="5" t="str">
        <f>_xlfn.CONCAT(Table58911[[#This Row],[&lt;&lt;NOLA&gt;&gt;
NIEM Element]],Table58911[[#This Row],[Repeat Values per attribute]])</f>
        <v>j:ArrestOfficiala</v>
      </c>
    </row>
    <row r="221" spans="1:30" ht="30" customHeight="1" x14ac:dyDescent="0.3">
      <c r="A221" s="5">
        <f t="shared" si="18"/>
        <v>220</v>
      </c>
      <c r="B221" s="5">
        <f t="shared" si="21"/>
        <v>12</v>
      </c>
      <c r="C221" s="5">
        <f t="shared" si="21"/>
        <v>36</v>
      </c>
      <c r="D221" s="5">
        <f t="shared" si="20"/>
        <v>104</v>
      </c>
      <c r="E221" s="5" t="s">
        <v>32</v>
      </c>
      <c r="F221" s="5" t="s">
        <v>8</v>
      </c>
      <c r="G221" s="5">
        <v>248</v>
      </c>
      <c r="H221" s="6" t="s">
        <v>658</v>
      </c>
      <c r="I221" s="7" t="s">
        <v>680</v>
      </c>
      <c r="J221" s="5" t="s">
        <v>681</v>
      </c>
      <c r="K221" s="5" t="s">
        <v>682</v>
      </c>
      <c r="L221" s="5" t="s">
        <v>440</v>
      </c>
      <c r="M221" s="8" t="s">
        <v>52</v>
      </c>
      <c r="N221" s="5" t="s">
        <v>680</v>
      </c>
      <c r="O221" s="5" t="s">
        <v>668</v>
      </c>
      <c r="P221" s="1" t="s">
        <v>669</v>
      </c>
      <c r="Q221" s="1" t="s">
        <v>663</v>
      </c>
      <c r="R221" s="5" t="s">
        <v>683</v>
      </c>
      <c r="S221" s="5" t="s">
        <v>684</v>
      </c>
      <c r="U221" s="5" t="s">
        <v>685</v>
      </c>
      <c r="X221" s="9" t="s">
        <v>687</v>
      </c>
      <c r="Y221" s="5" t="s">
        <v>668</v>
      </c>
      <c r="Z221" s="5" t="s">
        <v>45</v>
      </c>
      <c r="AA221" s="5" t="s">
        <v>46</v>
      </c>
      <c r="AB221" s="5" t="s">
        <v>671</v>
      </c>
      <c r="AC221" s="5" t="s">
        <v>672</v>
      </c>
      <c r="AD221" s="5" t="str">
        <f>_xlfn.CONCAT(Table58911[[#This Row],[&lt;&lt;NOLA&gt;&gt;
NIEM Element]],Table58911[[#This Row],[Repeat Values per attribute]])</f>
        <v>j:ArrestOfficialb</v>
      </c>
    </row>
    <row r="222" spans="1:30" ht="30" customHeight="1" x14ac:dyDescent="0.3">
      <c r="A222" s="5">
        <f t="shared" si="18"/>
        <v>221</v>
      </c>
      <c r="B222" s="5">
        <f t="shared" si="21"/>
        <v>12</v>
      </c>
      <c r="C222" s="5">
        <f t="shared" si="21"/>
        <v>36</v>
      </c>
      <c r="D222" s="5">
        <f t="shared" si="20"/>
        <v>105</v>
      </c>
      <c r="E222" s="5" t="s">
        <v>32</v>
      </c>
      <c r="F222" s="5" t="s">
        <v>8</v>
      </c>
      <c r="G222" s="5">
        <v>248</v>
      </c>
      <c r="H222" s="6" t="s">
        <v>658</v>
      </c>
      <c r="I222" s="7" t="s">
        <v>680</v>
      </c>
      <c r="J222" s="5" t="s">
        <v>681</v>
      </c>
      <c r="K222" s="5" t="s">
        <v>682</v>
      </c>
      <c r="L222" s="5" t="s">
        <v>440</v>
      </c>
      <c r="M222" s="8" t="s">
        <v>57</v>
      </c>
      <c r="N222" s="5" t="s">
        <v>680</v>
      </c>
      <c r="O222" s="5" t="s">
        <v>673</v>
      </c>
      <c r="P222" s="1" t="s">
        <v>674</v>
      </c>
      <c r="Q222" s="1" t="s">
        <v>663</v>
      </c>
      <c r="R222" s="5" t="s">
        <v>683</v>
      </c>
      <c r="S222" s="5" t="s">
        <v>684</v>
      </c>
      <c r="U222" s="5" t="s">
        <v>685</v>
      </c>
      <c r="X222" s="9" t="s">
        <v>686</v>
      </c>
      <c r="Y222" s="5" t="s">
        <v>673</v>
      </c>
      <c r="Z222" s="5" t="s">
        <v>45</v>
      </c>
      <c r="AA222" s="5" t="s">
        <v>90</v>
      </c>
      <c r="AB222" s="5" t="s">
        <v>666</v>
      </c>
      <c r="AC222" s="5" t="s">
        <v>675</v>
      </c>
      <c r="AD222" s="5" t="str">
        <f>_xlfn.CONCAT(Table58911[[#This Row],[&lt;&lt;NOLA&gt;&gt;
NIEM Element]],Table58911[[#This Row],[Repeat Values per attribute]])</f>
        <v>j:ArrestOfficialc</v>
      </c>
    </row>
    <row r="223" spans="1:30" ht="30" customHeight="1" x14ac:dyDescent="0.3">
      <c r="A223" s="5">
        <f t="shared" si="18"/>
        <v>222</v>
      </c>
      <c r="B223" s="5">
        <f t="shared" si="21"/>
        <v>12</v>
      </c>
      <c r="C223" s="5">
        <f t="shared" si="21"/>
        <v>36</v>
      </c>
      <c r="D223" s="5">
        <f t="shared" si="20"/>
        <v>106</v>
      </c>
      <c r="E223" s="5" t="s">
        <v>32</v>
      </c>
      <c r="F223" s="5" t="s">
        <v>8</v>
      </c>
      <c r="G223" s="5">
        <v>248</v>
      </c>
      <c r="H223" s="6" t="s">
        <v>658</v>
      </c>
      <c r="I223" s="7" t="s">
        <v>680</v>
      </c>
      <c r="J223" s="5" t="s">
        <v>681</v>
      </c>
      <c r="K223" s="5" t="s">
        <v>682</v>
      </c>
      <c r="L223" s="5" t="s">
        <v>440</v>
      </c>
      <c r="M223" s="8" t="s">
        <v>49</v>
      </c>
      <c r="N223" s="5" t="s">
        <v>680</v>
      </c>
      <c r="O223" s="5" t="s">
        <v>676</v>
      </c>
      <c r="P223" s="1" t="s">
        <v>677</v>
      </c>
      <c r="Q223" s="1" t="s">
        <v>663</v>
      </c>
      <c r="R223" s="5" t="s">
        <v>683</v>
      </c>
      <c r="S223" s="5" t="s">
        <v>684</v>
      </c>
      <c r="U223" s="5" t="s">
        <v>685</v>
      </c>
      <c r="X223" s="9" t="s">
        <v>687</v>
      </c>
      <c r="Y223" s="5" t="s">
        <v>676</v>
      </c>
      <c r="Z223" s="5" t="s">
        <v>45</v>
      </c>
      <c r="AA223" s="5" t="s">
        <v>90</v>
      </c>
      <c r="AB223" s="5" t="s">
        <v>678</v>
      </c>
      <c r="AC223" s="5" t="s">
        <v>679</v>
      </c>
      <c r="AD223" s="5" t="str">
        <f>_xlfn.CONCAT(Table58911[[#This Row],[&lt;&lt;NOLA&gt;&gt;
NIEM Element]],Table58911[[#This Row],[Repeat Values per attribute]])</f>
        <v>j:ArrestOfficiald</v>
      </c>
    </row>
    <row r="224" spans="1:30" ht="30" customHeight="1" x14ac:dyDescent="0.3">
      <c r="A224" s="5">
        <f t="shared" si="18"/>
        <v>223</v>
      </c>
      <c r="B224" s="5">
        <f t="shared" si="21"/>
        <v>12</v>
      </c>
      <c r="C224" s="5">
        <f t="shared" si="21"/>
        <v>37</v>
      </c>
      <c r="D224" s="5">
        <f t="shared" si="20"/>
        <v>107</v>
      </c>
      <c r="E224" s="5" t="s">
        <v>32</v>
      </c>
      <c r="F224" s="5" t="s">
        <v>8</v>
      </c>
      <c r="G224" s="5">
        <v>251</v>
      </c>
      <c r="H224" s="6" t="s">
        <v>658</v>
      </c>
      <c r="I224" s="7" t="s">
        <v>688</v>
      </c>
      <c r="J224" s="5" t="s">
        <v>34</v>
      </c>
      <c r="K224" s="5" t="s">
        <v>689</v>
      </c>
      <c r="L224" s="5" t="s">
        <v>440</v>
      </c>
      <c r="M224" s="8" t="s">
        <v>37</v>
      </c>
      <c r="N224" s="5" t="s">
        <v>688</v>
      </c>
      <c r="O224" s="5" t="s">
        <v>661</v>
      </c>
      <c r="P224" s="5" t="s">
        <v>662</v>
      </c>
      <c r="Q224" s="1" t="s">
        <v>690</v>
      </c>
      <c r="R224" s="5" t="s">
        <v>691</v>
      </c>
      <c r="S224" s="5" t="s">
        <v>42</v>
      </c>
      <c r="U224" s="5" t="s">
        <v>692</v>
      </c>
      <c r="X224" s="9" t="s">
        <v>693</v>
      </c>
      <c r="Y224" s="5" t="s">
        <v>661</v>
      </c>
      <c r="Z224" s="5" t="s">
        <v>45</v>
      </c>
      <c r="AA224" s="5" t="s">
        <v>46</v>
      </c>
      <c r="AB224" s="5" t="s">
        <v>666</v>
      </c>
      <c r="AC224" s="5" t="s">
        <v>667</v>
      </c>
      <c r="AD224" s="5" t="str">
        <f>_xlfn.CONCAT(Table58911[[#This Row],[&lt;&lt;NOLA&gt;&gt;
NIEM Element]],Table58911[[#This Row],[Repeat Values per attribute]])</f>
        <v>j:EnforcementOfficialCategoryTexta</v>
      </c>
    </row>
    <row r="225" spans="1:30" ht="30" customHeight="1" x14ac:dyDescent="0.3">
      <c r="A225" s="5">
        <f t="shared" si="18"/>
        <v>224</v>
      </c>
      <c r="B225" s="5">
        <f t="shared" si="21"/>
        <v>12</v>
      </c>
      <c r="C225" s="5">
        <f t="shared" si="21"/>
        <v>37</v>
      </c>
      <c r="D225" s="5">
        <f t="shared" si="20"/>
        <v>108</v>
      </c>
      <c r="E225" s="5" t="s">
        <v>32</v>
      </c>
      <c r="F225" s="5" t="s">
        <v>8</v>
      </c>
      <c r="G225" s="5">
        <v>251</v>
      </c>
      <c r="H225" s="6" t="s">
        <v>658</v>
      </c>
      <c r="I225" s="7" t="s">
        <v>688</v>
      </c>
      <c r="J225" s="5" t="s">
        <v>34</v>
      </c>
      <c r="K225" s="5" t="s">
        <v>689</v>
      </c>
      <c r="L225" s="5" t="s">
        <v>440</v>
      </c>
      <c r="M225" s="8" t="s">
        <v>52</v>
      </c>
      <c r="N225" s="5" t="s">
        <v>688</v>
      </c>
      <c r="O225" s="5" t="s">
        <v>668</v>
      </c>
      <c r="P225" s="1" t="s">
        <v>669</v>
      </c>
      <c r="Q225" s="1" t="s">
        <v>690</v>
      </c>
      <c r="R225" s="5" t="s">
        <v>691</v>
      </c>
      <c r="S225" s="5" t="s">
        <v>42</v>
      </c>
      <c r="U225" s="5" t="s">
        <v>692</v>
      </c>
      <c r="X225" s="9" t="s">
        <v>694</v>
      </c>
      <c r="Y225" s="5" t="s">
        <v>668</v>
      </c>
      <c r="Z225" s="5" t="s">
        <v>45</v>
      </c>
      <c r="AA225" s="5" t="s">
        <v>46</v>
      </c>
      <c r="AB225" s="5" t="s">
        <v>671</v>
      </c>
      <c r="AC225" s="5" t="s">
        <v>672</v>
      </c>
      <c r="AD225" s="5" t="str">
        <f>_xlfn.CONCAT(Table58911[[#This Row],[&lt;&lt;NOLA&gt;&gt;
NIEM Element]],Table58911[[#This Row],[Repeat Values per attribute]])</f>
        <v>j:EnforcementOfficialCategoryTextb</v>
      </c>
    </row>
    <row r="226" spans="1:30" ht="30" customHeight="1" x14ac:dyDescent="0.3">
      <c r="A226" s="5">
        <f t="shared" si="18"/>
        <v>225</v>
      </c>
      <c r="B226" s="5">
        <f t="shared" ref="B226:C241" si="22">IF(H225=H226,B225,B225+1)</f>
        <v>12</v>
      </c>
      <c r="C226" s="5">
        <f t="shared" si="22"/>
        <v>37</v>
      </c>
      <c r="D226" s="5">
        <f t="shared" si="20"/>
        <v>109</v>
      </c>
      <c r="E226" s="5" t="s">
        <v>32</v>
      </c>
      <c r="F226" s="5" t="s">
        <v>8</v>
      </c>
      <c r="G226" s="5">
        <v>251</v>
      </c>
      <c r="H226" s="6" t="s">
        <v>658</v>
      </c>
      <c r="I226" s="7" t="s">
        <v>688</v>
      </c>
      <c r="J226" s="5" t="s">
        <v>34</v>
      </c>
      <c r="K226" s="5" t="s">
        <v>689</v>
      </c>
      <c r="L226" s="5" t="s">
        <v>440</v>
      </c>
      <c r="M226" s="8" t="s">
        <v>57</v>
      </c>
      <c r="N226" s="5" t="s">
        <v>688</v>
      </c>
      <c r="O226" s="5" t="s">
        <v>673</v>
      </c>
      <c r="P226" s="1" t="s">
        <v>674</v>
      </c>
      <c r="Q226" s="1" t="s">
        <v>690</v>
      </c>
      <c r="R226" s="5" t="s">
        <v>691</v>
      </c>
      <c r="S226" s="5" t="s">
        <v>42</v>
      </c>
      <c r="U226" s="5" t="s">
        <v>692</v>
      </c>
      <c r="X226" s="9" t="s">
        <v>693</v>
      </c>
      <c r="Y226" s="5" t="s">
        <v>673</v>
      </c>
      <c r="Z226" s="5" t="s">
        <v>45</v>
      </c>
      <c r="AA226" s="5" t="s">
        <v>90</v>
      </c>
      <c r="AB226" s="5" t="s">
        <v>666</v>
      </c>
      <c r="AC226" s="5" t="s">
        <v>675</v>
      </c>
      <c r="AD226" s="5" t="str">
        <f>_xlfn.CONCAT(Table58911[[#This Row],[&lt;&lt;NOLA&gt;&gt;
NIEM Element]],Table58911[[#This Row],[Repeat Values per attribute]])</f>
        <v>j:EnforcementOfficialCategoryTextc</v>
      </c>
    </row>
    <row r="227" spans="1:30" ht="30" customHeight="1" x14ac:dyDescent="0.3">
      <c r="A227" s="5">
        <f t="shared" si="18"/>
        <v>226</v>
      </c>
      <c r="B227" s="5">
        <f t="shared" si="22"/>
        <v>12</v>
      </c>
      <c r="C227" s="5">
        <f t="shared" si="22"/>
        <v>37</v>
      </c>
      <c r="D227" s="5">
        <f t="shared" si="20"/>
        <v>110</v>
      </c>
      <c r="E227" s="5" t="s">
        <v>32</v>
      </c>
      <c r="F227" s="5" t="s">
        <v>8</v>
      </c>
      <c r="G227" s="5">
        <v>251</v>
      </c>
      <c r="H227" s="6" t="s">
        <v>658</v>
      </c>
      <c r="I227" s="7" t="s">
        <v>688</v>
      </c>
      <c r="J227" s="5" t="s">
        <v>34</v>
      </c>
      <c r="K227" s="5" t="s">
        <v>689</v>
      </c>
      <c r="L227" s="5" t="s">
        <v>440</v>
      </c>
      <c r="M227" s="8" t="s">
        <v>49</v>
      </c>
      <c r="N227" s="5" t="s">
        <v>688</v>
      </c>
      <c r="O227" s="5" t="s">
        <v>676</v>
      </c>
      <c r="P227" s="1" t="s">
        <v>677</v>
      </c>
      <c r="Q227" s="1" t="s">
        <v>690</v>
      </c>
      <c r="R227" s="5" t="s">
        <v>691</v>
      </c>
      <c r="S227" s="5" t="s">
        <v>42</v>
      </c>
      <c r="U227" s="5" t="s">
        <v>692</v>
      </c>
      <c r="X227" s="9" t="s">
        <v>694</v>
      </c>
      <c r="Y227" s="5" t="s">
        <v>676</v>
      </c>
      <c r="Z227" s="5" t="s">
        <v>45</v>
      </c>
      <c r="AA227" s="5" t="s">
        <v>90</v>
      </c>
      <c r="AB227" s="5" t="s">
        <v>678</v>
      </c>
      <c r="AC227" s="5" t="s">
        <v>679</v>
      </c>
      <c r="AD227" s="5" t="str">
        <f>_xlfn.CONCAT(Table58911[[#This Row],[&lt;&lt;NOLA&gt;&gt;
NIEM Element]],Table58911[[#This Row],[Repeat Values per attribute]])</f>
        <v>j:EnforcementOfficialCategoryTextd</v>
      </c>
    </row>
    <row r="228" spans="1:30" ht="30" customHeight="1" x14ac:dyDescent="0.3">
      <c r="A228" s="5">
        <f t="shared" si="18"/>
        <v>227</v>
      </c>
      <c r="B228" s="5">
        <f t="shared" si="22"/>
        <v>12</v>
      </c>
      <c r="C228" s="5">
        <f t="shared" si="22"/>
        <v>38</v>
      </c>
      <c r="D228" s="5">
        <f t="shared" si="20"/>
        <v>111</v>
      </c>
      <c r="E228" s="5" t="s">
        <v>32</v>
      </c>
      <c r="F228" s="5" t="s">
        <v>8</v>
      </c>
      <c r="G228" s="5">
        <v>253</v>
      </c>
      <c r="H228" s="6" t="s">
        <v>658</v>
      </c>
      <c r="I228" s="7" t="s">
        <v>695</v>
      </c>
      <c r="J228" s="5" t="s">
        <v>34</v>
      </c>
      <c r="K228" s="5" t="s">
        <v>696</v>
      </c>
      <c r="L228" s="5" t="s">
        <v>440</v>
      </c>
      <c r="M228" s="8" t="s">
        <v>37</v>
      </c>
      <c r="N228" s="5" t="s">
        <v>695</v>
      </c>
      <c r="O228" s="5" t="s">
        <v>697</v>
      </c>
      <c r="P228" s="5" t="s">
        <v>698</v>
      </c>
      <c r="Q228" s="1" t="s">
        <v>699</v>
      </c>
      <c r="R228" s="5" t="s">
        <v>700</v>
      </c>
      <c r="S228" s="5" t="s">
        <v>42</v>
      </c>
      <c r="U228" s="5" t="s">
        <v>701</v>
      </c>
      <c r="X228" s="9" t="s">
        <v>702</v>
      </c>
      <c r="Y228" s="5" t="s">
        <v>697</v>
      </c>
      <c r="Z228" s="5" t="s">
        <v>45</v>
      </c>
      <c r="AA228" s="5" t="s">
        <v>46</v>
      </c>
      <c r="AB228" s="5" t="s">
        <v>703</v>
      </c>
      <c r="AC228" s="5" t="s">
        <v>704</v>
      </c>
      <c r="AD228" s="5" t="str">
        <f>_xlfn.CONCAT(Table58911[[#This Row],[&lt;&lt;NOLA&gt;&gt;
NIEM Element]],Table58911[[#This Row],[Repeat Values per attribute]])</f>
        <v>j:EnforcementUnitNamea</v>
      </c>
    </row>
    <row r="229" spans="1:30" ht="30" customHeight="1" x14ac:dyDescent="0.3">
      <c r="A229" s="5">
        <f t="shared" si="18"/>
        <v>228</v>
      </c>
      <c r="B229" s="5">
        <f t="shared" si="22"/>
        <v>12</v>
      </c>
      <c r="C229" s="5">
        <f t="shared" si="22"/>
        <v>38</v>
      </c>
      <c r="D229" s="5">
        <f t="shared" si="20"/>
        <v>112</v>
      </c>
      <c r="E229" s="5" t="s">
        <v>32</v>
      </c>
      <c r="F229" s="5" t="s">
        <v>8</v>
      </c>
      <c r="G229" s="5">
        <v>253</v>
      </c>
      <c r="H229" s="6" t="s">
        <v>658</v>
      </c>
      <c r="I229" s="7" t="s">
        <v>695</v>
      </c>
      <c r="J229" s="5" t="s">
        <v>34</v>
      </c>
      <c r="K229" s="5" t="s">
        <v>696</v>
      </c>
      <c r="L229" s="5" t="s">
        <v>440</v>
      </c>
      <c r="M229" s="8" t="s">
        <v>52</v>
      </c>
      <c r="N229" s="5" t="s">
        <v>695</v>
      </c>
      <c r="O229" s="5" t="s">
        <v>705</v>
      </c>
      <c r="P229" s="1" t="s">
        <v>706</v>
      </c>
      <c r="Q229" s="1" t="s">
        <v>699</v>
      </c>
      <c r="R229" s="5" t="s">
        <v>700</v>
      </c>
      <c r="S229" s="5" t="s">
        <v>42</v>
      </c>
      <c r="U229" s="5" t="s">
        <v>701</v>
      </c>
      <c r="X229" s="9" t="s">
        <v>707</v>
      </c>
      <c r="Y229" s="5" t="s">
        <v>705</v>
      </c>
      <c r="Z229" s="5" t="s">
        <v>45</v>
      </c>
      <c r="AA229" s="5" t="s">
        <v>46</v>
      </c>
      <c r="AB229" s="5" t="s">
        <v>708</v>
      </c>
      <c r="AC229" s="5" t="s">
        <v>709</v>
      </c>
      <c r="AD229" s="5" t="str">
        <f>_xlfn.CONCAT(Table58911[[#This Row],[&lt;&lt;NOLA&gt;&gt;
NIEM Element]],Table58911[[#This Row],[Repeat Values per attribute]])</f>
        <v>j:EnforcementUnitNameb</v>
      </c>
    </row>
    <row r="230" spans="1:30" ht="30" customHeight="1" x14ac:dyDescent="0.3">
      <c r="A230" s="5">
        <f t="shared" si="18"/>
        <v>229</v>
      </c>
      <c r="B230" s="5">
        <f t="shared" si="22"/>
        <v>12</v>
      </c>
      <c r="C230" s="5">
        <f t="shared" si="22"/>
        <v>38</v>
      </c>
      <c r="D230" s="5">
        <f t="shared" si="20"/>
        <v>113</v>
      </c>
      <c r="E230" s="5" t="s">
        <v>32</v>
      </c>
      <c r="F230" s="5" t="s">
        <v>8</v>
      </c>
      <c r="G230" s="5">
        <v>253</v>
      </c>
      <c r="H230" s="6" t="s">
        <v>658</v>
      </c>
      <c r="I230" s="7" t="s">
        <v>695</v>
      </c>
      <c r="J230" s="5" t="s">
        <v>34</v>
      </c>
      <c r="K230" s="5" t="s">
        <v>696</v>
      </c>
      <c r="L230" s="5" t="s">
        <v>440</v>
      </c>
      <c r="M230" s="8" t="s">
        <v>57</v>
      </c>
      <c r="N230" s="5" t="s">
        <v>695</v>
      </c>
      <c r="O230" s="5" t="s">
        <v>710</v>
      </c>
      <c r="P230" s="1" t="s">
        <v>711</v>
      </c>
      <c r="Q230" s="1" t="s">
        <v>699</v>
      </c>
      <c r="R230" s="5" t="s">
        <v>700</v>
      </c>
      <c r="S230" s="5" t="s">
        <v>42</v>
      </c>
      <c r="U230" s="5" t="s">
        <v>701</v>
      </c>
      <c r="X230" s="9" t="s">
        <v>702</v>
      </c>
      <c r="Y230" s="5" t="s">
        <v>710</v>
      </c>
      <c r="Z230" s="5" t="s">
        <v>45</v>
      </c>
      <c r="AA230" s="5" t="s">
        <v>90</v>
      </c>
      <c r="AB230" s="5" t="s">
        <v>712</v>
      </c>
      <c r="AC230" s="5" t="s">
        <v>713</v>
      </c>
      <c r="AD230" s="5" t="str">
        <f>_xlfn.CONCAT(Table58911[[#This Row],[&lt;&lt;NOLA&gt;&gt;
NIEM Element]],Table58911[[#This Row],[Repeat Values per attribute]])</f>
        <v>j:EnforcementUnitNamec</v>
      </c>
    </row>
    <row r="231" spans="1:30" ht="30" customHeight="1" x14ac:dyDescent="0.3">
      <c r="A231" s="5">
        <f t="shared" si="18"/>
        <v>230</v>
      </c>
      <c r="B231" s="5">
        <f t="shared" si="22"/>
        <v>12</v>
      </c>
      <c r="C231" s="5">
        <f t="shared" si="22"/>
        <v>38</v>
      </c>
      <c r="D231" s="5">
        <f t="shared" si="20"/>
        <v>114</v>
      </c>
      <c r="E231" s="5" t="s">
        <v>32</v>
      </c>
      <c r="F231" s="5" t="s">
        <v>8</v>
      </c>
      <c r="G231" s="5">
        <v>253</v>
      </c>
      <c r="H231" s="6" t="s">
        <v>658</v>
      </c>
      <c r="I231" s="7" t="s">
        <v>695</v>
      </c>
      <c r="J231" s="5" t="s">
        <v>34</v>
      </c>
      <c r="K231" s="5" t="s">
        <v>696</v>
      </c>
      <c r="L231" s="5" t="s">
        <v>440</v>
      </c>
      <c r="M231" s="8" t="s">
        <v>49</v>
      </c>
      <c r="N231" s="5" t="s">
        <v>695</v>
      </c>
      <c r="O231" s="5" t="s">
        <v>714</v>
      </c>
      <c r="P231" s="1" t="s">
        <v>715</v>
      </c>
      <c r="Q231" s="1" t="s">
        <v>699</v>
      </c>
      <c r="R231" s="5" t="s">
        <v>700</v>
      </c>
      <c r="S231" s="5" t="s">
        <v>42</v>
      </c>
      <c r="U231" s="5" t="s">
        <v>701</v>
      </c>
      <c r="X231" s="9" t="s">
        <v>707</v>
      </c>
      <c r="Y231" s="5" t="s">
        <v>714</v>
      </c>
      <c r="Z231" s="5" t="s">
        <v>45</v>
      </c>
      <c r="AA231" s="5" t="s">
        <v>90</v>
      </c>
      <c r="AB231" s="5" t="s">
        <v>708</v>
      </c>
      <c r="AC231" s="5" t="s">
        <v>716</v>
      </c>
      <c r="AD231" s="5" t="str">
        <f>_xlfn.CONCAT(Table58911[[#This Row],[&lt;&lt;NOLA&gt;&gt;
NIEM Element]],Table58911[[#This Row],[Repeat Values per attribute]])</f>
        <v>j:EnforcementUnitNamed</v>
      </c>
    </row>
    <row r="232" spans="1:30" ht="30" customHeight="1" x14ac:dyDescent="0.3">
      <c r="A232" s="5">
        <f t="shared" si="18"/>
        <v>231</v>
      </c>
      <c r="B232" s="5">
        <f t="shared" si="22"/>
        <v>13</v>
      </c>
      <c r="C232" s="5">
        <f t="shared" si="22"/>
        <v>39</v>
      </c>
      <c r="D232" s="5">
        <f t="shared" si="20"/>
        <v>115</v>
      </c>
      <c r="E232" s="5" t="s">
        <v>32</v>
      </c>
      <c r="F232" s="5" t="s">
        <v>8</v>
      </c>
      <c r="G232" s="5">
        <v>271</v>
      </c>
      <c r="H232" s="6" t="s">
        <v>717</v>
      </c>
      <c r="I232" s="7" t="s">
        <v>718</v>
      </c>
      <c r="J232" s="5" t="s">
        <v>719</v>
      </c>
      <c r="K232" s="5" t="s">
        <v>720</v>
      </c>
      <c r="L232" s="5" t="s">
        <v>36</v>
      </c>
      <c r="M232" s="8" t="s">
        <v>37</v>
      </c>
      <c r="N232" s="5" t="s">
        <v>718</v>
      </c>
      <c r="O232" s="5" t="s">
        <v>721</v>
      </c>
      <c r="P232" s="5" t="s">
        <v>722</v>
      </c>
      <c r="Q232" s="1" t="s">
        <v>723</v>
      </c>
      <c r="R232" s="5" t="s">
        <v>724</v>
      </c>
      <c r="S232" s="5" t="s">
        <v>725</v>
      </c>
      <c r="U232" s="5" t="s">
        <v>726</v>
      </c>
      <c r="W232" s="5" t="s">
        <v>727</v>
      </c>
      <c r="X232" s="9" t="s">
        <v>728</v>
      </c>
      <c r="Y232" s="5" t="s">
        <v>721</v>
      </c>
      <c r="Z232" s="5" t="s">
        <v>45</v>
      </c>
      <c r="AA232" s="5" t="s">
        <v>46</v>
      </c>
      <c r="AB232" s="5" t="s">
        <v>729</v>
      </c>
      <c r="AC232" s="5" t="s">
        <v>730</v>
      </c>
      <c r="AD232" s="5" t="str">
        <f>_xlfn.CONCAT(Table58911[[#This Row],[&lt;&lt;NOLA&gt;&gt;
NIEM Element]],Table58911[[#This Row],[Repeat Values per attribute]])</f>
        <v>j:PersonEyeColorCodea</v>
      </c>
    </row>
    <row r="233" spans="1:30" ht="30" customHeight="1" x14ac:dyDescent="0.3">
      <c r="A233" s="5">
        <f t="shared" si="18"/>
        <v>232</v>
      </c>
      <c r="B233" s="5">
        <f t="shared" si="22"/>
        <v>13</v>
      </c>
      <c r="C233" s="5">
        <f t="shared" si="22"/>
        <v>39</v>
      </c>
      <c r="D233" s="5">
        <f t="shared" si="20"/>
        <v>116</v>
      </c>
      <c r="E233" s="5" t="s">
        <v>32</v>
      </c>
      <c r="F233" s="5" t="s">
        <v>8</v>
      </c>
      <c r="G233" s="5">
        <v>271</v>
      </c>
      <c r="H233" s="6" t="s">
        <v>717</v>
      </c>
      <c r="I233" s="7" t="s">
        <v>718</v>
      </c>
      <c r="J233" s="5" t="s">
        <v>719</v>
      </c>
      <c r="K233" s="5" t="s">
        <v>720</v>
      </c>
      <c r="L233" s="5" t="s">
        <v>36</v>
      </c>
      <c r="M233" s="8" t="s">
        <v>57</v>
      </c>
      <c r="N233" s="5" t="s">
        <v>718</v>
      </c>
      <c r="O233" s="5" t="s">
        <v>731</v>
      </c>
      <c r="P233" s="1" t="s">
        <v>732</v>
      </c>
      <c r="Q233" s="1" t="s">
        <v>723</v>
      </c>
      <c r="R233" s="5" t="s">
        <v>724</v>
      </c>
      <c r="S233" s="5" t="s">
        <v>725</v>
      </c>
      <c r="U233" s="5" t="s">
        <v>726</v>
      </c>
      <c r="W233" s="5" t="s">
        <v>727</v>
      </c>
      <c r="X233" s="9" t="s">
        <v>728</v>
      </c>
      <c r="Y233" s="5" t="s">
        <v>731</v>
      </c>
      <c r="Z233" s="5" t="s">
        <v>45</v>
      </c>
      <c r="AA233" s="5" t="s">
        <v>90</v>
      </c>
      <c r="AB233" s="5" t="s">
        <v>733</v>
      </c>
      <c r="AC233" s="5" t="s">
        <v>734</v>
      </c>
      <c r="AD233" s="5" t="str">
        <f>_xlfn.CONCAT(Table58911[[#This Row],[&lt;&lt;NOLA&gt;&gt;
NIEM Element]],Table58911[[#This Row],[Repeat Values per attribute]])</f>
        <v>j:PersonEyeColorCodec</v>
      </c>
    </row>
    <row r="234" spans="1:30" ht="30" customHeight="1" x14ac:dyDescent="0.3">
      <c r="A234" s="5">
        <f t="shared" si="18"/>
        <v>233</v>
      </c>
      <c r="B234" s="5">
        <f t="shared" si="22"/>
        <v>13</v>
      </c>
      <c r="C234" s="5">
        <f t="shared" si="22"/>
        <v>40</v>
      </c>
      <c r="D234" s="5">
        <f t="shared" si="20"/>
        <v>117</v>
      </c>
      <c r="E234" s="5" t="s">
        <v>32</v>
      </c>
      <c r="F234" s="5" t="s">
        <v>8</v>
      </c>
      <c r="G234" s="5">
        <v>277</v>
      </c>
      <c r="H234" s="6" t="s">
        <v>717</v>
      </c>
      <c r="I234" s="7" t="s">
        <v>735</v>
      </c>
      <c r="J234" s="5" t="s">
        <v>34</v>
      </c>
      <c r="K234" s="5" t="s">
        <v>736</v>
      </c>
      <c r="L234" s="5" t="s">
        <v>36</v>
      </c>
      <c r="M234" s="8" t="s">
        <v>37</v>
      </c>
      <c r="N234" s="5" t="s">
        <v>735</v>
      </c>
      <c r="O234" s="5" t="s">
        <v>737</v>
      </c>
      <c r="P234" s="5" t="s">
        <v>738</v>
      </c>
      <c r="Q234" s="1" t="s">
        <v>739</v>
      </c>
      <c r="R234" s="5" t="s">
        <v>740</v>
      </c>
      <c r="S234" s="5" t="s">
        <v>42</v>
      </c>
      <c r="U234" s="5" t="s">
        <v>741</v>
      </c>
      <c r="X234" s="9" t="s">
        <v>742</v>
      </c>
      <c r="Y234" s="5" t="s">
        <v>737</v>
      </c>
      <c r="Z234" s="5" t="s">
        <v>45</v>
      </c>
      <c r="AA234" s="5" t="s">
        <v>46</v>
      </c>
      <c r="AB234" s="5" t="s">
        <v>743</v>
      </c>
      <c r="AC234" s="5" t="s">
        <v>744</v>
      </c>
      <c r="AD234" s="5" t="str">
        <f>_xlfn.CONCAT(Table58911[[#This Row],[&lt;&lt;NOLA&gt;&gt;
NIEM Element]],Table58911[[#This Row],[Repeat Values per attribute]])</f>
        <v>hs:PersonGenderIdentityTexta</v>
      </c>
    </row>
    <row r="235" spans="1:30" ht="30" customHeight="1" x14ac:dyDescent="0.3">
      <c r="A235" s="5">
        <f t="shared" si="18"/>
        <v>234</v>
      </c>
      <c r="B235" s="5">
        <f t="shared" si="22"/>
        <v>13</v>
      </c>
      <c r="C235" s="5">
        <f t="shared" si="22"/>
        <v>41</v>
      </c>
      <c r="D235" s="5">
        <f t="shared" si="20"/>
        <v>118</v>
      </c>
      <c r="E235" s="5" t="s">
        <v>32</v>
      </c>
      <c r="F235" s="5" t="s">
        <v>8</v>
      </c>
      <c r="G235" s="5">
        <v>270</v>
      </c>
      <c r="H235" s="6" t="s">
        <v>717</v>
      </c>
      <c r="I235" s="7" t="s">
        <v>745</v>
      </c>
      <c r="J235" s="5" t="s">
        <v>746</v>
      </c>
      <c r="K235" s="5" t="s">
        <v>747</v>
      </c>
      <c r="L235" s="5" t="s">
        <v>36</v>
      </c>
      <c r="M235" s="8" t="s">
        <v>52</v>
      </c>
      <c r="N235" s="5" t="s">
        <v>745</v>
      </c>
      <c r="O235" s="5" t="s">
        <v>748</v>
      </c>
      <c r="P235" s="1" t="s">
        <v>749</v>
      </c>
      <c r="Q235" s="1" t="s">
        <v>750</v>
      </c>
      <c r="R235" s="5" t="s">
        <v>751</v>
      </c>
      <c r="S235" s="5" t="s">
        <v>42</v>
      </c>
      <c r="U235" s="1" t="s">
        <v>752</v>
      </c>
      <c r="W235" s="5" t="s">
        <v>727</v>
      </c>
      <c r="X235" s="9" t="s">
        <v>753</v>
      </c>
      <c r="Y235" s="5" t="s">
        <v>748</v>
      </c>
      <c r="Z235" s="5" t="s">
        <v>45</v>
      </c>
      <c r="AA235" s="5" t="s">
        <v>90</v>
      </c>
      <c r="AB235" s="5" t="s">
        <v>754</v>
      </c>
      <c r="AC235" s="5" t="s">
        <v>755</v>
      </c>
      <c r="AD235" s="5" t="str">
        <f>_xlfn.CONCAT(Table58911[[#This Row],[&lt;&lt;NOLA&gt;&gt;
NIEM Element]],Table58911[[#This Row],[Repeat Values per attribute]])</f>
        <v>nc:PersonHairColorTextb</v>
      </c>
    </row>
    <row r="236" spans="1:30" ht="30" customHeight="1" x14ac:dyDescent="0.3">
      <c r="A236" s="5">
        <f t="shared" si="18"/>
        <v>235</v>
      </c>
      <c r="B236" s="5">
        <f t="shared" si="22"/>
        <v>13</v>
      </c>
      <c r="C236" s="5">
        <f t="shared" si="22"/>
        <v>41</v>
      </c>
      <c r="D236" s="5">
        <f t="shared" si="20"/>
        <v>119</v>
      </c>
      <c r="E236" s="5" t="s">
        <v>32</v>
      </c>
      <c r="F236" s="5" t="s">
        <v>8</v>
      </c>
      <c r="G236" s="5">
        <v>270</v>
      </c>
      <c r="H236" s="6" t="s">
        <v>717</v>
      </c>
      <c r="I236" s="7" t="s">
        <v>745</v>
      </c>
      <c r="J236" s="5" t="s">
        <v>746</v>
      </c>
      <c r="K236" s="5" t="s">
        <v>747</v>
      </c>
      <c r="L236" s="5" t="s">
        <v>36</v>
      </c>
      <c r="M236" s="8" t="s">
        <v>182</v>
      </c>
      <c r="N236" s="5" t="s">
        <v>745</v>
      </c>
      <c r="O236" s="5" t="s">
        <v>756</v>
      </c>
      <c r="P236" s="1" t="s">
        <v>757</v>
      </c>
      <c r="Q236" s="1" t="s">
        <v>750</v>
      </c>
      <c r="R236" s="5" t="s">
        <v>751</v>
      </c>
      <c r="S236" s="5" t="s">
        <v>42</v>
      </c>
      <c r="U236" s="1" t="s">
        <v>752</v>
      </c>
      <c r="W236" s="5" t="s">
        <v>727</v>
      </c>
      <c r="X236" s="9" t="s">
        <v>753</v>
      </c>
      <c r="Y236" s="5" t="s">
        <v>756</v>
      </c>
      <c r="Z236" s="5" t="s">
        <v>45</v>
      </c>
      <c r="AA236" s="5" t="s">
        <v>46</v>
      </c>
      <c r="AB236" s="5" t="s">
        <v>758</v>
      </c>
      <c r="AC236" s="5" t="s">
        <v>759</v>
      </c>
      <c r="AD236" s="5" t="str">
        <f>_xlfn.CONCAT(Table58911[[#This Row],[&lt;&lt;NOLA&gt;&gt;
NIEM Element]],Table58911[[#This Row],[Repeat Values per attribute]])</f>
        <v>nc:PersonHairColorTextg</v>
      </c>
    </row>
    <row r="237" spans="1:30" ht="30" customHeight="1" x14ac:dyDescent="0.3">
      <c r="A237" s="5">
        <f t="shared" si="18"/>
        <v>236</v>
      </c>
      <c r="B237" s="5">
        <f t="shared" si="22"/>
        <v>13</v>
      </c>
      <c r="C237" s="5">
        <f t="shared" si="22"/>
        <v>42</v>
      </c>
      <c r="D237" s="5">
        <f t="shared" si="20"/>
        <v>120</v>
      </c>
      <c r="E237" s="5" t="s">
        <v>32</v>
      </c>
      <c r="F237" s="5" t="s">
        <v>8</v>
      </c>
      <c r="G237" s="5">
        <v>272</v>
      </c>
      <c r="H237" s="6" t="s">
        <v>717</v>
      </c>
      <c r="I237" s="7" t="s">
        <v>760</v>
      </c>
      <c r="J237" s="5" t="s">
        <v>370</v>
      </c>
      <c r="K237" s="5" t="s">
        <v>761</v>
      </c>
      <c r="L237" s="5" t="s">
        <v>762</v>
      </c>
      <c r="M237" s="8" t="s">
        <v>37</v>
      </c>
      <c r="N237" s="5" t="s">
        <v>760</v>
      </c>
      <c r="O237" s="5" t="s">
        <v>763</v>
      </c>
      <c r="P237" s="5" t="s">
        <v>764</v>
      </c>
      <c r="Q237" s="1" t="s">
        <v>765</v>
      </c>
      <c r="R237" s="5" t="s">
        <v>766</v>
      </c>
      <c r="S237" s="5" t="s">
        <v>42</v>
      </c>
      <c r="U237" s="5" t="s">
        <v>767</v>
      </c>
      <c r="V237" s="1" t="s">
        <v>768</v>
      </c>
      <c r="X237" s="9" t="s">
        <v>769</v>
      </c>
      <c r="Y237" s="5" t="s">
        <v>763</v>
      </c>
      <c r="Z237" s="5" t="s">
        <v>45</v>
      </c>
      <c r="AA237" s="5" t="s">
        <v>46</v>
      </c>
      <c r="AB237" s="5" t="s">
        <v>770</v>
      </c>
      <c r="AC237" s="5" t="s">
        <v>771</v>
      </c>
      <c r="AD237" s="5" t="str">
        <f>_xlfn.CONCAT(Table58911[[#This Row],[&lt;&lt;NOLA&gt;&gt;
NIEM Element]],Table58911[[#This Row],[Repeat Values per attribute]])</f>
        <v>nc:MeasureValueTexta</v>
      </c>
    </row>
    <row r="238" spans="1:30" ht="30" customHeight="1" x14ac:dyDescent="0.3">
      <c r="A238" s="5">
        <f t="shared" si="18"/>
        <v>237</v>
      </c>
      <c r="B238" s="5">
        <f t="shared" si="22"/>
        <v>13</v>
      </c>
      <c r="C238" s="5">
        <f t="shared" si="22"/>
        <v>42</v>
      </c>
      <c r="D238" s="5">
        <f t="shared" si="20"/>
        <v>120</v>
      </c>
      <c r="E238" s="5" t="s">
        <v>32</v>
      </c>
      <c r="F238" s="5" t="s">
        <v>8</v>
      </c>
      <c r="G238" s="5">
        <v>272</v>
      </c>
      <c r="H238" s="6" t="s">
        <v>717</v>
      </c>
      <c r="I238" s="7" t="s">
        <v>760</v>
      </c>
      <c r="J238" s="5" t="s">
        <v>370</v>
      </c>
      <c r="K238" s="5" t="s">
        <v>761</v>
      </c>
      <c r="L238" s="5" t="s">
        <v>762</v>
      </c>
      <c r="M238" s="8" t="s">
        <v>37</v>
      </c>
      <c r="N238" s="5" t="s">
        <v>760</v>
      </c>
      <c r="O238" s="5" t="s">
        <v>763</v>
      </c>
      <c r="P238" s="5" t="s">
        <v>764</v>
      </c>
      <c r="Q238" s="1" t="s">
        <v>765</v>
      </c>
      <c r="R238" s="5" t="s">
        <v>766</v>
      </c>
      <c r="S238" s="5" t="s">
        <v>42</v>
      </c>
      <c r="U238" s="5" t="s">
        <v>767</v>
      </c>
      <c r="V238" s="1" t="s">
        <v>768</v>
      </c>
      <c r="X238" s="9" t="s">
        <v>772</v>
      </c>
      <c r="Y238" s="5" t="s">
        <v>763</v>
      </c>
      <c r="Z238" s="5" t="s">
        <v>45</v>
      </c>
      <c r="AA238" s="5" t="s">
        <v>46</v>
      </c>
      <c r="AB238" s="5" t="s">
        <v>770</v>
      </c>
      <c r="AC238" s="5" t="s">
        <v>771</v>
      </c>
      <c r="AD238" s="5" t="str">
        <f>_xlfn.CONCAT(Table58911[[#This Row],[&lt;&lt;NOLA&gt;&gt;
NIEM Element]],Table58911[[#This Row],[Repeat Values per attribute]])</f>
        <v>nc:MeasureValueTexta</v>
      </c>
    </row>
    <row r="239" spans="1:30" ht="30" customHeight="1" x14ac:dyDescent="0.3">
      <c r="A239" s="5">
        <f t="shared" si="18"/>
        <v>238</v>
      </c>
      <c r="B239" s="5">
        <f t="shared" si="22"/>
        <v>13</v>
      </c>
      <c r="C239" s="5">
        <f t="shared" si="22"/>
        <v>42</v>
      </c>
      <c r="D239" s="5">
        <f t="shared" si="20"/>
        <v>121</v>
      </c>
      <c r="E239" s="5" t="s">
        <v>32</v>
      </c>
      <c r="F239" s="5" t="s">
        <v>8</v>
      </c>
      <c r="G239" s="5">
        <v>272</v>
      </c>
      <c r="H239" s="6" t="s">
        <v>717</v>
      </c>
      <c r="I239" s="7" t="s">
        <v>760</v>
      </c>
      <c r="J239" s="5" t="s">
        <v>370</v>
      </c>
      <c r="K239" s="5" t="s">
        <v>761</v>
      </c>
      <c r="L239" s="5" t="s">
        <v>762</v>
      </c>
      <c r="M239" s="8" t="s">
        <v>57</v>
      </c>
      <c r="N239" s="5" t="s">
        <v>760</v>
      </c>
      <c r="O239" s="5" t="s">
        <v>773</v>
      </c>
      <c r="P239" s="1" t="s">
        <v>774</v>
      </c>
      <c r="Q239" s="1" t="s">
        <v>765</v>
      </c>
      <c r="R239" s="5" t="s">
        <v>766</v>
      </c>
      <c r="S239" s="5" t="s">
        <v>42</v>
      </c>
      <c r="U239" s="5" t="s">
        <v>767</v>
      </c>
      <c r="V239" s="1" t="s">
        <v>768</v>
      </c>
      <c r="X239" s="9" t="s">
        <v>769</v>
      </c>
      <c r="Y239" s="5" t="s">
        <v>773</v>
      </c>
      <c r="Z239" s="5" t="s">
        <v>45</v>
      </c>
      <c r="AA239" s="5" t="s">
        <v>90</v>
      </c>
      <c r="AB239" s="5" t="s">
        <v>770</v>
      </c>
      <c r="AC239" s="5" t="s">
        <v>775</v>
      </c>
      <c r="AD239" s="5" t="str">
        <f>_xlfn.CONCAT(Table58911[[#This Row],[&lt;&lt;NOLA&gt;&gt;
NIEM Element]],Table58911[[#This Row],[Repeat Values per attribute]])</f>
        <v>nc:MeasureValueTextc</v>
      </c>
    </row>
    <row r="240" spans="1:30" ht="30" customHeight="1" x14ac:dyDescent="0.3">
      <c r="A240" s="5">
        <f t="shared" si="18"/>
        <v>239</v>
      </c>
      <c r="B240" s="5">
        <f t="shared" si="22"/>
        <v>13</v>
      </c>
      <c r="C240" s="5">
        <f t="shared" si="22"/>
        <v>42</v>
      </c>
      <c r="D240" s="5">
        <f t="shared" si="20"/>
        <v>121</v>
      </c>
      <c r="E240" s="5" t="s">
        <v>32</v>
      </c>
      <c r="F240" s="5" t="s">
        <v>8</v>
      </c>
      <c r="G240" s="5">
        <v>272</v>
      </c>
      <c r="H240" s="6" t="s">
        <v>717</v>
      </c>
      <c r="I240" s="7" t="s">
        <v>760</v>
      </c>
      <c r="J240" s="5" t="s">
        <v>370</v>
      </c>
      <c r="K240" s="5" t="s">
        <v>761</v>
      </c>
      <c r="L240" s="5" t="s">
        <v>762</v>
      </c>
      <c r="M240" s="8" t="s">
        <v>57</v>
      </c>
      <c r="N240" s="5" t="s">
        <v>760</v>
      </c>
      <c r="O240" s="5" t="s">
        <v>773</v>
      </c>
      <c r="P240" s="1" t="s">
        <v>774</v>
      </c>
      <c r="Q240" s="1" t="s">
        <v>765</v>
      </c>
      <c r="R240" s="5" t="s">
        <v>766</v>
      </c>
      <c r="S240" s="5" t="s">
        <v>42</v>
      </c>
      <c r="U240" s="5" t="s">
        <v>767</v>
      </c>
      <c r="V240" s="1" t="s">
        <v>768</v>
      </c>
      <c r="X240" s="9" t="s">
        <v>772</v>
      </c>
      <c r="Y240" s="5" t="s">
        <v>773</v>
      </c>
      <c r="Z240" s="5" t="s">
        <v>45</v>
      </c>
      <c r="AA240" s="5" t="s">
        <v>90</v>
      </c>
      <c r="AB240" s="5" t="s">
        <v>770</v>
      </c>
      <c r="AC240" s="5" t="s">
        <v>775</v>
      </c>
      <c r="AD240" s="5" t="str">
        <f>_xlfn.CONCAT(Table58911[[#This Row],[&lt;&lt;NOLA&gt;&gt;
NIEM Element]],Table58911[[#This Row],[Repeat Values per attribute]])</f>
        <v>nc:MeasureValueTextc</v>
      </c>
    </row>
    <row r="241" spans="1:30" ht="30" customHeight="1" x14ac:dyDescent="0.3">
      <c r="A241" s="5">
        <f t="shared" si="18"/>
        <v>240</v>
      </c>
      <c r="B241" s="5">
        <f t="shared" si="22"/>
        <v>13</v>
      </c>
      <c r="C241" s="5">
        <f t="shared" si="22"/>
        <v>43</v>
      </c>
      <c r="D241" s="5">
        <f t="shared" si="20"/>
        <v>122</v>
      </c>
      <c r="E241" s="5" t="s">
        <v>32</v>
      </c>
      <c r="F241" s="5" t="s">
        <v>8</v>
      </c>
      <c r="G241" s="5">
        <v>283</v>
      </c>
      <c r="H241" s="6" t="s">
        <v>717</v>
      </c>
      <c r="I241" s="7" t="s">
        <v>776</v>
      </c>
      <c r="J241" s="5" t="s">
        <v>34</v>
      </c>
      <c r="K241" s="5" t="s">
        <v>777</v>
      </c>
      <c r="L241" s="5" t="s">
        <v>36</v>
      </c>
      <c r="M241" s="8" t="s">
        <v>52</v>
      </c>
      <c r="N241" s="5" t="s">
        <v>776</v>
      </c>
      <c r="O241" s="5" t="s">
        <v>778</v>
      </c>
      <c r="P241" s="1" t="s">
        <v>779</v>
      </c>
      <c r="Q241" s="1" t="s">
        <v>780</v>
      </c>
      <c r="R241" s="5" t="s">
        <v>781</v>
      </c>
      <c r="S241" s="5" t="s">
        <v>42</v>
      </c>
      <c r="U241" s="5" t="s">
        <v>782</v>
      </c>
      <c r="X241" s="9" t="s">
        <v>783</v>
      </c>
      <c r="Y241" s="5" t="s">
        <v>778</v>
      </c>
      <c r="Z241" s="5" t="s">
        <v>45</v>
      </c>
      <c r="AA241" s="5" t="s">
        <v>90</v>
      </c>
      <c r="AB241" s="5" t="s">
        <v>784</v>
      </c>
      <c r="AC241" s="5" t="s">
        <v>785</v>
      </c>
      <c r="AD241" s="5" t="str">
        <f>_xlfn.CONCAT(Table58911[[#This Row],[&lt;&lt;NOLA&gt;&gt;
NIEM Element]],Table58911[[#This Row],[Repeat Values per attribute]])</f>
        <v>nc:PersonSexualOrientationTextb</v>
      </c>
    </row>
    <row r="242" spans="1:30" ht="30" customHeight="1" x14ac:dyDescent="0.3">
      <c r="A242" s="5">
        <f t="shared" si="18"/>
        <v>241</v>
      </c>
      <c r="B242" s="5">
        <f t="shared" ref="B242:C257" si="23">IF(H241=H242,B241,B241+1)</f>
        <v>13</v>
      </c>
      <c r="C242" s="5">
        <f t="shared" si="23"/>
        <v>44</v>
      </c>
      <c r="D242" s="5">
        <f t="shared" si="20"/>
        <v>123</v>
      </c>
      <c r="E242" s="5" t="s">
        <v>32</v>
      </c>
      <c r="F242" s="5" t="s">
        <v>8</v>
      </c>
      <c r="G242" s="5">
        <v>280</v>
      </c>
      <c r="H242" s="6" t="s">
        <v>717</v>
      </c>
      <c r="I242" s="7" t="s">
        <v>786</v>
      </c>
      <c r="J242" s="5" t="s">
        <v>34</v>
      </c>
      <c r="K242" s="5" t="s">
        <v>787</v>
      </c>
      <c r="L242" s="5" t="s">
        <v>36</v>
      </c>
      <c r="M242" s="8" t="s">
        <v>37</v>
      </c>
      <c r="N242" s="5" t="s">
        <v>786</v>
      </c>
      <c r="O242" s="5" t="s">
        <v>788</v>
      </c>
      <c r="P242" s="5" t="s">
        <v>789</v>
      </c>
      <c r="Q242" s="1" t="s">
        <v>790</v>
      </c>
      <c r="R242" s="5" t="s">
        <v>98</v>
      </c>
      <c r="S242" s="5" t="s">
        <v>72</v>
      </c>
      <c r="U242" s="5" t="s">
        <v>791</v>
      </c>
      <c r="X242" s="9" t="s">
        <v>100</v>
      </c>
      <c r="Y242" s="5" t="s">
        <v>788</v>
      </c>
      <c r="Z242" s="5" t="s">
        <v>45</v>
      </c>
      <c r="AA242" s="5" t="s">
        <v>46</v>
      </c>
      <c r="AB242" s="5" t="s">
        <v>792</v>
      </c>
      <c r="AC242" s="5" t="s">
        <v>793</v>
      </c>
      <c r="AD242" s="5" t="str">
        <f>_xlfn.CONCAT(Table58911[[#This Row],[&lt;&lt;NOLA&gt;&gt;
NIEM Element]],Table58911[[#This Row],[Repeat Values per attribute]])</f>
        <v>nc:CountryNamea</v>
      </c>
    </row>
    <row r="243" spans="1:30" ht="30" customHeight="1" x14ac:dyDescent="0.3">
      <c r="A243" s="5">
        <f t="shared" si="18"/>
        <v>242</v>
      </c>
      <c r="B243" s="5">
        <f t="shared" si="23"/>
        <v>13</v>
      </c>
      <c r="C243" s="5">
        <f t="shared" si="23"/>
        <v>44</v>
      </c>
      <c r="D243" s="5">
        <f t="shared" si="20"/>
        <v>124</v>
      </c>
      <c r="E243" s="5" t="s">
        <v>32</v>
      </c>
      <c r="F243" s="5" t="s">
        <v>8</v>
      </c>
      <c r="G243" s="5">
        <v>280</v>
      </c>
      <c r="H243" s="6" t="s">
        <v>717</v>
      </c>
      <c r="I243" s="7" t="s">
        <v>786</v>
      </c>
      <c r="J243" s="5" t="s">
        <v>34</v>
      </c>
      <c r="K243" s="5" t="s">
        <v>787</v>
      </c>
      <c r="L243" s="5" t="s">
        <v>36</v>
      </c>
      <c r="M243" s="8" t="s">
        <v>57</v>
      </c>
      <c r="N243" s="5" t="s">
        <v>786</v>
      </c>
      <c r="O243" s="5" t="s">
        <v>794</v>
      </c>
      <c r="P243" s="1" t="s">
        <v>795</v>
      </c>
      <c r="Q243" s="1" t="s">
        <v>790</v>
      </c>
      <c r="R243" s="5" t="s">
        <v>98</v>
      </c>
      <c r="S243" s="5" t="s">
        <v>72</v>
      </c>
      <c r="U243" s="5" t="s">
        <v>791</v>
      </c>
      <c r="X243" s="9" t="s">
        <v>100</v>
      </c>
      <c r="Y243" s="5" t="s">
        <v>794</v>
      </c>
      <c r="Z243" s="5" t="s">
        <v>45</v>
      </c>
      <c r="AA243" s="5" t="s">
        <v>90</v>
      </c>
      <c r="AB243" s="5" t="s">
        <v>796</v>
      </c>
      <c r="AC243" s="5" t="s">
        <v>797</v>
      </c>
      <c r="AD243" s="5" t="str">
        <f>_xlfn.CONCAT(Table58911[[#This Row],[&lt;&lt;NOLA&gt;&gt;
NIEM Element]],Table58911[[#This Row],[Repeat Values per attribute]])</f>
        <v>nc:CountryNamec</v>
      </c>
    </row>
    <row r="244" spans="1:30" ht="30" customHeight="1" x14ac:dyDescent="0.3">
      <c r="A244" s="5">
        <f t="shared" si="18"/>
        <v>243</v>
      </c>
      <c r="B244" s="5">
        <f t="shared" si="23"/>
        <v>13</v>
      </c>
      <c r="C244" s="5">
        <f t="shared" si="23"/>
        <v>45</v>
      </c>
      <c r="D244" s="5">
        <f t="shared" si="20"/>
        <v>125</v>
      </c>
      <c r="E244" s="5" t="s">
        <v>32</v>
      </c>
      <c r="F244" s="5" t="s">
        <v>8</v>
      </c>
      <c r="G244" s="5">
        <v>275</v>
      </c>
      <c r="H244" s="6" t="s">
        <v>717</v>
      </c>
      <c r="I244" s="7" t="s">
        <v>798</v>
      </c>
      <c r="J244" s="5" t="s">
        <v>34</v>
      </c>
      <c r="K244" s="5" t="s">
        <v>799</v>
      </c>
      <c r="L244" s="5" t="s">
        <v>36</v>
      </c>
      <c r="M244" s="8" t="s">
        <v>37</v>
      </c>
      <c r="N244" s="5" t="s">
        <v>798</v>
      </c>
      <c r="O244" s="5" t="s">
        <v>800</v>
      </c>
      <c r="P244" s="5" t="s">
        <v>801</v>
      </c>
      <c r="Q244" s="1" t="s">
        <v>802</v>
      </c>
      <c r="R244" s="5" t="s">
        <v>803</v>
      </c>
      <c r="S244" s="5" t="s">
        <v>42</v>
      </c>
      <c r="U244" s="5" t="s">
        <v>804</v>
      </c>
      <c r="W244" s="5" t="s">
        <v>805</v>
      </c>
      <c r="X244" s="9" t="s">
        <v>806</v>
      </c>
      <c r="Y244" s="5" t="s">
        <v>800</v>
      </c>
      <c r="Z244" s="5" t="s">
        <v>45</v>
      </c>
      <c r="AA244" s="5" t="s">
        <v>46</v>
      </c>
      <c r="AB244" s="5" t="s">
        <v>807</v>
      </c>
      <c r="AC244" s="5" t="s">
        <v>808</v>
      </c>
      <c r="AD244" s="5" t="str">
        <f>_xlfn.CONCAT(Table58911[[#This Row],[&lt;&lt;NOLA&gt;&gt;
NIEM Element]],Table58911[[#This Row],[Repeat Values per attribute]])</f>
        <v>nc:PersonRaceTexta</v>
      </c>
    </row>
    <row r="245" spans="1:30" ht="30" customHeight="1" x14ac:dyDescent="0.3">
      <c r="A245" s="5">
        <f t="shared" si="18"/>
        <v>244</v>
      </c>
      <c r="B245" s="5">
        <f t="shared" si="23"/>
        <v>13</v>
      </c>
      <c r="C245" s="5">
        <f t="shared" si="23"/>
        <v>45</v>
      </c>
      <c r="D245" s="5">
        <f t="shared" si="20"/>
        <v>126</v>
      </c>
      <c r="E245" s="5" t="s">
        <v>49</v>
      </c>
      <c r="F245" s="5" t="s">
        <v>8</v>
      </c>
      <c r="G245" s="5">
        <v>275</v>
      </c>
      <c r="H245" s="6" t="s">
        <v>717</v>
      </c>
      <c r="I245" s="7" t="s">
        <v>798</v>
      </c>
      <c r="J245" s="5" t="s">
        <v>34</v>
      </c>
      <c r="K245" s="5" t="s">
        <v>799</v>
      </c>
      <c r="L245" s="5" t="s">
        <v>36</v>
      </c>
      <c r="M245" s="8" t="s">
        <v>52</v>
      </c>
      <c r="N245" s="5" t="s">
        <v>798</v>
      </c>
      <c r="O245" s="5" t="s">
        <v>809</v>
      </c>
      <c r="P245" s="1" t="s">
        <v>810</v>
      </c>
      <c r="Q245" s="1" t="s">
        <v>802</v>
      </c>
      <c r="R245" s="5" t="s">
        <v>803</v>
      </c>
      <c r="S245" s="5" t="s">
        <v>42</v>
      </c>
      <c r="U245" s="5" t="s">
        <v>804</v>
      </c>
      <c r="W245" s="5" t="s">
        <v>805</v>
      </c>
      <c r="X245" s="9" t="s">
        <v>806</v>
      </c>
      <c r="Y245" s="5" t="s">
        <v>809</v>
      </c>
      <c r="Z245" s="5" t="s">
        <v>45</v>
      </c>
      <c r="AA245" s="5" t="s">
        <v>46</v>
      </c>
      <c r="AB245" s="5" t="s">
        <v>811</v>
      </c>
      <c r="AC245" s="5" t="s">
        <v>812</v>
      </c>
      <c r="AD245" s="5" t="str">
        <f>_xlfn.CONCAT(Table58911[[#This Row],[&lt;&lt;NOLA&gt;&gt;
NIEM Element]],Table58911[[#This Row],[Repeat Values per attribute]])</f>
        <v>nc:PersonRaceTextb</v>
      </c>
    </row>
    <row r="246" spans="1:30" ht="30" customHeight="1" x14ac:dyDescent="0.3">
      <c r="A246" s="5">
        <f t="shared" si="18"/>
        <v>245</v>
      </c>
      <c r="B246" s="5">
        <f t="shared" si="23"/>
        <v>13</v>
      </c>
      <c r="C246" s="5">
        <f t="shared" si="23"/>
        <v>45</v>
      </c>
      <c r="D246" s="5">
        <f t="shared" si="20"/>
        <v>127</v>
      </c>
      <c r="E246" s="5" t="s">
        <v>49</v>
      </c>
      <c r="F246" s="5" t="s">
        <v>8</v>
      </c>
      <c r="G246" s="5">
        <v>275</v>
      </c>
      <c r="H246" s="6" t="s">
        <v>717</v>
      </c>
      <c r="I246" s="7" t="s">
        <v>798</v>
      </c>
      <c r="J246" s="5" t="s">
        <v>34</v>
      </c>
      <c r="K246" s="5" t="s">
        <v>799</v>
      </c>
      <c r="L246" s="5" t="s">
        <v>36</v>
      </c>
      <c r="M246" s="8" t="s">
        <v>57</v>
      </c>
      <c r="N246" s="5" t="s">
        <v>798</v>
      </c>
      <c r="O246" s="5" t="s">
        <v>813</v>
      </c>
      <c r="P246" s="1" t="s">
        <v>814</v>
      </c>
      <c r="Q246" s="1" t="s">
        <v>802</v>
      </c>
      <c r="R246" s="5" t="s">
        <v>803</v>
      </c>
      <c r="S246" s="5" t="s">
        <v>42</v>
      </c>
      <c r="U246" s="5" t="s">
        <v>804</v>
      </c>
      <c r="W246" s="5" t="s">
        <v>805</v>
      </c>
      <c r="X246" s="9" t="s">
        <v>806</v>
      </c>
      <c r="Y246" s="5" t="s">
        <v>813</v>
      </c>
      <c r="Z246" s="5" t="s">
        <v>45</v>
      </c>
      <c r="AA246" s="5" t="s">
        <v>46</v>
      </c>
      <c r="AB246" s="5" t="s">
        <v>815</v>
      </c>
      <c r="AC246" s="5" t="s">
        <v>816</v>
      </c>
      <c r="AD246" s="5" t="str">
        <f>_xlfn.CONCAT(Table58911[[#This Row],[&lt;&lt;NOLA&gt;&gt;
NIEM Element]],Table58911[[#This Row],[Repeat Values per attribute]])</f>
        <v>nc:PersonRaceTextc</v>
      </c>
    </row>
    <row r="247" spans="1:30" ht="30" customHeight="1" x14ac:dyDescent="0.3">
      <c r="A247" s="5">
        <f t="shared" si="18"/>
        <v>246</v>
      </c>
      <c r="B247" s="5">
        <f t="shared" si="23"/>
        <v>13</v>
      </c>
      <c r="C247" s="5">
        <f t="shared" si="23"/>
        <v>45</v>
      </c>
      <c r="D247" s="5">
        <f t="shared" si="20"/>
        <v>128</v>
      </c>
      <c r="E247" s="5" t="s">
        <v>32</v>
      </c>
      <c r="F247" s="5" t="s">
        <v>8</v>
      </c>
      <c r="G247" s="5">
        <v>275</v>
      </c>
      <c r="H247" s="6" t="s">
        <v>717</v>
      </c>
      <c r="I247" s="7" t="s">
        <v>798</v>
      </c>
      <c r="J247" s="5" t="s">
        <v>34</v>
      </c>
      <c r="K247" s="5" t="s">
        <v>799</v>
      </c>
      <c r="L247" s="5" t="s">
        <v>36</v>
      </c>
      <c r="M247" s="8" t="s">
        <v>87</v>
      </c>
      <c r="N247" s="5" t="s">
        <v>798</v>
      </c>
      <c r="O247" s="5" t="s">
        <v>817</v>
      </c>
      <c r="P247" s="1" t="s">
        <v>818</v>
      </c>
      <c r="Q247" s="1" t="s">
        <v>802</v>
      </c>
      <c r="R247" s="5" t="s">
        <v>803</v>
      </c>
      <c r="S247" s="5" t="s">
        <v>42</v>
      </c>
      <c r="U247" s="5" t="s">
        <v>804</v>
      </c>
      <c r="W247" s="5" t="s">
        <v>805</v>
      </c>
      <c r="X247" s="9" t="s">
        <v>806</v>
      </c>
      <c r="Y247" s="5" t="s">
        <v>817</v>
      </c>
      <c r="Z247" s="5" t="s">
        <v>45</v>
      </c>
      <c r="AA247" s="5" t="s">
        <v>90</v>
      </c>
      <c r="AB247" s="5" t="s">
        <v>819</v>
      </c>
      <c r="AC247" s="5" t="s">
        <v>820</v>
      </c>
      <c r="AD247" s="5" t="str">
        <f>_xlfn.CONCAT(Table58911[[#This Row],[&lt;&lt;NOLA&gt;&gt;
NIEM Element]],Table58911[[#This Row],[Repeat Values per attribute]])</f>
        <v>nc:PersonRaceTexte</v>
      </c>
    </row>
    <row r="248" spans="1:30" ht="30" customHeight="1" x14ac:dyDescent="0.3">
      <c r="A248" s="5">
        <f t="shared" si="18"/>
        <v>247</v>
      </c>
      <c r="B248" s="5">
        <f t="shared" si="23"/>
        <v>13</v>
      </c>
      <c r="C248" s="5">
        <f t="shared" si="23"/>
        <v>46</v>
      </c>
      <c r="D248" s="5">
        <f t="shared" si="20"/>
        <v>129</v>
      </c>
      <c r="E248" s="5" t="s">
        <v>49</v>
      </c>
      <c r="F248" s="5" t="s">
        <v>8</v>
      </c>
      <c r="G248" s="5">
        <v>282</v>
      </c>
      <c r="H248" s="6" t="s">
        <v>717</v>
      </c>
      <c r="I248" s="7" t="s">
        <v>821</v>
      </c>
      <c r="J248" s="5" t="s">
        <v>822</v>
      </c>
      <c r="K248" s="5" t="s">
        <v>736</v>
      </c>
      <c r="L248" s="5" t="s">
        <v>36</v>
      </c>
      <c r="M248" s="8" t="s">
        <v>37</v>
      </c>
      <c r="N248" s="5" t="s">
        <v>821</v>
      </c>
      <c r="O248" s="5" t="s">
        <v>823</v>
      </c>
      <c r="P248" s="5" t="s">
        <v>824</v>
      </c>
      <c r="Q248" s="1" t="s">
        <v>825</v>
      </c>
      <c r="R248" s="5" t="s">
        <v>826</v>
      </c>
      <c r="S248" s="5" t="s">
        <v>42</v>
      </c>
      <c r="U248" s="5" t="s">
        <v>827</v>
      </c>
      <c r="X248" s="9" t="s">
        <v>828</v>
      </c>
      <c r="Y248" s="5" t="s">
        <v>823</v>
      </c>
      <c r="Z248" s="5" t="s">
        <v>45</v>
      </c>
      <c r="AA248" s="5" t="s">
        <v>46</v>
      </c>
      <c r="AB248" s="5" t="s">
        <v>829</v>
      </c>
      <c r="AC248" s="5" t="s">
        <v>830</v>
      </c>
      <c r="AD248" s="5" t="str">
        <f>_xlfn.CONCAT(Table58911[[#This Row],[&lt;&lt;NOLA&gt;&gt;
NIEM Element]],Table58911[[#This Row],[Repeat Values per attribute]])</f>
        <v>nc:PersonSexTexta</v>
      </c>
    </row>
    <row r="249" spans="1:30" ht="30" customHeight="1" x14ac:dyDescent="0.3">
      <c r="A249" s="5">
        <f t="shared" si="18"/>
        <v>248</v>
      </c>
      <c r="B249" s="5">
        <f t="shared" si="23"/>
        <v>13</v>
      </c>
      <c r="C249" s="5">
        <f t="shared" si="23"/>
        <v>46</v>
      </c>
      <c r="D249" s="5">
        <f t="shared" si="20"/>
        <v>130</v>
      </c>
      <c r="E249" s="5" t="s">
        <v>49</v>
      </c>
      <c r="F249" s="5" t="s">
        <v>8</v>
      </c>
      <c r="G249" s="5">
        <v>282</v>
      </c>
      <c r="H249" s="6" t="s">
        <v>717</v>
      </c>
      <c r="I249" s="7" t="s">
        <v>821</v>
      </c>
      <c r="J249" s="5" t="s">
        <v>822</v>
      </c>
      <c r="K249" s="5" t="s">
        <v>736</v>
      </c>
      <c r="L249" s="5" t="s">
        <v>36</v>
      </c>
      <c r="M249" s="8" t="s">
        <v>52</v>
      </c>
      <c r="N249" s="5" t="s">
        <v>821</v>
      </c>
      <c r="O249" s="5" t="s">
        <v>831</v>
      </c>
      <c r="P249" s="1" t="s">
        <v>832</v>
      </c>
      <c r="Q249" s="1" t="s">
        <v>825</v>
      </c>
      <c r="R249" s="5" t="s">
        <v>826</v>
      </c>
      <c r="S249" s="5" t="s">
        <v>42</v>
      </c>
      <c r="U249" s="5" t="s">
        <v>827</v>
      </c>
      <c r="X249" s="9" t="s">
        <v>828</v>
      </c>
      <c r="Y249" s="5" t="s">
        <v>831</v>
      </c>
      <c r="Z249" s="5" t="s">
        <v>45</v>
      </c>
      <c r="AA249" s="5" t="s">
        <v>46</v>
      </c>
      <c r="AB249" s="5" t="s">
        <v>833</v>
      </c>
      <c r="AC249" s="5" t="s">
        <v>834</v>
      </c>
      <c r="AD249" s="5" t="str">
        <f>_xlfn.CONCAT(Table58911[[#This Row],[&lt;&lt;NOLA&gt;&gt;
NIEM Element]],Table58911[[#This Row],[Repeat Values per attribute]])</f>
        <v>nc:PersonSexTextb</v>
      </c>
    </row>
    <row r="250" spans="1:30" ht="30" customHeight="1" x14ac:dyDescent="0.3">
      <c r="A250" s="5">
        <f t="shared" si="18"/>
        <v>249</v>
      </c>
      <c r="B250" s="5">
        <f t="shared" si="23"/>
        <v>13</v>
      </c>
      <c r="C250" s="5">
        <f t="shared" si="23"/>
        <v>46</v>
      </c>
      <c r="D250" s="5">
        <f t="shared" si="20"/>
        <v>131</v>
      </c>
      <c r="E250" s="5" t="s">
        <v>32</v>
      </c>
      <c r="F250" s="5" t="s">
        <v>8</v>
      </c>
      <c r="G250" s="5">
        <v>282</v>
      </c>
      <c r="H250" s="6" t="s">
        <v>717</v>
      </c>
      <c r="I250" s="7" t="s">
        <v>821</v>
      </c>
      <c r="J250" s="5" t="s">
        <v>822</v>
      </c>
      <c r="K250" s="5" t="s">
        <v>736</v>
      </c>
      <c r="L250" s="5" t="s">
        <v>36</v>
      </c>
      <c r="M250" s="8" t="s">
        <v>49</v>
      </c>
      <c r="N250" s="5" t="s">
        <v>821</v>
      </c>
      <c r="O250" s="5" t="s">
        <v>835</v>
      </c>
      <c r="P250" s="1" t="s">
        <v>836</v>
      </c>
      <c r="Q250" s="1" t="s">
        <v>825</v>
      </c>
      <c r="R250" s="5" t="s">
        <v>826</v>
      </c>
      <c r="S250" s="5" t="s">
        <v>42</v>
      </c>
      <c r="U250" s="5" t="s">
        <v>827</v>
      </c>
      <c r="X250" s="9" t="s">
        <v>828</v>
      </c>
      <c r="Y250" s="5" t="s">
        <v>835</v>
      </c>
      <c r="Z250" s="5" t="s">
        <v>45</v>
      </c>
      <c r="AA250" s="5" t="s">
        <v>90</v>
      </c>
      <c r="AB250" s="5" t="s">
        <v>837</v>
      </c>
      <c r="AC250" s="5" t="s">
        <v>838</v>
      </c>
      <c r="AD250" s="5" t="str">
        <f>_xlfn.CONCAT(Table58911[[#This Row],[&lt;&lt;NOLA&gt;&gt;
NIEM Element]],Table58911[[#This Row],[Repeat Values per attribute]])</f>
        <v>nc:PersonSexTextd</v>
      </c>
    </row>
    <row r="251" spans="1:30" ht="30" customHeight="1" x14ac:dyDescent="0.3">
      <c r="A251" s="5">
        <f t="shared" si="18"/>
        <v>250</v>
      </c>
      <c r="B251" s="5">
        <f t="shared" si="23"/>
        <v>13</v>
      </c>
      <c r="C251" s="5">
        <f t="shared" si="23"/>
        <v>47</v>
      </c>
      <c r="D251" s="5">
        <f t="shared" si="20"/>
        <v>132</v>
      </c>
      <c r="E251" s="5" t="s">
        <v>32</v>
      </c>
      <c r="F251" s="5" t="s">
        <v>8</v>
      </c>
      <c r="G251" s="5">
        <v>290</v>
      </c>
      <c r="H251" s="6" t="s">
        <v>717</v>
      </c>
      <c r="I251" s="7" t="s">
        <v>839</v>
      </c>
      <c r="J251" s="5" t="s">
        <v>840</v>
      </c>
      <c r="K251" s="5" t="s">
        <v>841</v>
      </c>
      <c r="L251" s="5" t="s">
        <v>36</v>
      </c>
      <c r="M251" s="8" t="s">
        <v>52</v>
      </c>
      <c r="N251" s="5" t="s">
        <v>839</v>
      </c>
      <c r="O251" s="5" t="s">
        <v>842</v>
      </c>
      <c r="P251" s="1" t="s">
        <v>843</v>
      </c>
      <c r="Q251" s="1" t="s">
        <v>844</v>
      </c>
      <c r="R251" s="5" t="s">
        <v>845</v>
      </c>
      <c r="S251" s="5" t="s">
        <v>846</v>
      </c>
      <c r="U251" s="5" t="s">
        <v>847</v>
      </c>
      <c r="X251" s="9" t="s">
        <v>848</v>
      </c>
      <c r="Y251" s="5" t="s">
        <v>842</v>
      </c>
      <c r="Z251" s="5" t="s">
        <v>45</v>
      </c>
      <c r="AA251" s="5" t="s">
        <v>90</v>
      </c>
      <c r="AB251" s="5" t="s">
        <v>849</v>
      </c>
      <c r="AC251" s="5" t="s">
        <v>850</v>
      </c>
      <c r="AD251" s="5" t="str">
        <f>_xlfn.CONCAT(Table58911[[#This Row],[&lt;&lt;NOLA&gt;&gt;
NIEM Element]],Table58911[[#This Row],[Repeat Values per attribute]])</f>
        <v>nc:PersonUSCitizenIndicatorb</v>
      </c>
    </row>
    <row r="252" spans="1:30" ht="30" customHeight="1" x14ac:dyDescent="0.3">
      <c r="A252" s="5">
        <f t="shared" si="18"/>
        <v>251</v>
      </c>
      <c r="B252" s="5">
        <f t="shared" si="23"/>
        <v>13</v>
      </c>
      <c r="C252" s="5">
        <f t="shared" si="23"/>
        <v>48</v>
      </c>
      <c r="D252" s="5">
        <f t="shared" si="20"/>
        <v>133</v>
      </c>
      <c r="E252" s="5" t="s">
        <v>32</v>
      </c>
      <c r="F252" s="5" t="s">
        <v>8</v>
      </c>
      <c r="G252" s="5">
        <v>273</v>
      </c>
      <c r="H252" s="6" t="s">
        <v>717</v>
      </c>
      <c r="I252" s="7" t="s">
        <v>851</v>
      </c>
      <c r="J252" s="5" t="s">
        <v>370</v>
      </c>
      <c r="K252" s="5" t="s">
        <v>852</v>
      </c>
      <c r="L252" s="5" t="s">
        <v>36</v>
      </c>
      <c r="M252" s="8" t="s">
        <v>37</v>
      </c>
      <c r="N252" s="5" t="s">
        <v>851</v>
      </c>
      <c r="O252" s="5" t="s">
        <v>853</v>
      </c>
      <c r="P252" s="5" t="s">
        <v>854</v>
      </c>
      <c r="Q252" s="1" t="s">
        <v>855</v>
      </c>
      <c r="R252" s="5" t="s">
        <v>856</v>
      </c>
      <c r="S252" s="5" t="s">
        <v>42</v>
      </c>
      <c r="U252" s="5" t="s">
        <v>857</v>
      </c>
      <c r="X252" s="9" t="s">
        <v>858</v>
      </c>
      <c r="Y252" s="5" t="s">
        <v>853</v>
      </c>
      <c r="Z252" s="5" t="s">
        <v>45</v>
      </c>
      <c r="AA252" s="5" t="s">
        <v>46</v>
      </c>
      <c r="AB252" s="5" t="s">
        <v>859</v>
      </c>
      <c r="AC252" s="5" t="s">
        <v>860</v>
      </c>
      <c r="AD252" s="5" t="str">
        <f>_xlfn.CONCAT(Table58911[[#This Row],[&lt;&lt;NOLA&gt;&gt;
NIEM Element]],Table58911[[#This Row],[Repeat Values per attribute]])</f>
        <v>nc:PersonWeightDescriptionTexta</v>
      </c>
    </row>
    <row r="253" spans="1:30" ht="30" customHeight="1" x14ac:dyDescent="0.3">
      <c r="A253" s="5">
        <f t="shared" si="18"/>
        <v>252</v>
      </c>
      <c r="B253" s="5">
        <f t="shared" si="23"/>
        <v>13</v>
      </c>
      <c r="C253" s="5">
        <f t="shared" si="23"/>
        <v>48</v>
      </c>
      <c r="D253" s="5">
        <f t="shared" si="20"/>
        <v>134</v>
      </c>
      <c r="E253" s="5" t="s">
        <v>32</v>
      </c>
      <c r="F253" s="5" t="s">
        <v>8</v>
      </c>
      <c r="G253" s="5">
        <v>273</v>
      </c>
      <c r="H253" s="6" t="s">
        <v>717</v>
      </c>
      <c r="I253" s="7" t="s">
        <v>851</v>
      </c>
      <c r="J253" s="5" t="s">
        <v>370</v>
      </c>
      <c r="K253" s="5" t="s">
        <v>852</v>
      </c>
      <c r="L253" s="5" t="s">
        <v>36</v>
      </c>
      <c r="M253" s="8" t="s">
        <v>57</v>
      </c>
      <c r="N253" s="5" t="s">
        <v>851</v>
      </c>
      <c r="O253" s="5" t="s">
        <v>861</v>
      </c>
      <c r="P253" s="1" t="s">
        <v>862</v>
      </c>
      <c r="Q253" s="1" t="s">
        <v>855</v>
      </c>
      <c r="R253" s="5" t="s">
        <v>856</v>
      </c>
      <c r="S253" s="5" t="s">
        <v>42</v>
      </c>
      <c r="U253" s="5" t="s">
        <v>857</v>
      </c>
      <c r="X253" s="9" t="s">
        <v>858</v>
      </c>
      <c r="Y253" s="5" t="s">
        <v>861</v>
      </c>
      <c r="Z253" s="5" t="s">
        <v>45</v>
      </c>
      <c r="AA253" s="5" t="s">
        <v>90</v>
      </c>
      <c r="AB253" s="5" t="s">
        <v>859</v>
      </c>
      <c r="AC253" s="5" t="s">
        <v>863</v>
      </c>
      <c r="AD253" s="5" t="str">
        <f>_xlfn.CONCAT(Table58911[[#This Row],[&lt;&lt;NOLA&gt;&gt;
NIEM Element]],Table58911[[#This Row],[Repeat Values per attribute]])</f>
        <v>nc:PersonWeightDescriptionTextc</v>
      </c>
    </row>
    <row r="254" spans="1:30" ht="30" customHeight="1" x14ac:dyDescent="0.3">
      <c r="A254" s="5">
        <f t="shared" si="18"/>
        <v>253</v>
      </c>
      <c r="B254" s="5">
        <f t="shared" si="23"/>
        <v>14</v>
      </c>
      <c r="C254" s="5">
        <f t="shared" si="23"/>
        <v>49</v>
      </c>
      <c r="D254" s="5">
        <f t="shared" si="20"/>
        <v>135</v>
      </c>
      <c r="E254" s="5" t="s">
        <v>32</v>
      </c>
      <c r="F254" s="5" t="s">
        <v>8</v>
      </c>
      <c r="G254" s="5">
        <v>183</v>
      </c>
      <c r="H254" s="6" t="s">
        <v>864</v>
      </c>
      <c r="I254" s="7" t="s">
        <v>865</v>
      </c>
      <c r="J254" s="5" t="s">
        <v>34</v>
      </c>
      <c r="K254" s="5" t="s">
        <v>866</v>
      </c>
      <c r="L254" s="5" t="s">
        <v>36</v>
      </c>
      <c r="M254" s="8" t="s">
        <v>52</v>
      </c>
      <c r="N254" s="5" t="s">
        <v>865</v>
      </c>
      <c r="O254" s="5" t="s">
        <v>867</v>
      </c>
      <c r="P254" s="1" t="s">
        <v>868</v>
      </c>
      <c r="Q254" s="1" t="s">
        <v>869</v>
      </c>
      <c r="R254" s="5" t="s">
        <v>375</v>
      </c>
      <c r="S254" s="5" t="s">
        <v>159</v>
      </c>
      <c r="U254" s="5" t="s">
        <v>870</v>
      </c>
      <c r="X254" s="9" t="s">
        <v>871</v>
      </c>
      <c r="Y254" s="5" t="s">
        <v>867</v>
      </c>
      <c r="Z254" s="5" t="s">
        <v>45</v>
      </c>
      <c r="AA254" s="5" t="s">
        <v>90</v>
      </c>
      <c r="AB254" s="5" t="s">
        <v>872</v>
      </c>
      <c r="AC254" s="5" t="s">
        <v>873</v>
      </c>
      <c r="AD254" s="5" t="str">
        <f>_xlfn.CONCAT(Table58911[[#This Row],[&lt;&lt;NOLA&gt;&gt;
NIEM Element]],Table58911[[#This Row],[Repeat Values per attribute]])</f>
        <v>nc:IdentificationIDb</v>
      </c>
    </row>
    <row r="255" spans="1:30" ht="30" customHeight="1" x14ac:dyDescent="0.3">
      <c r="A255" s="5">
        <f t="shared" si="18"/>
        <v>254</v>
      </c>
      <c r="B255" s="5">
        <f t="shared" si="23"/>
        <v>14</v>
      </c>
      <c r="C255" s="5">
        <f t="shared" si="23"/>
        <v>50</v>
      </c>
      <c r="D255" s="5">
        <f t="shared" si="20"/>
        <v>136</v>
      </c>
      <c r="E255" s="5" t="s">
        <v>32</v>
      </c>
      <c r="F255" s="5" t="s">
        <v>8</v>
      </c>
      <c r="G255" s="5">
        <v>186</v>
      </c>
      <c r="H255" s="6" t="s">
        <v>864</v>
      </c>
      <c r="I255" s="7" t="s">
        <v>874</v>
      </c>
      <c r="J255" s="5" t="s">
        <v>605</v>
      </c>
      <c r="K255" s="5" t="s">
        <v>875</v>
      </c>
      <c r="L255" s="5" t="s">
        <v>36</v>
      </c>
      <c r="M255" s="8" t="s">
        <v>37</v>
      </c>
      <c r="N255" s="5" t="s">
        <v>874</v>
      </c>
      <c r="O255" s="5" t="s">
        <v>876</v>
      </c>
      <c r="P255" s="5" t="s">
        <v>877</v>
      </c>
      <c r="Q255" s="1" t="s">
        <v>878</v>
      </c>
      <c r="R255" s="5" t="s">
        <v>610</v>
      </c>
      <c r="S255" s="5" t="s">
        <v>611</v>
      </c>
      <c r="U255" s="5" t="s">
        <v>879</v>
      </c>
      <c r="X255" s="9" t="s">
        <v>880</v>
      </c>
      <c r="Y255" s="5" t="s">
        <v>876</v>
      </c>
      <c r="Z255" s="5" t="s">
        <v>45</v>
      </c>
      <c r="AA255" s="5" t="s">
        <v>46</v>
      </c>
      <c r="AB255" s="5" t="s">
        <v>881</v>
      </c>
      <c r="AC255" s="5" t="s">
        <v>882</v>
      </c>
      <c r="AD255" s="5" t="str">
        <f>_xlfn.CONCAT(Table58911[[#This Row],[&lt;&lt;NOLA&gt;&gt;
NIEM Element]],Table58911[[#This Row],[Repeat Values per attribute]])</f>
        <v>nc:Datea</v>
      </c>
    </row>
    <row r="256" spans="1:30" ht="30" customHeight="1" x14ac:dyDescent="0.3">
      <c r="A256" s="5">
        <f t="shared" si="18"/>
        <v>255</v>
      </c>
      <c r="B256" s="5">
        <f t="shared" si="23"/>
        <v>14</v>
      </c>
      <c r="C256" s="5">
        <f t="shared" si="23"/>
        <v>50</v>
      </c>
      <c r="D256" s="5">
        <f t="shared" si="20"/>
        <v>137</v>
      </c>
      <c r="E256" s="5" t="s">
        <v>49</v>
      </c>
      <c r="F256" s="5" t="s">
        <v>8</v>
      </c>
      <c r="G256" s="5">
        <v>186</v>
      </c>
      <c r="H256" s="6" t="s">
        <v>864</v>
      </c>
      <c r="I256" s="7" t="s">
        <v>874</v>
      </c>
      <c r="J256" s="5" t="s">
        <v>605</v>
      </c>
      <c r="K256" s="5" t="s">
        <v>875</v>
      </c>
      <c r="L256" s="5" t="s">
        <v>36</v>
      </c>
      <c r="M256" s="8" t="s">
        <v>52</v>
      </c>
      <c r="N256" s="5" t="s">
        <v>874</v>
      </c>
      <c r="O256" s="5" t="s">
        <v>883</v>
      </c>
      <c r="P256" s="1" t="s">
        <v>884</v>
      </c>
      <c r="Q256" s="1" t="s">
        <v>878</v>
      </c>
      <c r="R256" s="5" t="s">
        <v>610</v>
      </c>
      <c r="S256" s="5" t="s">
        <v>611</v>
      </c>
      <c r="U256" s="5" t="s">
        <v>879</v>
      </c>
      <c r="X256" s="9" t="s">
        <v>880</v>
      </c>
      <c r="Y256" s="5" t="s">
        <v>883</v>
      </c>
      <c r="Z256" s="5" t="s">
        <v>45</v>
      </c>
      <c r="AA256" s="5" t="s">
        <v>46</v>
      </c>
      <c r="AB256" s="5" t="s">
        <v>885</v>
      </c>
      <c r="AC256" s="5" t="s">
        <v>886</v>
      </c>
      <c r="AD256" s="5" t="str">
        <f>_xlfn.CONCAT(Table58911[[#This Row],[&lt;&lt;NOLA&gt;&gt;
NIEM Element]],Table58911[[#This Row],[Repeat Values per attribute]])</f>
        <v>nc:Dateb</v>
      </c>
    </row>
    <row r="257" spans="1:32" ht="30" customHeight="1" x14ac:dyDescent="0.3">
      <c r="A257" s="5">
        <f t="shared" si="18"/>
        <v>256</v>
      </c>
      <c r="B257" s="5">
        <f t="shared" si="23"/>
        <v>14</v>
      </c>
      <c r="C257" s="5">
        <f t="shared" si="23"/>
        <v>50</v>
      </c>
      <c r="D257" s="5">
        <f t="shared" si="20"/>
        <v>138</v>
      </c>
      <c r="E257" s="5" t="s">
        <v>49</v>
      </c>
      <c r="F257" s="5" t="s">
        <v>8</v>
      </c>
      <c r="G257" s="5">
        <v>186</v>
      </c>
      <c r="H257" s="6" t="s">
        <v>864</v>
      </c>
      <c r="I257" s="7" t="s">
        <v>874</v>
      </c>
      <c r="J257" s="5" t="s">
        <v>605</v>
      </c>
      <c r="K257" s="5" t="s">
        <v>875</v>
      </c>
      <c r="L257" s="5" t="s">
        <v>36</v>
      </c>
      <c r="M257" s="8" t="s">
        <v>57</v>
      </c>
      <c r="N257" s="5" t="s">
        <v>874</v>
      </c>
      <c r="O257" s="5" t="s">
        <v>887</v>
      </c>
      <c r="P257" s="1" t="s">
        <v>888</v>
      </c>
      <c r="Q257" s="1" t="s">
        <v>878</v>
      </c>
      <c r="R257" s="5" t="s">
        <v>610</v>
      </c>
      <c r="S257" s="5" t="s">
        <v>611</v>
      </c>
      <c r="U257" s="5" t="s">
        <v>879</v>
      </c>
      <c r="X257" s="9" t="s">
        <v>880</v>
      </c>
      <c r="Y257" s="5" t="s">
        <v>887</v>
      </c>
      <c r="Z257" s="5" t="s">
        <v>45</v>
      </c>
      <c r="AA257" s="5" t="s">
        <v>46</v>
      </c>
      <c r="AB257" s="5" t="s">
        <v>889</v>
      </c>
      <c r="AC257" s="5" t="s">
        <v>890</v>
      </c>
      <c r="AD257" s="5" t="str">
        <f>_xlfn.CONCAT(Table58911[[#This Row],[&lt;&lt;NOLA&gt;&gt;
NIEM Element]],Table58911[[#This Row],[Repeat Values per attribute]])</f>
        <v>nc:Datec</v>
      </c>
    </row>
    <row r="258" spans="1:32" ht="30" customHeight="1" x14ac:dyDescent="0.3">
      <c r="A258" s="5">
        <f t="shared" ref="A258:A321" si="24">ROW(A257)</f>
        <v>257</v>
      </c>
      <c r="B258" s="5">
        <f t="shared" ref="B258:C273" si="25">IF(H257=H258,B257,B257+1)</f>
        <v>14</v>
      </c>
      <c r="C258" s="5">
        <f t="shared" si="25"/>
        <v>50</v>
      </c>
      <c r="D258" s="5">
        <f t="shared" ref="D258:D321" si="26">IF(AD257=AD258,D257,D257+1)</f>
        <v>139</v>
      </c>
      <c r="E258" s="5" t="s">
        <v>32</v>
      </c>
      <c r="F258" s="5" t="s">
        <v>8</v>
      </c>
      <c r="G258" s="5">
        <v>186</v>
      </c>
      <c r="H258" s="6" t="s">
        <v>864</v>
      </c>
      <c r="I258" s="7" t="s">
        <v>874</v>
      </c>
      <c r="J258" s="5" t="s">
        <v>605</v>
      </c>
      <c r="K258" s="5" t="s">
        <v>875</v>
      </c>
      <c r="L258" s="5" t="s">
        <v>36</v>
      </c>
      <c r="M258" s="8" t="s">
        <v>421</v>
      </c>
      <c r="N258" s="5" t="s">
        <v>874</v>
      </c>
      <c r="O258" s="5" t="s">
        <v>891</v>
      </c>
      <c r="P258" s="1" t="s">
        <v>892</v>
      </c>
      <c r="Q258" s="1" t="s">
        <v>878</v>
      </c>
      <c r="R258" s="5" t="s">
        <v>610</v>
      </c>
      <c r="S258" s="5" t="s">
        <v>611</v>
      </c>
      <c r="U258" s="5" t="s">
        <v>879</v>
      </c>
      <c r="X258" s="9" t="s">
        <v>880</v>
      </c>
      <c r="Y258" s="5" t="s">
        <v>891</v>
      </c>
      <c r="Z258" s="5" t="s">
        <v>45</v>
      </c>
      <c r="AA258" s="5" t="s">
        <v>90</v>
      </c>
      <c r="AB258" s="5" t="s">
        <v>881</v>
      </c>
      <c r="AC258" s="5" t="s">
        <v>893</v>
      </c>
      <c r="AD258" s="5" t="str">
        <f>_xlfn.CONCAT(Table58911[[#This Row],[&lt;&lt;NOLA&gt;&gt;
NIEM Element]],Table58911[[#This Row],[Repeat Values per attribute]])</f>
        <v>nc:Datef</v>
      </c>
    </row>
    <row r="259" spans="1:32" ht="30" customHeight="1" x14ac:dyDescent="0.3">
      <c r="A259" s="5">
        <f t="shared" si="24"/>
        <v>258</v>
      </c>
      <c r="B259" s="5">
        <f t="shared" si="25"/>
        <v>14</v>
      </c>
      <c r="C259" s="5">
        <f t="shared" si="25"/>
        <v>51</v>
      </c>
      <c r="D259" s="5">
        <f t="shared" si="26"/>
        <v>140</v>
      </c>
      <c r="E259" s="5" t="s">
        <v>32</v>
      </c>
      <c r="F259" s="5" t="s">
        <v>8</v>
      </c>
      <c r="G259" s="5">
        <v>188</v>
      </c>
      <c r="H259" s="6" t="s">
        <v>864</v>
      </c>
      <c r="I259" s="7" t="s">
        <v>894</v>
      </c>
      <c r="J259" s="5" t="s">
        <v>34</v>
      </c>
      <c r="K259" s="5" t="s">
        <v>895</v>
      </c>
      <c r="L259" s="5" t="s">
        <v>36</v>
      </c>
      <c r="M259" s="8" t="s">
        <v>37</v>
      </c>
      <c r="N259" s="5" t="s">
        <v>894</v>
      </c>
      <c r="O259" s="5" t="s">
        <v>896</v>
      </c>
      <c r="P259" s="5" t="s">
        <v>897</v>
      </c>
      <c r="Q259" s="1" t="s">
        <v>898</v>
      </c>
      <c r="R259" s="5" t="s">
        <v>375</v>
      </c>
      <c r="S259" s="5" t="s">
        <v>159</v>
      </c>
      <c r="U259" s="5" t="s">
        <v>899</v>
      </c>
      <c r="X259" s="9" t="s">
        <v>900</v>
      </c>
      <c r="Y259" s="5" t="s">
        <v>896</v>
      </c>
      <c r="Z259" s="5" t="s">
        <v>45</v>
      </c>
      <c r="AA259" s="5" t="s">
        <v>46</v>
      </c>
      <c r="AB259" s="5" t="s">
        <v>901</v>
      </c>
      <c r="AC259" s="5" t="s">
        <v>902</v>
      </c>
      <c r="AD259" s="5" t="str">
        <f>_xlfn.CONCAT(Table58911[[#This Row],[&lt;&lt;NOLA&gt;&gt;
NIEM Element]],Table58911[[#This Row],[Repeat Values per attribute]])</f>
        <v>nc:IdentificationIDa</v>
      </c>
    </row>
    <row r="260" spans="1:32" ht="30" customHeight="1" x14ac:dyDescent="0.3">
      <c r="A260" s="5">
        <f t="shared" si="24"/>
        <v>259</v>
      </c>
      <c r="B260" s="5">
        <f t="shared" si="25"/>
        <v>14</v>
      </c>
      <c r="C260" s="5">
        <f t="shared" si="25"/>
        <v>51</v>
      </c>
      <c r="D260" s="5">
        <f t="shared" si="26"/>
        <v>141</v>
      </c>
      <c r="E260" s="5" t="s">
        <v>32</v>
      </c>
      <c r="F260" s="5" t="s">
        <v>8</v>
      </c>
      <c r="G260" s="5">
        <v>188</v>
      </c>
      <c r="H260" s="6" t="s">
        <v>864</v>
      </c>
      <c r="I260" s="7" t="s">
        <v>894</v>
      </c>
      <c r="J260" s="5" t="s">
        <v>34</v>
      </c>
      <c r="K260" s="5" t="s">
        <v>895</v>
      </c>
      <c r="L260" s="5" t="s">
        <v>36</v>
      </c>
      <c r="M260" s="8" t="s">
        <v>57</v>
      </c>
      <c r="N260" s="5" t="s">
        <v>894</v>
      </c>
      <c r="O260" s="5" t="s">
        <v>903</v>
      </c>
      <c r="P260" s="1" t="s">
        <v>904</v>
      </c>
      <c r="Q260" s="1" t="s">
        <v>898</v>
      </c>
      <c r="R260" s="5" t="s">
        <v>375</v>
      </c>
      <c r="S260" s="5" t="s">
        <v>159</v>
      </c>
      <c r="U260" s="5" t="s">
        <v>899</v>
      </c>
      <c r="X260" s="9" t="s">
        <v>900</v>
      </c>
      <c r="Y260" s="5" t="s">
        <v>903</v>
      </c>
      <c r="Z260" s="5" t="s">
        <v>45</v>
      </c>
      <c r="AA260" s="5" t="s">
        <v>90</v>
      </c>
      <c r="AB260" s="5" t="s">
        <v>901</v>
      </c>
      <c r="AC260" s="5" t="s">
        <v>905</v>
      </c>
      <c r="AD260" s="5" t="str">
        <f>_xlfn.CONCAT(Table58911[[#This Row],[&lt;&lt;NOLA&gt;&gt;
NIEM Element]],Table58911[[#This Row],[Repeat Values per attribute]])</f>
        <v>nc:IdentificationIDc</v>
      </c>
    </row>
    <row r="261" spans="1:32" ht="30" customHeight="1" x14ac:dyDescent="0.3">
      <c r="A261" s="5">
        <f t="shared" si="24"/>
        <v>260</v>
      </c>
      <c r="B261" s="5">
        <f t="shared" si="25"/>
        <v>14</v>
      </c>
      <c r="C261" s="5">
        <f t="shared" si="25"/>
        <v>52</v>
      </c>
      <c r="D261" s="5">
        <f t="shared" si="26"/>
        <v>142</v>
      </c>
      <c r="E261" s="5" t="s">
        <v>32</v>
      </c>
      <c r="F261" s="5" t="s">
        <v>8</v>
      </c>
      <c r="G261" s="5">
        <v>185</v>
      </c>
      <c r="H261" s="6" t="s">
        <v>864</v>
      </c>
      <c r="I261" s="7" t="s">
        <v>906</v>
      </c>
      <c r="J261" s="5" t="s">
        <v>34</v>
      </c>
      <c r="K261" s="5" t="s">
        <v>907</v>
      </c>
      <c r="L261" s="5" t="s">
        <v>36</v>
      </c>
      <c r="M261" s="8" t="s">
        <v>57</v>
      </c>
      <c r="N261" s="5" t="s">
        <v>906</v>
      </c>
      <c r="O261" s="5" t="s">
        <v>908</v>
      </c>
      <c r="P261" s="1" t="s">
        <v>909</v>
      </c>
      <c r="Q261" s="1" t="s">
        <v>910</v>
      </c>
      <c r="R261" s="5" t="s">
        <v>911</v>
      </c>
      <c r="S261" s="5" t="s">
        <v>159</v>
      </c>
      <c r="U261" s="5" t="s">
        <v>912</v>
      </c>
      <c r="V261" s="5" t="s">
        <v>913</v>
      </c>
      <c r="X261" s="9" t="s">
        <v>912</v>
      </c>
      <c r="Y261" s="5" t="s">
        <v>908</v>
      </c>
      <c r="Z261" s="5" t="s">
        <v>45</v>
      </c>
      <c r="AA261" s="5" t="s">
        <v>90</v>
      </c>
      <c r="AB261" s="5" t="s">
        <v>914</v>
      </c>
      <c r="AC261" s="5" t="s">
        <v>915</v>
      </c>
      <c r="AD261" s="5" t="str">
        <f>_xlfn.CONCAT(Table58911[[#This Row],[&lt;&lt;NOLA&gt;&gt;
NIEM Element]],Table58911[[#This Row],[Repeat Values per attribute]])</f>
        <v>nola-ext:PersonComputerControlIdentifierc</v>
      </c>
    </row>
    <row r="262" spans="1:32" ht="30" customHeight="1" x14ac:dyDescent="0.3">
      <c r="A262" s="5">
        <f t="shared" si="24"/>
        <v>261</v>
      </c>
      <c r="B262" s="5">
        <f t="shared" si="25"/>
        <v>14</v>
      </c>
      <c r="C262" s="5">
        <f t="shared" si="25"/>
        <v>52</v>
      </c>
      <c r="D262" s="5">
        <f t="shared" si="26"/>
        <v>143</v>
      </c>
      <c r="E262" s="5" t="s">
        <v>32</v>
      </c>
      <c r="F262" s="5" t="s">
        <v>8</v>
      </c>
      <c r="G262" s="5">
        <v>185</v>
      </c>
      <c r="H262" s="6" t="s">
        <v>864</v>
      </c>
      <c r="I262" s="7" t="s">
        <v>906</v>
      </c>
      <c r="J262" s="5" t="s">
        <v>34</v>
      </c>
      <c r="K262" s="5" t="s">
        <v>907</v>
      </c>
      <c r="L262" s="5" t="s">
        <v>36</v>
      </c>
      <c r="M262" s="8" t="s">
        <v>49</v>
      </c>
      <c r="N262" s="5" t="s">
        <v>906</v>
      </c>
      <c r="O262" s="5" t="s">
        <v>916</v>
      </c>
      <c r="P262" s="1" t="s">
        <v>917</v>
      </c>
      <c r="Q262" s="1" t="s">
        <v>910</v>
      </c>
      <c r="R262" s="5" t="s">
        <v>911</v>
      </c>
      <c r="S262" s="5" t="s">
        <v>159</v>
      </c>
      <c r="U262" s="5" t="s">
        <v>912</v>
      </c>
      <c r="V262" s="5" t="s">
        <v>913</v>
      </c>
      <c r="X262" s="9" t="s">
        <v>912</v>
      </c>
      <c r="Y262" s="5" t="s">
        <v>916</v>
      </c>
      <c r="Z262" s="5" t="s">
        <v>45</v>
      </c>
      <c r="AA262" s="5" t="s">
        <v>46</v>
      </c>
      <c r="AB262" s="5" t="s">
        <v>914</v>
      </c>
      <c r="AC262" s="5" t="s">
        <v>918</v>
      </c>
      <c r="AD262" s="5" t="str">
        <f>_xlfn.CONCAT(Table58911[[#This Row],[&lt;&lt;NOLA&gt;&gt;
NIEM Element]],Table58911[[#This Row],[Repeat Values per attribute]])</f>
        <v>nola-ext:PersonComputerControlIdentifierd</v>
      </c>
    </row>
    <row r="263" spans="1:32" ht="30" customHeight="1" x14ac:dyDescent="0.3">
      <c r="A263" s="5">
        <f t="shared" si="24"/>
        <v>262</v>
      </c>
      <c r="B263" s="5">
        <f t="shared" si="25"/>
        <v>14</v>
      </c>
      <c r="C263" s="5">
        <f t="shared" si="25"/>
        <v>53</v>
      </c>
      <c r="D263" s="5">
        <f t="shared" si="26"/>
        <v>144</v>
      </c>
      <c r="E263" s="5" t="s">
        <v>32</v>
      </c>
      <c r="F263" s="5" t="s">
        <v>8</v>
      </c>
      <c r="G263" s="5">
        <v>194</v>
      </c>
      <c r="H263" s="6" t="s">
        <v>864</v>
      </c>
      <c r="I263" s="7" t="s">
        <v>919</v>
      </c>
      <c r="J263" s="5" t="s">
        <v>34</v>
      </c>
      <c r="K263" s="5" t="s">
        <v>920</v>
      </c>
      <c r="L263" s="5" t="s">
        <v>36</v>
      </c>
      <c r="M263" s="8" t="s">
        <v>37</v>
      </c>
      <c r="N263" s="5" t="s">
        <v>919</v>
      </c>
      <c r="O263" s="5" t="s">
        <v>921</v>
      </c>
      <c r="P263" s="5" t="s">
        <v>922</v>
      </c>
      <c r="Q263" s="1" t="s">
        <v>923</v>
      </c>
      <c r="R263" s="5" t="s">
        <v>375</v>
      </c>
      <c r="S263" s="5" t="s">
        <v>159</v>
      </c>
      <c r="U263" s="5" t="s">
        <v>924</v>
      </c>
      <c r="X263" s="9" t="s">
        <v>925</v>
      </c>
      <c r="Y263" s="5" t="s">
        <v>921</v>
      </c>
      <c r="Z263" s="5" t="s">
        <v>45</v>
      </c>
      <c r="AA263" s="5" t="s">
        <v>46</v>
      </c>
      <c r="AB263" s="5" t="s">
        <v>926</v>
      </c>
      <c r="AC263" s="5" t="s">
        <v>927</v>
      </c>
      <c r="AD263" s="5" t="str">
        <f>_xlfn.CONCAT(Table58911[[#This Row],[&lt;&lt;NOLA&gt;&gt;
NIEM Element]],Table58911[[#This Row],[Repeat Values per attribute]])</f>
        <v>nc:IdentificationIDa</v>
      </c>
    </row>
    <row r="264" spans="1:32" ht="30" customHeight="1" x14ac:dyDescent="0.3">
      <c r="A264" s="5">
        <f t="shared" si="24"/>
        <v>263</v>
      </c>
      <c r="B264" s="5">
        <f t="shared" si="25"/>
        <v>14</v>
      </c>
      <c r="C264" s="5">
        <f t="shared" si="25"/>
        <v>53</v>
      </c>
      <c r="D264" s="5">
        <f t="shared" si="26"/>
        <v>145</v>
      </c>
      <c r="E264" s="5" t="s">
        <v>32</v>
      </c>
      <c r="F264" s="5" t="s">
        <v>8</v>
      </c>
      <c r="G264" s="5">
        <v>194</v>
      </c>
      <c r="H264" s="6" t="s">
        <v>864</v>
      </c>
      <c r="I264" s="7" t="s">
        <v>919</v>
      </c>
      <c r="J264" s="5" t="s">
        <v>34</v>
      </c>
      <c r="K264" s="5" t="s">
        <v>920</v>
      </c>
      <c r="L264" s="5" t="s">
        <v>36</v>
      </c>
      <c r="M264" s="8" t="s">
        <v>57</v>
      </c>
      <c r="N264" s="5" t="s">
        <v>919</v>
      </c>
      <c r="O264" s="5" t="s">
        <v>928</v>
      </c>
      <c r="P264" s="1" t="s">
        <v>929</v>
      </c>
      <c r="Q264" s="1" t="s">
        <v>923</v>
      </c>
      <c r="R264" s="5" t="s">
        <v>375</v>
      </c>
      <c r="S264" s="5" t="s">
        <v>159</v>
      </c>
      <c r="U264" s="5" t="s">
        <v>924</v>
      </c>
      <c r="X264" s="9" t="s">
        <v>925</v>
      </c>
      <c r="Y264" s="5" t="s">
        <v>928</v>
      </c>
      <c r="Z264" s="5" t="s">
        <v>45</v>
      </c>
      <c r="AA264" s="5" t="s">
        <v>90</v>
      </c>
      <c r="AB264" s="5" t="s">
        <v>926</v>
      </c>
      <c r="AC264" s="5" t="s">
        <v>930</v>
      </c>
      <c r="AD264" s="5" t="str">
        <f>_xlfn.CONCAT(Table58911[[#This Row],[&lt;&lt;NOLA&gt;&gt;
NIEM Element]],Table58911[[#This Row],[Repeat Values per attribute]])</f>
        <v>nc:IdentificationIDc</v>
      </c>
    </row>
    <row r="265" spans="1:32" ht="30" customHeight="1" x14ac:dyDescent="0.3">
      <c r="A265" s="5">
        <f t="shared" si="24"/>
        <v>264</v>
      </c>
      <c r="B265" s="5">
        <f t="shared" si="25"/>
        <v>14</v>
      </c>
      <c r="C265" s="5">
        <f t="shared" si="25"/>
        <v>54</v>
      </c>
      <c r="D265" s="5">
        <f t="shared" si="26"/>
        <v>146</v>
      </c>
      <c r="E265" s="5" t="s">
        <v>32</v>
      </c>
      <c r="F265" s="5" t="s">
        <v>8</v>
      </c>
      <c r="G265" s="5">
        <v>195</v>
      </c>
      <c r="H265" s="6" t="s">
        <v>864</v>
      </c>
      <c r="I265" s="7" t="s">
        <v>931</v>
      </c>
      <c r="J265" s="5" t="s">
        <v>34</v>
      </c>
      <c r="K265" s="5" t="s">
        <v>932</v>
      </c>
      <c r="L265" s="5" t="s">
        <v>36</v>
      </c>
      <c r="M265" s="8" t="s">
        <v>37</v>
      </c>
      <c r="N265" s="5" t="s">
        <v>931</v>
      </c>
      <c r="O265" s="5" t="s">
        <v>933</v>
      </c>
      <c r="P265" s="5" t="s">
        <v>934</v>
      </c>
      <c r="Q265" s="1" t="s">
        <v>935</v>
      </c>
      <c r="R265" s="5" t="s">
        <v>375</v>
      </c>
      <c r="S265" s="5" t="s">
        <v>159</v>
      </c>
      <c r="U265" s="5" t="s">
        <v>936</v>
      </c>
      <c r="X265" s="9" t="s">
        <v>937</v>
      </c>
      <c r="Y265" s="5" t="s">
        <v>933</v>
      </c>
      <c r="Z265" s="5" t="s">
        <v>45</v>
      </c>
      <c r="AA265" s="5" t="s">
        <v>46</v>
      </c>
      <c r="AB265" s="5" t="s">
        <v>938</v>
      </c>
      <c r="AC265" s="5" t="s">
        <v>939</v>
      </c>
      <c r="AD265" s="5" t="str">
        <f>_xlfn.CONCAT(Table58911[[#This Row],[&lt;&lt;NOLA&gt;&gt;
NIEM Element]],Table58911[[#This Row],[Repeat Values per attribute]])</f>
        <v>nc:IdentificationIDa</v>
      </c>
    </row>
    <row r="266" spans="1:32" ht="30" customHeight="1" x14ac:dyDescent="0.3">
      <c r="A266" s="5">
        <f t="shared" si="24"/>
        <v>265</v>
      </c>
      <c r="B266" s="5">
        <f t="shared" si="25"/>
        <v>14</v>
      </c>
      <c r="C266" s="5">
        <f t="shared" si="25"/>
        <v>54</v>
      </c>
      <c r="D266" s="5">
        <f t="shared" si="26"/>
        <v>147</v>
      </c>
      <c r="E266" s="5" t="s">
        <v>32</v>
      </c>
      <c r="F266" s="5" t="s">
        <v>8</v>
      </c>
      <c r="G266" s="5">
        <v>195</v>
      </c>
      <c r="H266" s="6" t="s">
        <v>864</v>
      </c>
      <c r="I266" s="7" t="s">
        <v>931</v>
      </c>
      <c r="J266" s="5" t="s">
        <v>34</v>
      </c>
      <c r="K266" s="5" t="s">
        <v>932</v>
      </c>
      <c r="L266" s="5" t="s">
        <v>36</v>
      </c>
      <c r="M266" s="8" t="s">
        <v>57</v>
      </c>
      <c r="N266" s="5" t="s">
        <v>931</v>
      </c>
      <c r="O266" s="5" t="s">
        <v>940</v>
      </c>
      <c r="P266" s="1" t="s">
        <v>941</v>
      </c>
      <c r="Q266" s="1" t="s">
        <v>935</v>
      </c>
      <c r="R266" s="5" t="s">
        <v>375</v>
      </c>
      <c r="S266" s="5" t="s">
        <v>159</v>
      </c>
      <c r="U266" s="5" t="s">
        <v>936</v>
      </c>
      <c r="X266" s="9" t="s">
        <v>937</v>
      </c>
      <c r="Y266" s="5" t="s">
        <v>940</v>
      </c>
      <c r="Z266" s="5" t="s">
        <v>45</v>
      </c>
      <c r="AA266" s="5" t="s">
        <v>90</v>
      </c>
      <c r="AB266" s="5" t="s">
        <v>938</v>
      </c>
      <c r="AC266" s="5" t="s">
        <v>942</v>
      </c>
      <c r="AD266" s="5" t="str">
        <f>_xlfn.CONCAT(Table58911[[#This Row],[&lt;&lt;NOLA&gt;&gt;
NIEM Element]],Table58911[[#This Row],[Repeat Values per attribute]])</f>
        <v>nc:IdentificationIDc</v>
      </c>
    </row>
    <row r="267" spans="1:32" ht="30" customHeight="1" x14ac:dyDescent="0.3">
      <c r="A267" s="5">
        <f t="shared" si="24"/>
        <v>266</v>
      </c>
      <c r="B267" s="5">
        <f t="shared" si="25"/>
        <v>14</v>
      </c>
      <c r="C267" s="5">
        <f t="shared" si="25"/>
        <v>55</v>
      </c>
      <c r="D267" s="5">
        <f t="shared" si="26"/>
        <v>148</v>
      </c>
      <c r="E267" s="5" t="s">
        <v>32</v>
      </c>
      <c r="F267" s="5" t="s">
        <v>8</v>
      </c>
      <c r="G267" s="5">
        <v>198</v>
      </c>
      <c r="H267" s="6" t="s">
        <v>864</v>
      </c>
      <c r="I267" s="7" t="s">
        <v>943</v>
      </c>
      <c r="J267" s="5" t="s">
        <v>34</v>
      </c>
      <c r="K267" s="5" t="s">
        <v>944</v>
      </c>
      <c r="L267" s="5" t="s">
        <v>36</v>
      </c>
      <c r="M267" s="8" t="s">
        <v>37</v>
      </c>
      <c r="N267" s="5" t="s">
        <v>943</v>
      </c>
      <c r="O267" s="5" t="s">
        <v>945</v>
      </c>
      <c r="P267" s="5" t="s">
        <v>946</v>
      </c>
      <c r="Q267" s="1" t="s">
        <v>947</v>
      </c>
      <c r="R267" s="5" t="s">
        <v>41</v>
      </c>
      <c r="S267" s="5" t="s">
        <v>42</v>
      </c>
      <c r="U267" s="5" t="s">
        <v>948</v>
      </c>
      <c r="X267" s="9" t="s">
        <v>108</v>
      </c>
      <c r="Y267" s="5" t="s">
        <v>945</v>
      </c>
      <c r="Z267" s="5" t="s">
        <v>45</v>
      </c>
      <c r="AA267" s="5" t="s">
        <v>46</v>
      </c>
      <c r="AB267" s="5" t="s">
        <v>949</v>
      </c>
      <c r="AC267" s="5" t="s">
        <v>950</v>
      </c>
      <c r="AD267" s="5" t="str">
        <f>_xlfn.CONCAT(Table58911[[#This Row],[&lt;&lt;NOLA&gt;&gt;
NIEM Element]],Table58911[[#This Row],[Repeat Values per attribute]])</f>
        <v>nc:AddressFullTexta</v>
      </c>
    </row>
    <row r="268" spans="1:32" ht="30" customHeight="1" x14ac:dyDescent="0.3">
      <c r="A268" s="5">
        <f t="shared" si="24"/>
        <v>267</v>
      </c>
      <c r="B268" s="5">
        <f t="shared" si="25"/>
        <v>14</v>
      </c>
      <c r="C268" s="5">
        <f t="shared" si="25"/>
        <v>55</v>
      </c>
      <c r="D268" s="5">
        <f t="shared" si="26"/>
        <v>149</v>
      </c>
      <c r="E268" s="5" t="s">
        <v>32</v>
      </c>
      <c r="F268" s="5" t="s">
        <v>8</v>
      </c>
      <c r="G268" s="5">
        <v>198</v>
      </c>
      <c r="H268" s="6" t="s">
        <v>864</v>
      </c>
      <c r="I268" s="7" t="s">
        <v>943</v>
      </c>
      <c r="J268" s="5" t="s">
        <v>34</v>
      </c>
      <c r="K268" s="5" t="s">
        <v>944</v>
      </c>
      <c r="L268" s="5" t="s">
        <v>36</v>
      </c>
      <c r="M268" s="8" t="s">
        <v>57</v>
      </c>
      <c r="N268" s="5" t="s">
        <v>943</v>
      </c>
      <c r="O268" s="5" t="s">
        <v>951</v>
      </c>
      <c r="P268" s="1" t="s">
        <v>952</v>
      </c>
      <c r="Q268" s="1" t="s">
        <v>947</v>
      </c>
      <c r="R268" s="5" t="s">
        <v>41</v>
      </c>
      <c r="S268" s="5" t="s">
        <v>42</v>
      </c>
      <c r="U268" s="5" t="s">
        <v>948</v>
      </c>
      <c r="X268" s="9" t="s">
        <v>108</v>
      </c>
      <c r="Y268" s="5" t="s">
        <v>951</v>
      </c>
      <c r="Z268" s="5" t="s">
        <v>45</v>
      </c>
      <c r="AA268" s="5" t="s">
        <v>90</v>
      </c>
      <c r="AB268" s="5" t="s">
        <v>205</v>
      </c>
      <c r="AC268" s="5" t="s">
        <v>953</v>
      </c>
      <c r="AD268" s="5" t="str">
        <f>_xlfn.CONCAT(Table58911[[#This Row],[&lt;&lt;NOLA&gt;&gt;
NIEM Element]],Table58911[[#This Row],[Repeat Values per attribute]])</f>
        <v>nc:AddressFullTextc</v>
      </c>
    </row>
    <row r="269" spans="1:32" ht="30" customHeight="1" x14ac:dyDescent="0.3">
      <c r="A269" s="5">
        <f t="shared" si="24"/>
        <v>268</v>
      </c>
      <c r="B269" s="5">
        <f t="shared" si="25"/>
        <v>15</v>
      </c>
      <c r="C269" s="5">
        <f t="shared" si="25"/>
        <v>56</v>
      </c>
      <c r="D269" s="5">
        <f t="shared" si="26"/>
        <v>150</v>
      </c>
      <c r="E269" s="5" t="s">
        <v>32</v>
      </c>
      <c r="F269" s="5" t="s">
        <v>8</v>
      </c>
      <c r="G269" s="5">
        <v>256</v>
      </c>
      <c r="H269" s="6" t="s">
        <v>954</v>
      </c>
      <c r="I269" s="7" t="s">
        <v>955</v>
      </c>
      <c r="J269" s="5" t="s">
        <v>34</v>
      </c>
      <c r="K269" s="5" t="s">
        <v>956</v>
      </c>
      <c r="L269" s="5" t="s">
        <v>36</v>
      </c>
      <c r="M269" s="8" t="s">
        <v>37</v>
      </c>
      <c r="N269" s="5" t="s">
        <v>955</v>
      </c>
      <c r="O269" s="5" t="s">
        <v>957</v>
      </c>
      <c r="P269" s="5" t="s">
        <v>958</v>
      </c>
      <c r="Q269" s="1" t="s">
        <v>959</v>
      </c>
      <c r="R269" s="5" t="s">
        <v>960</v>
      </c>
      <c r="S269" s="5" t="s">
        <v>961</v>
      </c>
      <c r="T269" s="5" t="s">
        <v>962</v>
      </c>
      <c r="U269" s="1" t="s">
        <v>963</v>
      </c>
      <c r="X269" s="9" t="s">
        <v>964</v>
      </c>
      <c r="Y269" s="5" t="s">
        <v>957</v>
      </c>
      <c r="Z269" s="5" t="s">
        <v>45</v>
      </c>
      <c r="AA269" s="5" t="s">
        <v>46</v>
      </c>
      <c r="AB269" s="5" t="s">
        <v>965</v>
      </c>
      <c r="AC269" s="5" t="s">
        <v>966</v>
      </c>
      <c r="AD269" s="5" t="str">
        <f>_xlfn.CONCAT(Table58911[[#This Row],[&lt;&lt;NOLA&gt;&gt;
NIEM Element]],Table58911[[#This Row],[Repeat Values per attribute]])</f>
        <v>nc:PersonGivenNamea</v>
      </c>
      <c r="AF269" s="11" t="s">
        <v>264</v>
      </c>
    </row>
    <row r="270" spans="1:32" ht="30" customHeight="1" x14ac:dyDescent="0.3">
      <c r="A270" s="5">
        <f t="shared" si="24"/>
        <v>269</v>
      </c>
      <c r="B270" s="5">
        <f t="shared" si="25"/>
        <v>15</v>
      </c>
      <c r="C270" s="5">
        <f t="shared" si="25"/>
        <v>56</v>
      </c>
      <c r="D270" s="5">
        <f t="shared" si="26"/>
        <v>150</v>
      </c>
      <c r="E270" s="5" t="s">
        <v>49</v>
      </c>
      <c r="F270" s="5" t="s">
        <v>8</v>
      </c>
      <c r="G270" s="5">
        <v>256</v>
      </c>
      <c r="H270" s="6" t="s">
        <v>954</v>
      </c>
      <c r="I270" s="7" t="s">
        <v>955</v>
      </c>
      <c r="J270" s="5" t="s">
        <v>34</v>
      </c>
      <c r="K270" s="5" t="s">
        <v>956</v>
      </c>
      <c r="L270" s="5" t="s">
        <v>36</v>
      </c>
      <c r="M270" s="8" t="s">
        <v>37</v>
      </c>
      <c r="N270" s="5" t="s">
        <v>955</v>
      </c>
      <c r="O270" s="5" t="s">
        <v>957</v>
      </c>
      <c r="P270" s="5" t="s">
        <v>958</v>
      </c>
      <c r="Q270" s="1" t="s">
        <v>959</v>
      </c>
      <c r="R270" s="5" t="s">
        <v>960</v>
      </c>
      <c r="S270" s="5" t="s">
        <v>961</v>
      </c>
      <c r="T270" s="5" t="s">
        <v>962</v>
      </c>
      <c r="U270" s="1" t="s">
        <v>963</v>
      </c>
      <c r="X270" s="9" t="s">
        <v>967</v>
      </c>
      <c r="Y270" s="5" t="s">
        <v>957</v>
      </c>
      <c r="Z270" s="5" t="s">
        <v>45</v>
      </c>
      <c r="AA270" s="5" t="s">
        <v>46</v>
      </c>
      <c r="AB270" s="5" t="s">
        <v>965</v>
      </c>
      <c r="AC270" s="5" t="s">
        <v>966</v>
      </c>
      <c r="AD270" s="5" t="str">
        <f>_xlfn.CONCAT(Table58911[[#This Row],[&lt;&lt;NOLA&gt;&gt;
NIEM Element]],Table58911[[#This Row],[Repeat Values per attribute]])</f>
        <v>nc:PersonGivenNamea</v>
      </c>
    </row>
    <row r="271" spans="1:32" ht="30" customHeight="1" x14ac:dyDescent="0.3">
      <c r="A271" s="5">
        <f t="shared" si="24"/>
        <v>270</v>
      </c>
      <c r="B271" s="5">
        <f t="shared" si="25"/>
        <v>15</v>
      </c>
      <c r="C271" s="5">
        <f t="shared" si="25"/>
        <v>56</v>
      </c>
      <c r="D271" s="5">
        <f t="shared" si="26"/>
        <v>150</v>
      </c>
      <c r="E271" s="5" t="s">
        <v>49</v>
      </c>
      <c r="F271" s="5" t="s">
        <v>8</v>
      </c>
      <c r="G271" s="5">
        <v>256</v>
      </c>
      <c r="H271" s="6" t="s">
        <v>954</v>
      </c>
      <c r="I271" s="7" t="s">
        <v>955</v>
      </c>
      <c r="J271" s="5" t="s">
        <v>34</v>
      </c>
      <c r="K271" s="5" t="s">
        <v>956</v>
      </c>
      <c r="L271" s="5" t="s">
        <v>36</v>
      </c>
      <c r="M271" s="8" t="s">
        <v>37</v>
      </c>
      <c r="N271" s="5" t="s">
        <v>955</v>
      </c>
      <c r="O271" s="5" t="s">
        <v>957</v>
      </c>
      <c r="P271" s="5" t="s">
        <v>958</v>
      </c>
      <c r="Q271" s="1" t="s">
        <v>959</v>
      </c>
      <c r="R271" s="5" t="s">
        <v>960</v>
      </c>
      <c r="S271" s="5" t="s">
        <v>961</v>
      </c>
      <c r="T271" s="5" t="s">
        <v>962</v>
      </c>
      <c r="U271" s="1" t="s">
        <v>963</v>
      </c>
      <c r="X271" s="9" t="s">
        <v>968</v>
      </c>
      <c r="Y271" s="5" t="s">
        <v>957</v>
      </c>
      <c r="Z271" s="5" t="s">
        <v>45</v>
      </c>
      <c r="AA271" s="5" t="s">
        <v>46</v>
      </c>
      <c r="AB271" s="5" t="s">
        <v>965</v>
      </c>
      <c r="AC271" s="5" t="s">
        <v>966</v>
      </c>
      <c r="AD271" s="5" t="str">
        <f>_xlfn.CONCAT(Table58911[[#This Row],[&lt;&lt;NOLA&gt;&gt;
NIEM Element]],Table58911[[#This Row],[Repeat Values per attribute]])</f>
        <v>nc:PersonGivenNamea</v>
      </c>
    </row>
    <row r="272" spans="1:32" ht="30" customHeight="1" x14ac:dyDescent="0.3">
      <c r="A272" s="5">
        <f t="shared" si="24"/>
        <v>271</v>
      </c>
      <c r="B272" s="5">
        <f t="shared" si="25"/>
        <v>15</v>
      </c>
      <c r="C272" s="5">
        <f t="shared" si="25"/>
        <v>56</v>
      </c>
      <c r="D272" s="5">
        <f t="shared" si="26"/>
        <v>151</v>
      </c>
      <c r="E272" s="5" t="s">
        <v>32</v>
      </c>
      <c r="F272" s="5" t="s">
        <v>8</v>
      </c>
      <c r="G272" s="5">
        <v>256</v>
      </c>
      <c r="H272" s="6" t="s">
        <v>954</v>
      </c>
      <c r="I272" s="7" t="s">
        <v>955</v>
      </c>
      <c r="J272" s="5" t="s">
        <v>34</v>
      </c>
      <c r="K272" s="5" t="s">
        <v>956</v>
      </c>
      <c r="L272" s="5" t="s">
        <v>36</v>
      </c>
      <c r="M272" s="8" t="s">
        <v>52</v>
      </c>
      <c r="N272" s="5" t="s">
        <v>955</v>
      </c>
      <c r="O272" s="5" t="s">
        <v>969</v>
      </c>
      <c r="P272" s="1" t="s">
        <v>970</v>
      </c>
      <c r="Q272" s="1" t="s">
        <v>959</v>
      </c>
      <c r="R272" s="5" t="s">
        <v>960</v>
      </c>
      <c r="S272" s="5" t="s">
        <v>961</v>
      </c>
      <c r="T272" s="5" t="s">
        <v>962</v>
      </c>
      <c r="U272" s="1" t="s">
        <v>963</v>
      </c>
      <c r="X272" s="9" t="s">
        <v>971</v>
      </c>
      <c r="Y272" s="5" t="s">
        <v>969</v>
      </c>
      <c r="Z272" s="5" t="s">
        <v>45</v>
      </c>
      <c r="AA272" s="5" t="s">
        <v>46</v>
      </c>
      <c r="AB272" s="5" t="s">
        <v>972</v>
      </c>
      <c r="AC272" s="5" t="s">
        <v>973</v>
      </c>
      <c r="AD272" s="5" t="str">
        <f>_xlfn.CONCAT(Table58911[[#This Row],[&lt;&lt;NOLA&gt;&gt;
NIEM Element]],Table58911[[#This Row],[Repeat Values per attribute]])</f>
        <v>nc:PersonGivenNameb</v>
      </c>
    </row>
    <row r="273" spans="1:30" ht="30" customHeight="1" x14ac:dyDescent="0.3">
      <c r="A273" s="5">
        <f t="shared" si="24"/>
        <v>272</v>
      </c>
      <c r="B273" s="5">
        <f t="shared" si="25"/>
        <v>15</v>
      </c>
      <c r="C273" s="5">
        <f t="shared" si="25"/>
        <v>56</v>
      </c>
      <c r="D273" s="5">
        <f t="shared" si="26"/>
        <v>151</v>
      </c>
      <c r="E273" s="5" t="s">
        <v>49</v>
      </c>
      <c r="F273" s="5" t="s">
        <v>8</v>
      </c>
      <c r="G273" s="5">
        <v>256</v>
      </c>
      <c r="H273" s="6" t="s">
        <v>954</v>
      </c>
      <c r="I273" s="7" t="s">
        <v>955</v>
      </c>
      <c r="J273" s="5" t="s">
        <v>34</v>
      </c>
      <c r="K273" s="5" t="s">
        <v>956</v>
      </c>
      <c r="L273" s="5" t="s">
        <v>36</v>
      </c>
      <c r="M273" s="8" t="s">
        <v>52</v>
      </c>
      <c r="N273" s="5" t="s">
        <v>955</v>
      </c>
      <c r="O273" s="5" t="s">
        <v>969</v>
      </c>
      <c r="P273" s="1" t="s">
        <v>970</v>
      </c>
      <c r="Q273" s="1" t="s">
        <v>959</v>
      </c>
      <c r="R273" s="5" t="s">
        <v>960</v>
      </c>
      <c r="S273" s="5" t="s">
        <v>961</v>
      </c>
      <c r="T273" s="5" t="s">
        <v>962</v>
      </c>
      <c r="U273" s="1" t="s">
        <v>963</v>
      </c>
      <c r="X273" s="9"/>
      <c r="Y273" s="5" t="s">
        <v>969</v>
      </c>
      <c r="Z273" s="5" t="s">
        <v>45</v>
      </c>
      <c r="AA273" s="5" t="s">
        <v>46</v>
      </c>
      <c r="AB273" s="5" t="s">
        <v>972</v>
      </c>
      <c r="AC273" s="5" t="s">
        <v>973</v>
      </c>
      <c r="AD273" s="5" t="str">
        <f>_xlfn.CONCAT(Table58911[[#This Row],[&lt;&lt;NOLA&gt;&gt;
NIEM Element]],Table58911[[#This Row],[Repeat Values per attribute]])</f>
        <v>nc:PersonGivenNameb</v>
      </c>
    </row>
    <row r="274" spans="1:30" ht="30" customHeight="1" x14ac:dyDescent="0.3">
      <c r="A274" s="5">
        <f t="shared" si="24"/>
        <v>273</v>
      </c>
      <c r="B274" s="5">
        <f t="shared" ref="B274:C289" si="27">IF(H273=H274,B273,B273+1)</f>
        <v>15</v>
      </c>
      <c r="C274" s="5">
        <f t="shared" si="27"/>
        <v>56</v>
      </c>
      <c r="D274" s="5">
        <f t="shared" si="26"/>
        <v>151</v>
      </c>
      <c r="E274" s="5" t="s">
        <v>49</v>
      </c>
      <c r="F274" s="5" t="s">
        <v>8</v>
      </c>
      <c r="G274" s="5">
        <v>256</v>
      </c>
      <c r="H274" s="6" t="s">
        <v>954</v>
      </c>
      <c r="I274" s="7" t="s">
        <v>955</v>
      </c>
      <c r="J274" s="5" t="s">
        <v>34</v>
      </c>
      <c r="K274" s="5" t="s">
        <v>956</v>
      </c>
      <c r="L274" s="5" t="s">
        <v>36</v>
      </c>
      <c r="M274" s="8" t="s">
        <v>52</v>
      </c>
      <c r="N274" s="5" t="s">
        <v>955</v>
      </c>
      <c r="O274" s="5" t="s">
        <v>969</v>
      </c>
      <c r="P274" s="1" t="s">
        <v>970</v>
      </c>
      <c r="Q274" s="1" t="s">
        <v>959</v>
      </c>
      <c r="R274" s="5" t="s">
        <v>960</v>
      </c>
      <c r="S274" s="5" t="s">
        <v>961</v>
      </c>
      <c r="T274" s="5" t="s">
        <v>962</v>
      </c>
      <c r="U274" s="1" t="s">
        <v>963</v>
      </c>
      <c r="X274" s="9"/>
      <c r="Y274" s="5" t="s">
        <v>969</v>
      </c>
      <c r="Z274" s="5" t="s">
        <v>45</v>
      </c>
      <c r="AA274" s="5" t="s">
        <v>46</v>
      </c>
      <c r="AB274" s="5" t="s">
        <v>972</v>
      </c>
      <c r="AC274" s="5" t="s">
        <v>973</v>
      </c>
      <c r="AD274" s="5" t="str">
        <f>_xlfn.CONCAT(Table58911[[#This Row],[&lt;&lt;NOLA&gt;&gt;
NIEM Element]],Table58911[[#This Row],[Repeat Values per attribute]])</f>
        <v>nc:PersonGivenNameb</v>
      </c>
    </row>
    <row r="275" spans="1:30" ht="30" customHeight="1" x14ac:dyDescent="0.3">
      <c r="A275" s="5">
        <f t="shared" si="24"/>
        <v>274</v>
      </c>
      <c r="B275" s="5">
        <f t="shared" si="27"/>
        <v>15</v>
      </c>
      <c r="C275" s="5">
        <f t="shared" si="27"/>
        <v>56</v>
      </c>
      <c r="D275" s="5">
        <f t="shared" si="26"/>
        <v>152</v>
      </c>
      <c r="E275" s="5" t="s">
        <v>32</v>
      </c>
      <c r="F275" s="5" t="s">
        <v>8</v>
      </c>
      <c r="G275" s="5">
        <v>256</v>
      </c>
      <c r="H275" s="6" t="s">
        <v>954</v>
      </c>
      <c r="I275" s="7" t="s">
        <v>955</v>
      </c>
      <c r="J275" s="5" t="s">
        <v>34</v>
      </c>
      <c r="K275" s="5" t="s">
        <v>956</v>
      </c>
      <c r="L275" s="5" t="s">
        <v>36</v>
      </c>
      <c r="M275" s="8" t="s">
        <v>57</v>
      </c>
      <c r="N275" s="5" t="s">
        <v>955</v>
      </c>
      <c r="O275" s="5" t="s">
        <v>974</v>
      </c>
      <c r="P275" s="1" t="s">
        <v>975</v>
      </c>
      <c r="Q275" s="1" t="s">
        <v>959</v>
      </c>
      <c r="R275" s="5" t="s">
        <v>960</v>
      </c>
      <c r="S275" s="5" t="s">
        <v>961</v>
      </c>
      <c r="T275" s="5" t="s">
        <v>962</v>
      </c>
      <c r="U275" s="1" t="s">
        <v>963</v>
      </c>
      <c r="X275" s="9" t="s">
        <v>976</v>
      </c>
      <c r="Y275" s="5" t="s">
        <v>974</v>
      </c>
      <c r="Z275" s="5" t="s">
        <v>45</v>
      </c>
      <c r="AA275" s="5" t="s">
        <v>46</v>
      </c>
      <c r="AB275" s="5" t="s">
        <v>977</v>
      </c>
      <c r="AC275" s="5" t="s">
        <v>978</v>
      </c>
      <c r="AD275" s="5" t="str">
        <f>_xlfn.CONCAT(Table58911[[#This Row],[&lt;&lt;NOLA&gt;&gt;
NIEM Element]],Table58911[[#This Row],[Repeat Values per attribute]])</f>
        <v>nc:PersonGivenNamec</v>
      </c>
    </row>
    <row r="276" spans="1:30" ht="30" customHeight="1" x14ac:dyDescent="0.3">
      <c r="A276" s="5">
        <f t="shared" si="24"/>
        <v>275</v>
      </c>
      <c r="B276" s="5">
        <f t="shared" si="27"/>
        <v>15</v>
      </c>
      <c r="C276" s="5">
        <f t="shared" si="27"/>
        <v>56</v>
      </c>
      <c r="D276" s="5">
        <f t="shared" si="26"/>
        <v>152</v>
      </c>
      <c r="E276" s="5" t="s">
        <v>49</v>
      </c>
      <c r="F276" s="5" t="s">
        <v>8</v>
      </c>
      <c r="G276" s="5">
        <v>256</v>
      </c>
      <c r="H276" s="6" t="s">
        <v>954</v>
      </c>
      <c r="I276" s="7" t="s">
        <v>955</v>
      </c>
      <c r="J276" s="5" t="s">
        <v>34</v>
      </c>
      <c r="K276" s="5" t="s">
        <v>956</v>
      </c>
      <c r="L276" s="5" t="s">
        <v>36</v>
      </c>
      <c r="M276" s="8" t="s">
        <v>57</v>
      </c>
      <c r="N276" s="5" t="s">
        <v>955</v>
      </c>
      <c r="O276" s="5" t="s">
        <v>974</v>
      </c>
      <c r="P276" s="1" t="s">
        <v>975</v>
      </c>
      <c r="Q276" s="1" t="s">
        <v>959</v>
      </c>
      <c r="R276" s="5" t="s">
        <v>960</v>
      </c>
      <c r="S276" s="5" t="s">
        <v>961</v>
      </c>
      <c r="T276" s="5" t="s">
        <v>962</v>
      </c>
      <c r="U276" s="1" t="s">
        <v>963</v>
      </c>
      <c r="X276" s="9"/>
      <c r="Y276" s="5" t="s">
        <v>974</v>
      </c>
      <c r="Z276" s="5" t="s">
        <v>45</v>
      </c>
      <c r="AA276" s="5" t="s">
        <v>46</v>
      </c>
      <c r="AB276" s="5" t="s">
        <v>977</v>
      </c>
      <c r="AC276" s="5" t="s">
        <v>978</v>
      </c>
      <c r="AD276" s="5" t="str">
        <f>_xlfn.CONCAT(Table58911[[#This Row],[&lt;&lt;NOLA&gt;&gt;
NIEM Element]],Table58911[[#This Row],[Repeat Values per attribute]])</f>
        <v>nc:PersonGivenNamec</v>
      </c>
    </row>
    <row r="277" spans="1:30" ht="30" customHeight="1" x14ac:dyDescent="0.3">
      <c r="A277" s="5">
        <f t="shared" si="24"/>
        <v>276</v>
      </c>
      <c r="B277" s="5">
        <f t="shared" si="27"/>
        <v>15</v>
      </c>
      <c r="C277" s="5">
        <f t="shared" si="27"/>
        <v>56</v>
      </c>
      <c r="D277" s="5">
        <f t="shared" si="26"/>
        <v>152</v>
      </c>
      <c r="E277" s="5" t="s">
        <v>49</v>
      </c>
      <c r="F277" s="5" t="s">
        <v>8</v>
      </c>
      <c r="G277" s="5">
        <v>256</v>
      </c>
      <c r="H277" s="6" t="s">
        <v>954</v>
      </c>
      <c r="I277" s="7" t="s">
        <v>955</v>
      </c>
      <c r="J277" s="5" t="s">
        <v>34</v>
      </c>
      <c r="K277" s="5" t="s">
        <v>956</v>
      </c>
      <c r="L277" s="5" t="s">
        <v>36</v>
      </c>
      <c r="M277" s="8" t="s">
        <v>57</v>
      </c>
      <c r="N277" s="5" t="s">
        <v>955</v>
      </c>
      <c r="O277" s="5" t="s">
        <v>974</v>
      </c>
      <c r="P277" s="1" t="s">
        <v>975</v>
      </c>
      <c r="Q277" s="1" t="s">
        <v>959</v>
      </c>
      <c r="R277" s="5" t="s">
        <v>960</v>
      </c>
      <c r="S277" s="5" t="s">
        <v>961</v>
      </c>
      <c r="T277" s="5" t="s">
        <v>962</v>
      </c>
      <c r="U277" s="1" t="s">
        <v>963</v>
      </c>
      <c r="X277" s="9"/>
      <c r="Y277" s="5" t="s">
        <v>974</v>
      </c>
      <c r="Z277" s="5" t="s">
        <v>45</v>
      </c>
      <c r="AA277" s="5" t="s">
        <v>46</v>
      </c>
      <c r="AB277" s="5" t="s">
        <v>977</v>
      </c>
      <c r="AC277" s="5" t="s">
        <v>978</v>
      </c>
      <c r="AD277" s="5" t="str">
        <f>_xlfn.CONCAT(Table58911[[#This Row],[&lt;&lt;NOLA&gt;&gt;
NIEM Element]],Table58911[[#This Row],[Repeat Values per attribute]])</f>
        <v>nc:PersonGivenNamec</v>
      </c>
    </row>
    <row r="278" spans="1:30" ht="30" customHeight="1" x14ac:dyDescent="0.3">
      <c r="A278" s="5">
        <f t="shared" si="24"/>
        <v>277</v>
      </c>
      <c r="B278" s="5">
        <f t="shared" si="27"/>
        <v>15</v>
      </c>
      <c r="C278" s="5">
        <f t="shared" si="27"/>
        <v>56</v>
      </c>
      <c r="D278" s="5">
        <f t="shared" si="26"/>
        <v>153</v>
      </c>
      <c r="E278" s="5" t="s">
        <v>49</v>
      </c>
      <c r="F278" s="5" t="s">
        <v>8</v>
      </c>
      <c r="G278" s="5">
        <v>256</v>
      </c>
      <c r="H278" s="6" t="s">
        <v>954</v>
      </c>
      <c r="I278" s="7" t="s">
        <v>955</v>
      </c>
      <c r="J278" s="5" t="s">
        <v>34</v>
      </c>
      <c r="K278" s="5" t="s">
        <v>956</v>
      </c>
      <c r="L278" s="5" t="s">
        <v>36</v>
      </c>
      <c r="M278" s="8" t="s">
        <v>49</v>
      </c>
      <c r="N278" s="5" t="s">
        <v>955</v>
      </c>
      <c r="O278" s="5" t="s">
        <v>979</v>
      </c>
      <c r="P278" s="1" t="s">
        <v>980</v>
      </c>
      <c r="Q278" s="1" t="s">
        <v>959</v>
      </c>
      <c r="R278" s="5" t="s">
        <v>960</v>
      </c>
      <c r="S278" s="5" t="s">
        <v>961</v>
      </c>
      <c r="T278" s="5" t="s">
        <v>962</v>
      </c>
      <c r="U278" s="1" t="s">
        <v>963</v>
      </c>
      <c r="X278" s="9" t="s">
        <v>964</v>
      </c>
      <c r="Y278" s="5" t="s">
        <v>979</v>
      </c>
      <c r="Z278" s="5" t="s">
        <v>45</v>
      </c>
      <c r="AA278" s="5" t="s">
        <v>46</v>
      </c>
      <c r="AB278" s="5" t="s">
        <v>981</v>
      </c>
      <c r="AC278" s="5" t="s">
        <v>982</v>
      </c>
      <c r="AD278" s="5" t="str">
        <f>_xlfn.CONCAT(Table58911[[#This Row],[&lt;&lt;NOLA&gt;&gt;
NIEM Element]],Table58911[[#This Row],[Repeat Values per attribute]])</f>
        <v>nc:PersonGivenNamed</v>
      </c>
    </row>
    <row r="279" spans="1:30" ht="30" customHeight="1" x14ac:dyDescent="0.3">
      <c r="A279" s="5">
        <f t="shared" si="24"/>
        <v>278</v>
      </c>
      <c r="B279" s="5">
        <f t="shared" si="27"/>
        <v>15</v>
      </c>
      <c r="C279" s="5">
        <f t="shared" si="27"/>
        <v>56</v>
      </c>
      <c r="D279" s="5">
        <f t="shared" si="26"/>
        <v>153</v>
      </c>
      <c r="E279" s="5" t="s">
        <v>49</v>
      </c>
      <c r="F279" s="5" t="s">
        <v>8</v>
      </c>
      <c r="G279" s="5">
        <v>256</v>
      </c>
      <c r="H279" s="6" t="s">
        <v>954</v>
      </c>
      <c r="I279" s="7" t="s">
        <v>955</v>
      </c>
      <c r="J279" s="5" t="s">
        <v>34</v>
      </c>
      <c r="K279" s="5" t="s">
        <v>956</v>
      </c>
      <c r="L279" s="5" t="s">
        <v>36</v>
      </c>
      <c r="M279" s="8" t="s">
        <v>49</v>
      </c>
      <c r="N279" s="5" t="s">
        <v>955</v>
      </c>
      <c r="O279" s="5" t="s">
        <v>979</v>
      </c>
      <c r="P279" s="1" t="s">
        <v>980</v>
      </c>
      <c r="Q279" s="1" t="s">
        <v>959</v>
      </c>
      <c r="R279" s="5" t="s">
        <v>960</v>
      </c>
      <c r="S279" s="5" t="s">
        <v>961</v>
      </c>
      <c r="T279" s="5" t="s">
        <v>962</v>
      </c>
      <c r="U279" s="1" t="s">
        <v>963</v>
      </c>
      <c r="X279" s="9" t="s">
        <v>967</v>
      </c>
      <c r="Y279" s="5" t="s">
        <v>979</v>
      </c>
      <c r="Z279" s="5" t="s">
        <v>45</v>
      </c>
      <c r="AA279" s="5" t="s">
        <v>46</v>
      </c>
      <c r="AB279" s="5" t="s">
        <v>981</v>
      </c>
      <c r="AC279" s="5" t="s">
        <v>982</v>
      </c>
      <c r="AD279" s="5" t="str">
        <f>_xlfn.CONCAT(Table58911[[#This Row],[&lt;&lt;NOLA&gt;&gt;
NIEM Element]],Table58911[[#This Row],[Repeat Values per attribute]])</f>
        <v>nc:PersonGivenNamed</v>
      </c>
    </row>
    <row r="280" spans="1:30" ht="30" customHeight="1" x14ac:dyDescent="0.3">
      <c r="A280" s="5">
        <f t="shared" si="24"/>
        <v>279</v>
      </c>
      <c r="B280" s="5">
        <f t="shared" si="27"/>
        <v>15</v>
      </c>
      <c r="C280" s="5">
        <f t="shared" si="27"/>
        <v>56</v>
      </c>
      <c r="D280" s="5">
        <f t="shared" si="26"/>
        <v>153</v>
      </c>
      <c r="E280" s="5" t="s">
        <v>49</v>
      </c>
      <c r="F280" s="5" t="s">
        <v>8</v>
      </c>
      <c r="G280" s="5">
        <v>256</v>
      </c>
      <c r="H280" s="6" t="s">
        <v>954</v>
      </c>
      <c r="I280" s="7" t="s">
        <v>955</v>
      </c>
      <c r="J280" s="5" t="s">
        <v>34</v>
      </c>
      <c r="K280" s="5" t="s">
        <v>956</v>
      </c>
      <c r="L280" s="5" t="s">
        <v>36</v>
      </c>
      <c r="M280" s="8" t="s">
        <v>49</v>
      </c>
      <c r="N280" s="5" t="s">
        <v>955</v>
      </c>
      <c r="O280" s="5" t="s">
        <v>979</v>
      </c>
      <c r="P280" s="1" t="s">
        <v>980</v>
      </c>
      <c r="Q280" s="1" t="s">
        <v>959</v>
      </c>
      <c r="R280" s="5" t="s">
        <v>960</v>
      </c>
      <c r="S280" s="5" t="s">
        <v>961</v>
      </c>
      <c r="T280" s="5" t="s">
        <v>962</v>
      </c>
      <c r="U280" s="1" t="s">
        <v>963</v>
      </c>
      <c r="X280" s="9" t="s">
        <v>968</v>
      </c>
      <c r="Y280" s="5" t="s">
        <v>979</v>
      </c>
      <c r="Z280" s="5" t="s">
        <v>45</v>
      </c>
      <c r="AA280" s="5" t="s">
        <v>46</v>
      </c>
      <c r="AB280" s="5" t="s">
        <v>981</v>
      </c>
      <c r="AC280" s="5" t="s">
        <v>982</v>
      </c>
      <c r="AD280" s="5" t="str">
        <f>_xlfn.CONCAT(Table58911[[#This Row],[&lt;&lt;NOLA&gt;&gt;
NIEM Element]],Table58911[[#This Row],[Repeat Values per attribute]])</f>
        <v>nc:PersonGivenNamed</v>
      </c>
    </row>
    <row r="281" spans="1:30" ht="30" customHeight="1" x14ac:dyDescent="0.3">
      <c r="A281" s="5">
        <f t="shared" si="24"/>
        <v>280</v>
      </c>
      <c r="B281" s="5">
        <f t="shared" si="27"/>
        <v>15</v>
      </c>
      <c r="C281" s="5">
        <f t="shared" si="27"/>
        <v>56</v>
      </c>
      <c r="D281" s="5">
        <f t="shared" si="26"/>
        <v>154</v>
      </c>
      <c r="E281" s="5" t="s">
        <v>49</v>
      </c>
      <c r="F281" s="5" t="s">
        <v>8</v>
      </c>
      <c r="G281" s="5">
        <v>256</v>
      </c>
      <c r="H281" s="6" t="s">
        <v>954</v>
      </c>
      <c r="I281" s="7" t="s">
        <v>955</v>
      </c>
      <c r="J281" s="5" t="s">
        <v>34</v>
      </c>
      <c r="K281" s="5" t="s">
        <v>956</v>
      </c>
      <c r="L281" s="5" t="s">
        <v>36</v>
      </c>
      <c r="M281" s="8" t="s">
        <v>87</v>
      </c>
      <c r="N281" s="5" t="s">
        <v>955</v>
      </c>
      <c r="O281" s="5" t="s">
        <v>983</v>
      </c>
      <c r="P281" s="1" t="s">
        <v>984</v>
      </c>
      <c r="Q281" s="1" t="s">
        <v>959</v>
      </c>
      <c r="R281" s="5" t="s">
        <v>960</v>
      </c>
      <c r="S281" s="5" t="s">
        <v>961</v>
      </c>
      <c r="T281" s="5" t="s">
        <v>962</v>
      </c>
      <c r="U281" s="1" t="s">
        <v>963</v>
      </c>
      <c r="X281" s="9" t="s">
        <v>964</v>
      </c>
      <c r="Y281" s="5" t="s">
        <v>983</v>
      </c>
      <c r="Z281" s="5" t="s">
        <v>45</v>
      </c>
      <c r="AA281" s="5" t="s">
        <v>46</v>
      </c>
      <c r="AB281" s="5" t="s">
        <v>985</v>
      </c>
      <c r="AC281" s="5" t="s">
        <v>986</v>
      </c>
      <c r="AD281" s="5" t="str">
        <f>_xlfn.CONCAT(Table58911[[#This Row],[&lt;&lt;NOLA&gt;&gt;
NIEM Element]],Table58911[[#This Row],[Repeat Values per attribute]])</f>
        <v>nc:PersonGivenNamee</v>
      </c>
    </row>
    <row r="282" spans="1:30" ht="30" customHeight="1" x14ac:dyDescent="0.3">
      <c r="A282" s="5">
        <f t="shared" si="24"/>
        <v>281</v>
      </c>
      <c r="B282" s="5">
        <f t="shared" si="27"/>
        <v>15</v>
      </c>
      <c r="C282" s="5">
        <f t="shared" si="27"/>
        <v>56</v>
      </c>
      <c r="D282" s="5">
        <f t="shared" si="26"/>
        <v>154</v>
      </c>
      <c r="E282" s="5" t="s">
        <v>49</v>
      </c>
      <c r="F282" s="5" t="s">
        <v>8</v>
      </c>
      <c r="G282" s="5">
        <v>256</v>
      </c>
      <c r="H282" s="6" t="s">
        <v>954</v>
      </c>
      <c r="I282" s="7" t="s">
        <v>955</v>
      </c>
      <c r="J282" s="5" t="s">
        <v>34</v>
      </c>
      <c r="K282" s="5" t="s">
        <v>956</v>
      </c>
      <c r="L282" s="5" t="s">
        <v>36</v>
      </c>
      <c r="M282" s="8" t="s">
        <v>87</v>
      </c>
      <c r="N282" s="5" t="s">
        <v>955</v>
      </c>
      <c r="O282" s="5" t="s">
        <v>983</v>
      </c>
      <c r="P282" s="1" t="s">
        <v>984</v>
      </c>
      <c r="Q282" s="1" t="s">
        <v>959</v>
      </c>
      <c r="R282" s="5" t="s">
        <v>960</v>
      </c>
      <c r="S282" s="5" t="s">
        <v>961</v>
      </c>
      <c r="T282" s="5" t="s">
        <v>962</v>
      </c>
      <c r="U282" s="1" t="s">
        <v>963</v>
      </c>
      <c r="X282" s="9" t="s">
        <v>967</v>
      </c>
      <c r="Y282" s="5" t="s">
        <v>983</v>
      </c>
      <c r="Z282" s="5" t="s">
        <v>45</v>
      </c>
      <c r="AA282" s="5" t="s">
        <v>46</v>
      </c>
      <c r="AB282" s="5" t="s">
        <v>985</v>
      </c>
      <c r="AC282" s="5" t="s">
        <v>986</v>
      </c>
      <c r="AD282" s="5" t="str">
        <f>_xlfn.CONCAT(Table58911[[#This Row],[&lt;&lt;NOLA&gt;&gt;
NIEM Element]],Table58911[[#This Row],[Repeat Values per attribute]])</f>
        <v>nc:PersonGivenNamee</v>
      </c>
    </row>
    <row r="283" spans="1:30" ht="30" customHeight="1" x14ac:dyDescent="0.3">
      <c r="A283" s="5">
        <f t="shared" si="24"/>
        <v>282</v>
      </c>
      <c r="B283" s="5">
        <f t="shared" si="27"/>
        <v>15</v>
      </c>
      <c r="C283" s="5">
        <f t="shared" si="27"/>
        <v>56</v>
      </c>
      <c r="D283" s="5">
        <f t="shared" si="26"/>
        <v>154</v>
      </c>
      <c r="E283" s="5" t="s">
        <v>49</v>
      </c>
      <c r="F283" s="5" t="s">
        <v>8</v>
      </c>
      <c r="G283" s="5">
        <v>256</v>
      </c>
      <c r="H283" s="6" t="s">
        <v>954</v>
      </c>
      <c r="I283" s="7" t="s">
        <v>955</v>
      </c>
      <c r="J283" s="5" t="s">
        <v>34</v>
      </c>
      <c r="K283" s="5" t="s">
        <v>956</v>
      </c>
      <c r="L283" s="5" t="s">
        <v>36</v>
      </c>
      <c r="M283" s="8" t="s">
        <v>87</v>
      </c>
      <c r="N283" s="5" t="s">
        <v>955</v>
      </c>
      <c r="O283" s="5" t="s">
        <v>983</v>
      </c>
      <c r="P283" s="1" t="s">
        <v>984</v>
      </c>
      <c r="Q283" s="1" t="s">
        <v>959</v>
      </c>
      <c r="R283" s="5" t="s">
        <v>960</v>
      </c>
      <c r="S283" s="5" t="s">
        <v>961</v>
      </c>
      <c r="T283" s="5" t="s">
        <v>962</v>
      </c>
      <c r="U283" s="1" t="s">
        <v>963</v>
      </c>
      <c r="X283" s="9" t="s">
        <v>968</v>
      </c>
      <c r="Y283" s="5" t="s">
        <v>983</v>
      </c>
      <c r="Z283" s="5" t="s">
        <v>45</v>
      </c>
      <c r="AA283" s="5" t="s">
        <v>46</v>
      </c>
      <c r="AB283" s="5" t="s">
        <v>985</v>
      </c>
      <c r="AC283" s="5" t="s">
        <v>986</v>
      </c>
      <c r="AD283" s="5" t="str">
        <f>_xlfn.CONCAT(Table58911[[#This Row],[&lt;&lt;NOLA&gt;&gt;
NIEM Element]],Table58911[[#This Row],[Repeat Values per attribute]])</f>
        <v>nc:PersonGivenNamee</v>
      </c>
    </row>
    <row r="284" spans="1:30" ht="30" customHeight="1" x14ac:dyDescent="0.3">
      <c r="A284" s="5">
        <f t="shared" si="24"/>
        <v>283</v>
      </c>
      <c r="B284" s="5">
        <f t="shared" si="27"/>
        <v>15</v>
      </c>
      <c r="C284" s="5">
        <f t="shared" si="27"/>
        <v>56</v>
      </c>
      <c r="D284" s="5">
        <f t="shared" si="26"/>
        <v>155</v>
      </c>
      <c r="E284" s="5" t="s">
        <v>32</v>
      </c>
      <c r="F284" s="5" t="s">
        <v>8</v>
      </c>
      <c r="G284" s="5">
        <v>256</v>
      </c>
      <c r="H284" s="6" t="s">
        <v>954</v>
      </c>
      <c r="I284" s="7" t="s">
        <v>955</v>
      </c>
      <c r="J284" s="5" t="s">
        <v>34</v>
      </c>
      <c r="K284" s="5" t="s">
        <v>956</v>
      </c>
      <c r="L284" s="5" t="s">
        <v>36</v>
      </c>
      <c r="M284" s="8" t="s">
        <v>421</v>
      </c>
      <c r="N284" s="5" t="s">
        <v>955</v>
      </c>
      <c r="O284" s="5" t="s">
        <v>987</v>
      </c>
      <c r="P284" s="1" t="s">
        <v>988</v>
      </c>
      <c r="Q284" s="1" t="s">
        <v>959</v>
      </c>
      <c r="R284" s="5" t="s">
        <v>989</v>
      </c>
      <c r="S284" s="5" t="s">
        <v>961</v>
      </c>
      <c r="T284" s="5" t="s">
        <v>962</v>
      </c>
      <c r="U284" s="1" t="s">
        <v>963</v>
      </c>
      <c r="X284" s="9" t="s">
        <v>990</v>
      </c>
      <c r="Y284" s="5" t="s">
        <v>987</v>
      </c>
      <c r="Z284" s="5" t="s">
        <v>45</v>
      </c>
      <c r="AA284" s="5" t="s">
        <v>46</v>
      </c>
      <c r="AB284" s="5" t="s">
        <v>991</v>
      </c>
      <c r="AC284" s="5" t="s">
        <v>992</v>
      </c>
      <c r="AD284" s="5" t="str">
        <f>_xlfn.CONCAT(Table58911[[#This Row],[&lt;&lt;NOLA&gt;&gt;
NIEM Element]],Table58911[[#This Row],[Repeat Values per attribute]])</f>
        <v>em:PersonAlternateNamef</v>
      </c>
    </row>
    <row r="285" spans="1:30" ht="30" customHeight="1" x14ac:dyDescent="0.3">
      <c r="A285" s="5">
        <f t="shared" si="24"/>
        <v>284</v>
      </c>
      <c r="B285" s="5">
        <f t="shared" si="27"/>
        <v>15</v>
      </c>
      <c r="C285" s="5">
        <f t="shared" si="27"/>
        <v>56</v>
      </c>
      <c r="D285" s="5">
        <f t="shared" si="26"/>
        <v>156</v>
      </c>
      <c r="E285" s="5" t="s">
        <v>49</v>
      </c>
      <c r="F285" s="5" t="s">
        <v>8</v>
      </c>
      <c r="G285" s="5">
        <v>256</v>
      </c>
      <c r="H285" s="6" t="s">
        <v>954</v>
      </c>
      <c r="I285" s="7" t="s">
        <v>955</v>
      </c>
      <c r="J285" s="5" t="s">
        <v>34</v>
      </c>
      <c r="K285" s="5" t="s">
        <v>956</v>
      </c>
      <c r="L285" s="5" t="s">
        <v>36</v>
      </c>
      <c r="M285" s="8" t="s">
        <v>421</v>
      </c>
      <c r="N285" s="5" t="s">
        <v>955</v>
      </c>
      <c r="O285" s="5" t="s">
        <v>987</v>
      </c>
      <c r="P285" s="1" t="s">
        <v>988</v>
      </c>
      <c r="Q285" s="1" t="s">
        <v>959</v>
      </c>
      <c r="R285" s="5" t="s">
        <v>960</v>
      </c>
      <c r="S285" s="5" t="s">
        <v>961</v>
      </c>
      <c r="T285" s="5" t="s">
        <v>962</v>
      </c>
      <c r="U285" s="1" t="s">
        <v>963</v>
      </c>
      <c r="X285" s="9"/>
      <c r="Y285" s="5" t="s">
        <v>987</v>
      </c>
      <c r="Z285" s="5" t="s">
        <v>45</v>
      </c>
      <c r="AA285" s="5" t="s">
        <v>46</v>
      </c>
      <c r="AB285" s="5" t="s">
        <v>991</v>
      </c>
      <c r="AC285" s="5" t="s">
        <v>992</v>
      </c>
      <c r="AD285" s="5" t="str">
        <f>_xlfn.CONCAT(Table58911[[#This Row],[&lt;&lt;NOLA&gt;&gt;
NIEM Element]],Table58911[[#This Row],[Repeat Values per attribute]])</f>
        <v>nc:PersonGivenNamef</v>
      </c>
    </row>
    <row r="286" spans="1:30" ht="30" customHeight="1" x14ac:dyDescent="0.3">
      <c r="A286" s="5">
        <f t="shared" si="24"/>
        <v>285</v>
      </c>
      <c r="B286" s="5">
        <f t="shared" si="27"/>
        <v>15</v>
      </c>
      <c r="C286" s="5">
        <f t="shared" si="27"/>
        <v>56</v>
      </c>
      <c r="D286" s="5">
        <f t="shared" si="26"/>
        <v>156</v>
      </c>
      <c r="E286" s="5" t="s">
        <v>49</v>
      </c>
      <c r="F286" s="5" t="s">
        <v>8</v>
      </c>
      <c r="G286" s="5">
        <v>256</v>
      </c>
      <c r="H286" s="6" t="s">
        <v>954</v>
      </c>
      <c r="I286" s="7" t="s">
        <v>955</v>
      </c>
      <c r="J286" s="5" t="s">
        <v>34</v>
      </c>
      <c r="K286" s="5" t="s">
        <v>956</v>
      </c>
      <c r="L286" s="5" t="s">
        <v>36</v>
      </c>
      <c r="M286" s="8" t="s">
        <v>421</v>
      </c>
      <c r="N286" s="5" t="s">
        <v>955</v>
      </c>
      <c r="O286" s="5" t="s">
        <v>987</v>
      </c>
      <c r="P286" s="1" t="s">
        <v>988</v>
      </c>
      <c r="Q286" s="1" t="s">
        <v>959</v>
      </c>
      <c r="R286" s="5" t="s">
        <v>960</v>
      </c>
      <c r="S286" s="5" t="s">
        <v>961</v>
      </c>
      <c r="T286" s="5" t="s">
        <v>962</v>
      </c>
      <c r="U286" s="1" t="s">
        <v>963</v>
      </c>
      <c r="X286" s="9"/>
      <c r="Y286" s="5" t="s">
        <v>987</v>
      </c>
      <c r="Z286" s="5" t="s">
        <v>45</v>
      </c>
      <c r="AA286" s="5" t="s">
        <v>46</v>
      </c>
      <c r="AB286" s="5" t="s">
        <v>991</v>
      </c>
      <c r="AC286" s="5" t="s">
        <v>992</v>
      </c>
      <c r="AD286" s="5" t="str">
        <f>_xlfn.CONCAT(Table58911[[#This Row],[&lt;&lt;NOLA&gt;&gt;
NIEM Element]],Table58911[[#This Row],[Repeat Values per attribute]])</f>
        <v>nc:PersonGivenNamef</v>
      </c>
    </row>
    <row r="287" spans="1:30" ht="30" customHeight="1" x14ac:dyDescent="0.3">
      <c r="A287" s="5">
        <f t="shared" si="24"/>
        <v>286</v>
      </c>
      <c r="B287" s="5">
        <f t="shared" si="27"/>
        <v>15</v>
      </c>
      <c r="C287" s="5">
        <f t="shared" si="27"/>
        <v>56</v>
      </c>
      <c r="D287" s="5">
        <f t="shared" si="26"/>
        <v>157</v>
      </c>
      <c r="E287" s="5" t="s">
        <v>32</v>
      </c>
      <c r="F287" s="5" t="s">
        <v>8</v>
      </c>
      <c r="G287" s="5">
        <v>256</v>
      </c>
      <c r="H287" s="6" t="s">
        <v>954</v>
      </c>
      <c r="I287" s="7" t="s">
        <v>955</v>
      </c>
      <c r="J287" s="5" t="s">
        <v>34</v>
      </c>
      <c r="K287" s="5" t="s">
        <v>956</v>
      </c>
      <c r="L287" s="5" t="s">
        <v>36</v>
      </c>
      <c r="M287" s="8" t="s">
        <v>425</v>
      </c>
      <c r="N287" s="5" t="s">
        <v>955</v>
      </c>
      <c r="O287" s="5" t="s">
        <v>993</v>
      </c>
      <c r="P287" s="1" t="s">
        <v>994</v>
      </c>
      <c r="Q287" s="1" t="s">
        <v>959</v>
      </c>
      <c r="R287" s="5" t="s">
        <v>960</v>
      </c>
      <c r="S287" s="5" t="s">
        <v>961</v>
      </c>
      <c r="T287" s="5" t="s">
        <v>962</v>
      </c>
      <c r="U287" s="1" t="s">
        <v>963</v>
      </c>
      <c r="X287" s="9" t="s">
        <v>964</v>
      </c>
      <c r="Y287" s="5" t="s">
        <v>993</v>
      </c>
      <c r="Z287" s="5" t="s">
        <v>45</v>
      </c>
      <c r="AA287" s="5" t="s">
        <v>90</v>
      </c>
      <c r="AB287" s="5" t="s">
        <v>965</v>
      </c>
      <c r="AC287" s="5" t="s">
        <v>995</v>
      </c>
      <c r="AD287" s="5" t="str">
        <f>_xlfn.CONCAT(Table58911[[#This Row],[&lt;&lt;NOLA&gt;&gt;
NIEM Element]],Table58911[[#This Row],[Repeat Values per attribute]])</f>
        <v>nc:PersonGivenNamei</v>
      </c>
    </row>
    <row r="288" spans="1:30" ht="30" customHeight="1" x14ac:dyDescent="0.3">
      <c r="A288" s="5">
        <f t="shared" si="24"/>
        <v>287</v>
      </c>
      <c r="B288" s="5">
        <f t="shared" si="27"/>
        <v>15</v>
      </c>
      <c r="C288" s="5">
        <f t="shared" si="27"/>
        <v>56</v>
      </c>
      <c r="D288" s="5">
        <f t="shared" si="26"/>
        <v>157</v>
      </c>
      <c r="E288" s="5" t="s">
        <v>49</v>
      </c>
      <c r="F288" s="5" t="s">
        <v>8</v>
      </c>
      <c r="G288" s="5">
        <v>256</v>
      </c>
      <c r="H288" s="6" t="s">
        <v>954</v>
      </c>
      <c r="I288" s="7" t="s">
        <v>955</v>
      </c>
      <c r="J288" s="5" t="s">
        <v>34</v>
      </c>
      <c r="K288" s="5" t="s">
        <v>956</v>
      </c>
      <c r="L288" s="5" t="s">
        <v>36</v>
      </c>
      <c r="M288" s="8" t="s">
        <v>425</v>
      </c>
      <c r="N288" s="5" t="s">
        <v>955</v>
      </c>
      <c r="O288" s="5" t="s">
        <v>993</v>
      </c>
      <c r="P288" s="1" t="s">
        <v>994</v>
      </c>
      <c r="Q288" s="1" t="s">
        <v>959</v>
      </c>
      <c r="R288" s="5" t="s">
        <v>960</v>
      </c>
      <c r="S288" s="5" t="s">
        <v>961</v>
      </c>
      <c r="T288" s="5" t="s">
        <v>962</v>
      </c>
      <c r="U288" s="1" t="s">
        <v>963</v>
      </c>
      <c r="X288" s="9" t="s">
        <v>967</v>
      </c>
      <c r="Y288" s="5" t="s">
        <v>993</v>
      </c>
      <c r="Z288" s="5" t="s">
        <v>45</v>
      </c>
      <c r="AA288" s="5" t="s">
        <v>90</v>
      </c>
      <c r="AB288" s="5" t="s">
        <v>965</v>
      </c>
      <c r="AC288" s="5" t="s">
        <v>995</v>
      </c>
      <c r="AD288" s="5" t="str">
        <f>_xlfn.CONCAT(Table58911[[#This Row],[&lt;&lt;NOLA&gt;&gt;
NIEM Element]],Table58911[[#This Row],[Repeat Values per attribute]])</f>
        <v>nc:PersonGivenNamei</v>
      </c>
    </row>
    <row r="289" spans="1:30" ht="30" customHeight="1" x14ac:dyDescent="0.3">
      <c r="A289" s="5">
        <f t="shared" si="24"/>
        <v>288</v>
      </c>
      <c r="B289" s="5">
        <f t="shared" si="27"/>
        <v>15</v>
      </c>
      <c r="C289" s="5">
        <f t="shared" si="27"/>
        <v>56</v>
      </c>
      <c r="D289" s="5">
        <f t="shared" si="26"/>
        <v>157</v>
      </c>
      <c r="E289" s="5" t="s">
        <v>49</v>
      </c>
      <c r="F289" s="5" t="s">
        <v>8</v>
      </c>
      <c r="G289" s="5">
        <v>256</v>
      </c>
      <c r="H289" s="6" t="s">
        <v>954</v>
      </c>
      <c r="I289" s="7" t="s">
        <v>955</v>
      </c>
      <c r="J289" s="5" t="s">
        <v>34</v>
      </c>
      <c r="K289" s="5" t="s">
        <v>956</v>
      </c>
      <c r="L289" s="5" t="s">
        <v>36</v>
      </c>
      <c r="M289" s="8" t="s">
        <v>425</v>
      </c>
      <c r="N289" s="5" t="s">
        <v>955</v>
      </c>
      <c r="O289" s="5" t="s">
        <v>993</v>
      </c>
      <c r="P289" s="1" t="s">
        <v>994</v>
      </c>
      <c r="Q289" s="1" t="s">
        <v>959</v>
      </c>
      <c r="R289" s="5" t="s">
        <v>960</v>
      </c>
      <c r="S289" s="5" t="s">
        <v>961</v>
      </c>
      <c r="T289" s="5" t="s">
        <v>962</v>
      </c>
      <c r="U289" s="1" t="s">
        <v>963</v>
      </c>
      <c r="X289" s="9" t="s">
        <v>968</v>
      </c>
      <c r="Y289" s="5" t="s">
        <v>993</v>
      </c>
      <c r="Z289" s="5" t="s">
        <v>45</v>
      </c>
      <c r="AA289" s="5" t="s">
        <v>90</v>
      </c>
      <c r="AB289" s="5" t="s">
        <v>965</v>
      </c>
      <c r="AC289" s="5" t="s">
        <v>995</v>
      </c>
      <c r="AD289" s="5" t="str">
        <f>_xlfn.CONCAT(Table58911[[#This Row],[&lt;&lt;NOLA&gt;&gt;
NIEM Element]],Table58911[[#This Row],[Repeat Values per attribute]])</f>
        <v>nc:PersonGivenNamei</v>
      </c>
    </row>
    <row r="290" spans="1:30" ht="30" customHeight="1" x14ac:dyDescent="0.3">
      <c r="A290" s="5">
        <f t="shared" si="24"/>
        <v>289</v>
      </c>
      <c r="B290" s="5">
        <f t="shared" ref="B290:C305" si="28">IF(H289=H290,B289,B289+1)</f>
        <v>15</v>
      </c>
      <c r="C290" s="5">
        <f t="shared" si="28"/>
        <v>56</v>
      </c>
      <c r="D290" s="5">
        <f t="shared" si="26"/>
        <v>158</v>
      </c>
      <c r="E290" s="5" t="s">
        <v>32</v>
      </c>
      <c r="F290" s="5" t="s">
        <v>8</v>
      </c>
      <c r="G290" s="5">
        <v>256</v>
      </c>
      <c r="H290" s="6" t="s">
        <v>954</v>
      </c>
      <c r="I290" s="7" t="s">
        <v>955</v>
      </c>
      <c r="J290" s="5" t="s">
        <v>34</v>
      </c>
      <c r="K290" s="5" t="s">
        <v>956</v>
      </c>
      <c r="L290" s="5" t="s">
        <v>36</v>
      </c>
      <c r="M290" s="8" t="s">
        <v>996</v>
      </c>
      <c r="N290" s="5" t="s">
        <v>955</v>
      </c>
      <c r="O290" s="5" t="s">
        <v>997</v>
      </c>
      <c r="P290" s="1" t="s">
        <v>998</v>
      </c>
      <c r="Q290" s="1" t="s">
        <v>959</v>
      </c>
      <c r="R290" s="5" t="s">
        <v>960</v>
      </c>
      <c r="S290" s="5" t="s">
        <v>961</v>
      </c>
      <c r="T290" s="5" t="s">
        <v>962</v>
      </c>
      <c r="U290" s="1" t="s">
        <v>963</v>
      </c>
      <c r="X290" s="9" t="s">
        <v>971</v>
      </c>
      <c r="Y290" s="5" t="s">
        <v>997</v>
      </c>
      <c r="Z290" s="5" t="s">
        <v>45</v>
      </c>
      <c r="AA290" s="5" t="s">
        <v>90</v>
      </c>
      <c r="AB290" s="5" t="s">
        <v>972</v>
      </c>
      <c r="AC290" s="5" t="s">
        <v>999</v>
      </c>
      <c r="AD290" s="5" t="str">
        <f>_xlfn.CONCAT(Table58911[[#This Row],[&lt;&lt;NOLA&gt;&gt;
NIEM Element]],Table58911[[#This Row],[Repeat Values per attribute]])</f>
        <v>nc:PersonGivenNamej</v>
      </c>
    </row>
    <row r="291" spans="1:30" ht="30" customHeight="1" x14ac:dyDescent="0.3">
      <c r="A291" s="5">
        <f t="shared" si="24"/>
        <v>290</v>
      </c>
      <c r="B291" s="5">
        <f t="shared" si="28"/>
        <v>15</v>
      </c>
      <c r="C291" s="5">
        <f t="shared" si="28"/>
        <v>56</v>
      </c>
      <c r="D291" s="5">
        <f t="shared" si="26"/>
        <v>158</v>
      </c>
      <c r="E291" s="5" t="s">
        <v>49</v>
      </c>
      <c r="F291" s="5" t="s">
        <v>8</v>
      </c>
      <c r="G291" s="5">
        <v>256</v>
      </c>
      <c r="H291" s="6" t="s">
        <v>954</v>
      </c>
      <c r="I291" s="7" t="s">
        <v>955</v>
      </c>
      <c r="J291" s="5" t="s">
        <v>34</v>
      </c>
      <c r="K291" s="5" t="s">
        <v>956</v>
      </c>
      <c r="L291" s="5" t="s">
        <v>36</v>
      </c>
      <c r="M291" s="8" t="s">
        <v>996</v>
      </c>
      <c r="N291" s="5" t="s">
        <v>955</v>
      </c>
      <c r="O291" s="5" t="s">
        <v>997</v>
      </c>
      <c r="P291" s="1" t="s">
        <v>998</v>
      </c>
      <c r="Q291" s="1" t="s">
        <v>959</v>
      </c>
      <c r="R291" s="5" t="s">
        <v>960</v>
      </c>
      <c r="S291" s="5" t="s">
        <v>961</v>
      </c>
      <c r="T291" s="5" t="s">
        <v>962</v>
      </c>
      <c r="U291" s="1" t="s">
        <v>963</v>
      </c>
      <c r="X291" s="9" t="s">
        <v>967</v>
      </c>
      <c r="Y291" s="5" t="s">
        <v>997</v>
      </c>
      <c r="Z291" s="5" t="s">
        <v>45</v>
      </c>
      <c r="AA291" s="5" t="s">
        <v>90</v>
      </c>
      <c r="AB291" s="5" t="s">
        <v>972</v>
      </c>
      <c r="AC291" s="5" t="s">
        <v>999</v>
      </c>
      <c r="AD291" s="5" t="str">
        <f>_xlfn.CONCAT(Table58911[[#This Row],[&lt;&lt;NOLA&gt;&gt;
NIEM Element]],Table58911[[#This Row],[Repeat Values per attribute]])</f>
        <v>nc:PersonGivenNamej</v>
      </c>
    </row>
    <row r="292" spans="1:30" ht="30" customHeight="1" x14ac:dyDescent="0.3">
      <c r="A292" s="5">
        <f t="shared" si="24"/>
        <v>291</v>
      </c>
      <c r="B292" s="5">
        <f t="shared" si="28"/>
        <v>15</v>
      </c>
      <c r="C292" s="5">
        <f t="shared" si="28"/>
        <v>56</v>
      </c>
      <c r="D292" s="5">
        <f t="shared" si="26"/>
        <v>158</v>
      </c>
      <c r="E292" s="5" t="s">
        <v>49</v>
      </c>
      <c r="F292" s="5" t="s">
        <v>8</v>
      </c>
      <c r="G292" s="5">
        <v>256</v>
      </c>
      <c r="H292" s="6" t="s">
        <v>954</v>
      </c>
      <c r="I292" s="7" t="s">
        <v>955</v>
      </c>
      <c r="J292" s="5" t="s">
        <v>34</v>
      </c>
      <c r="K292" s="5" t="s">
        <v>956</v>
      </c>
      <c r="L292" s="5" t="s">
        <v>36</v>
      </c>
      <c r="M292" s="8" t="s">
        <v>996</v>
      </c>
      <c r="N292" s="5" t="s">
        <v>955</v>
      </c>
      <c r="O292" s="5" t="s">
        <v>997</v>
      </c>
      <c r="P292" s="1" t="s">
        <v>998</v>
      </c>
      <c r="Q292" s="1" t="s">
        <v>959</v>
      </c>
      <c r="R292" s="5" t="s">
        <v>960</v>
      </c>
      <c r="S292" s="5" t="s">
        <v>961</v>
      </c>
      <c r="T292" s="5" t="s">
        <v>962</v>
      </c>
      <c r="U292" s="1" t="s">
        <v>963</v>
      </c>
      <c r="X292" s="9" t="s">
        <v>968</v>
      </c>
      <c r="Y292" s="5" t="s">
        <v>997</v>
      </c>
      <c r="Z292" s="5" t="s">
        <v>45</v>
      </c>
      <c r="AA292" s="5" t="s">
        <v>90</v>
      </c>
      <c r="AB292" s="5" t="s">
        <v>972</v>
      </c>
      <c r="AC292" s="5" t="s">
        <v>999</v>
      </c>
      <c r="AD292" s="5" t="str">
        <f>_xlfn.CONCAT(Table58911[[#This Row],[&lt;&lt;NOLA&gt;&gt;
NIEM Element]],Table58911[[#This Row],[Repeat Values per attribute]])</f>
        <v>nc:PersonGivenNamej</v>
      </c>
    </row>
    <row r="293" spans="1:30" ht="30" customHeight="1" x14ac:dyDescent="0.3">
      <c r="A293" s="5">
        <f t="shared" si="24"/>
        <v>292</v>
      </c>
      <c r="B293" s="5">
        <f t="shared" si="28"/>
        <v>15</v>
      </c>
      <c r="C293" s="5">
        <f t="shared" si="28"/>
        <v>56</v>
      </c>
      <c r="D293" s="5">
        <f t="shared" si="26"/>
        <v>159</v>
      </c>
      <c r="E293" s="5" t="s">
        <v>32</v>
      </c>
      <c r="F293" s="5" t="s">
        <v>8</v>
      </c>
      <c r="G293" s="5">
        <v>256</v>
      </c>
      <c r="H293" s="6" t="s">
        <v>954</v>
      </c>
      <c r="I293" s="7" t="s">
        <v>955</v>
      </c>
      <c r="J293" s="5" t="s">
        <v>34</v>
      </c>
      <c r="K293" s="5" t="s">
        <v>956</v>
      </c>
      <c r="L293" s="5" t="s">
        <v>36</v>
      </c>
      <c r="M293" s="8" t="s">
        <v>1000</v>
      </c>
      <c r="N293" s="5" t="s">
        <v>955</v>
      </c>
      <c r="O293" s="5" t="s">
        <v>1001</v>
      </c>
      <c r="P293" s="1" t="s">
        <v>1002</v>
      </c>
      <c r="Q293" s="1" t="s">
        <v>959</v>
      </c>
      <c r="R293" s="5" t="s">
        <v>960</v>
      </c>
      <c r="S293" s="5" t="s">
        <v>961</v>
      </c>
      <c r="T293" s="5" t="s">
        <v>962</v>
      </c>
      <c r="U293" s="1" t="s">
        <v>963</v>
      </c>
      <c r="X293" s="9" t="s">
        <v>976</v>
      </c>
      <c r="Y293" s="5" t="s">
        <v>1001</v>
      </c>
      <c r="Z293" s="5" t="s">
        <v>45</v>
      </c>
      <c r="AA293" s="5" t="s">
        <v>90</v>
      </c>
      <c r="AB293" s="5" t="s">
        <v>1003</v>
      </c>
      <c r="AC293" s="5" t="s">
        <v>1004</v>
      </c>
      <c r="AD293" s="5" t="str">
        <f>_xlfn.CONCAT(Table58911[[#This Row],[&lt;&lt;NOLA&gt;&gt;
NIEM Element]],Table58911[[#This Row],[Repeat Values per attribute]])</f>
        <v>nc:PersonGivenNamek</v>
      </c>
    </row>
    <row r="294" spans="1:30" ht="30" customHeight="1" x14ac:dyDescent="0.3">
      <c r="A294" s="5">
        <f t="shared" si="24"/>
        <v>293</v>
      </c>
      <c r="B294" s="5">
        <f t="shared" si="28"/>
        <v>15</v>
      </c>
      <c r="C294" s="5">
        <f t="shared" si="28"/>
        <v>56</v>
      </c>
      <c r="D294" s="5">
        <f t="shared" si="26"/>
        <v>159</v>
      </c>
      <c r="E294" s="5" t="s">
        <v>49</v>
      </c>
      <c r="F294" s="5" t="s">
        <v>8</v>
      </c>
      <c r="G294" s="5">
        <v>256</v>
      </c>
      <c r="H294" s="6" t="s">
        <v>954</v>
      </c>
      <c r="I294" s="7" t="s">
        <v>955</v>
      </c>
      <c r="J294" s="5" t="s">
        <v>34</v>
      </c>
      <c r="K294" s="5" t="s">
        <v>956</v>
      </c>
      <c r="L294" s="5" t="s">
        <v>36</v>
      </c>
      <c r="M294" s="8" t="s">
        <v>1000</v>
      </c>
      <c r="N294" s="5" t="s">
        <v>955</v>
      </c>
      <c r="O294" s="5" t="s">
        <v>1001</v>
      </c>
      <c r="P294" s="1" t="s">
        <v>1002</v>
      </c>
      <c r="Q294" s="1" t="s">
        <v>959</v>
      </c>
      <c r="R294" s="5" t="s">
        <v>960</v>
      </c>
      <c r="S294" s="5" t="s">
        <v>961</v>
      </c>
      <c r="T294" s="5" t="s">
        <v>962</v>
      </c>
      <c r="U294" s="1" t="s">
        <v>963</v>
      </c>
      <c r="X294" s="9" t="s">
        <v>967</v>
      </c>
      <c r="Y294" s="5" t="s">
        <v>1001</v>
      </c>
      <c r="Z294" s="5" t="s">
        <v>45</v>
      </c>
      <c r="AA294" s="5" t="s">
        <v>90</v>
      </c>
      <c r="AB294" s="5" t="s">
        <v>1003</v>
      </c>
      <c r="AC294" s="5" t="s">
        <v>1004</v>
      </c>
      <c r="AD294" s="5" t="str">
        <f>_xlfn.CONCAT(Table58911[[#This Row],[&lt;&lt;NOLA&gt;&gt;
NIEM Element]],Table58911[[#This Row],[Repeat Values per attribute]])</f>
        <v>nc:PersonGivenNamek</v>
      </c>
    </row>
    <row r="295" spans="1:30" ht="30" customHeight="1" x14ac:dyDescent="0.3">
      <c r="A295" s="5">
        <f t="shared" si="24"/>
        <v>294</v>
      </c>
      <c r="B295" s="5">
        <f t="shared" si="28"/>
        <v>15</v>
      </c>
      <c r="C295" s="5">
        <f t="shared" si="28"/>
        <v>56</v>
      </c>
      <c r="D295" s="5">
        <f t="shared" si="26"/>
        <v>159</v>
      </c>
      <c r="E295" s="5" t="s">
        <v>49</v>
      </c>
      <c r="F295" s="5" t="s">
        <v>8</v>
      </c>
      <c r="G295" s="5">
        <v>256</v>
      </c>
      <c r="H295" s="6" t="s">
        <v>954</v>
      </c>
      <c r="I295" s="7" t="s">
        <v>955</v>
      </c>
      <c r="J295" s="5" t="s">
        <v>34</v>
      </c>
      <c r="K295" s="5" t="s">
        <v>956</v>
      </c>
      <c r="L295" s="5" t="s">
        <v>36</v>
      </c>
      <c r="M295" s="8" t="s">
        <v>1000</v>
      </c>
      <c r="N295" s="5" t="s">
        <v>955</v>
      </c>
      <c r="O295" s="5" t="s">
        <v>1001</v>
      </c>
      <c r="P295" s="1" t="s">
        <v>1002</v>
      </c>
      <c r="Q295" s="1" t="s">
        <v>959</v>
      </c>
      <c r="R295" s="5" t="s">
        <v>960</v>
      </c>
      <c r="S295" s="5" t="s">
        <v>961</v>
      </c>
      <c r="T295" s="5" t="s">
        <v>962</v>
      </c>
      <c r="U295" s="1" t="s">
        <v>963</v>
      </c>
      <c r="X295" s="9" t="s">
        <v>968</v>
      </c>
      <c r="Y295" s="5" t="s">
        <v>1001</v>
      </c>
      <c r="Z295" s="5" t="s">
        <v>45</v>
      </c>
      <c r="AA295" s="5" t="s">
        <v>90</v>
      </c>
      <c r="AB295" s="5" t="s">
        <v>1003</v>
      </c>
      <c r="AC295" s="5" t="s">
        <v>1004</v>
      </c>
      <c r="AD295" s="5" t="str">
        <f>_xlfn.CONCAT(Table58911[[#This Row],[&lt;&lt;NOLA&gt;&gt;
NIEM Element]],Table58911[[#This Row],[Repeat Values per attribute]])</f>
        <v>nc:PersonGivenNamek</v>
      </c>
    </row>
    <row r="296" spans="1:30" ht="30" customHeight="1" x14ac:dyDescent="0.3">
      <c r="A296" s="5">
        <f t="shared" si="24"/>
        <v>295</v>
      </c>
      <c r="B296" s="5">
        <f t="shared" si="28"/>
        <v>15</v>
      </c>
      <c r="C296" s="5">
        <f t="shared" si="28"/>
        <v>57</v>
      </c>
      <c r="D296" s="5">
        <f t="shared" si="26"/>
        <v>160</v>
      </c>
      <c r="E296" s="5" t="s">
        <v>32</v>
      </c>
      <c r="F296" s="5" t="s">
        <v>8</v>
      </c>
      <c r="G296" s="5">
        <v>255</v>
      </c>
      <c r="H296" s="6" t="s">
        <v>954</v>
      </c>
      <c r="I296" s="7" t="s">
        <v>1005</v>
      </c>
      <c r="J296" s="5" t="s">
        <v>34</v>
      </c>
      <c r="K296" s="5" t="s">
        <v>1006</v>
      </c>
      <c r="L296" s="5" t="s">
        <v>36</v>
      </c>
      <c r="M296" s="8" t="s">
        <v>37</v>
      </c>
      <c r="N296" s="5" t="s">
        <v>1005</v>
      </c>
      <c r="O296" s="5" t="s">
        <v>1007</v>
      </c>
      <c r="P296" s="5" t="s">
        <v>1008</v>
      </c>
      <c r="Q296" s="1" t="s">
        <v>1009</v>
      </c>
      <c r="R296" s="5" t="s">
        <v>1010</v>
      </c>
      <c r="S296" s="5" t="s">
        <v>961</v>
      </c>
      <c r="U296" s="5" t="s">
        <v>1011</v>
      </c>
      <c r="X296" s="9" t="s">
        <v>1012</v>
      </c>
      <c r="Y296" s="5" t="s">
        <v>1007</v>
      </c>
      <c r="Z296" s="5" t="s">
        <v>45</v>
      </c>
      <c r="AA296" s="5" t="s">
        <v>46</v>
      </c>
      <c r="AB296" s="5" t="s">
        <v>1013</v>
      </c>
      <c r="AC296" s="5" t="s">
        <v>1014</v>
      </c>
      <c r="AD296" s="5" t="str">
        <f>_xlfn.CONCAT(Table58911[[#This Row],[&lt;&lt;NOLA&gt;&gt;
NIEM Element]],Table58911[[#This Row],[Repeat Values per attribute]])</f>
        <v>nc:PersonFullNamea</v>
      </c>
    </row>
    <row r="297" spans="1:30" ht="30" customHeight="1" x14ac:dyDescent="0.3">
      <c r="A297" s="5">
        <f t="shared" si="24"/>
        <v>296</v>
      </c>
      <c r="B297" s="5">
        <f t="shared" si="28"/>
        <v>15</v>
      </c>
      <c r="C297" s="5">
        <f t="shared" si="28"/>
        <v>57</v>
      </c>
      <c r="D297" s="5">
        <f t="shared" si="26"/>
        <v>160</v>
      </c>
      <c r="E297" s="5" t="s">
        <v>49</v>
      </c>
      <c r="F297" s="5" t="s">
        <v>8</v>
      </c>
      <c r="G297" s="5">
        <v>255</v>
      </c>
      <c r="H297" s="6" t="s">
        <v>954</v>
      </c>
      <c r="I297" s="7" t="s">
        <v>1005</v>
      </c>
      <c r="J297" s="5" t="s">
        <v>34</v>
      </c>
      <c r="K297" s="5" t="s">
        <v>1006</v>
      </c>
      <c r="L297" s="5" t="s">
        <v>36</v>
      </c>
      <c r="M297" s="8" t="s">
        <v>37</v>
      </c>
      <c r="N297" s="5" t="s">
        <v>1005</v>
      </c>
      <c r="O297" s="5" t="s">
        <v>1007</v>
      </c>
      <c r="P297" s="5" t="s">
        <v>1008</v>
      </c>
      <c r="Q297" s="1" t="s">
        <v>1009</v>
      </c>
      <c r="R297" s="5" t="s">
        <v>1010</v>
      </c>
      <c r="S297" s="5" t="s">
        <v>961</v>
      </c>
      <c r="U297" s="5" t="s">
        <v>1011</v>
      </c>
      <c r="X297" s="9" t="s">
        <v>1015</v>
      </c>
      <c r="Y297" s="5" t="s">
        <v>1007</v>
      </c>
      <c r="Z297" s="5" t="s">
        <v>45</v>
      </c>
      <c r="AA297" s="5" t="s">
        <v>46</v>
      </c>
      <c r="AB297" s="5" t="s">
        <v>1013</v>
      </c>
      <c r="AC297" s="5" t="s">
        <v>1014</v>
      </c>
      <c r="AD297" s="5" t="str">
        <f>_xlfn.CONCAT(Table58911[[#This Row],[&lt;&lt;NOLA&gt;&gt;
NIEM Element]],Table58911[[#This Row],[Repeat Values per attribute]])</f>
        <v>nc:PersonFullNamea</v>
      </c>
    </row>
    <row r="298" spans="1:30" ht="30" customHeight="1" x14ac:dyDescent="0.3">
      <c r="A298" s="5">
        <f t="shared" si="24"/>
        <v>297</v>
      </c>
      <c r="B298" s="5">
        <f t="shared" si="28"/>
        <v>15</v>
      </c>
      <c r="C298" s="5">
        <f t="shared" si="28"/>
        <v>57</v>
      </c>
      <c r="D298" s="5">
        <f t="shared" si="26"/>
        <v>160</v>
      </c>
      <c r="E298" s="5" t="s">
        <v>49</v>
      </c>
      <c r="F298" s="5" t="s">
        <v>8</v>
      </c>
      <c r="G298" s="5">
        <v>255</v>
      </c>
      <c r="H298" s="6" t="s">
        <v>954</v>
      </c>
      <c r="I298" s="7" t="s">
        <v>1005</v>
      </c>
      <c r="J298" s="5" t="s">
        <v>34</v>
      </c>
      <c r="K298" s="5" t="s">
        <v>1006</v>
      </c>
      <c r="L298" s="5" t="s">
        <v>36</v>
      </c>
      <c r="M298" s="8" t="s">
        <v>37</v>
      </c>
      <c r="N298" s="5" t="s">
        <v>1005</v>
      </c>
      <c r="O298" s="5" t="s">
        <v>1007</v>
      </c>
      <c r="P298" s="5" t="s">
        <v>1008</v>
      </c>
      <c r="Q298" s="1" t="s">
        <v>1009</v>
      </c>
      <c r="R298" s="5" t="s">
        <v>1010</v>
      </c>
      <c r="S298" s="5" t="s">
        <v>961</v>
      </c>
      <c r="U298" s="5" t="s">
        <v>1011</v>
      </c>
      <c r="X298" s="9" t="s">
        <v>1016</v>
      </c>
      <c r="Y298" s="5" t="s">
        <v>1007</v>
      </c>
      <c r="Z298" s="5" t="s">
        <v>45</v>
      </c>
      <c r="AA298" s="5" t="s">
        <v>46</v>
      </c>
      <c r="AB298" s="5" t="s">
        <v>1013</v>
      </c>
      <c r="AC298" s="5" t="s">
        <v>1014</v>
      </c>
      <c r="AD298" s="5" t="str">
        <f>_xlfn.CONCAT(Table58911[[#This Row],[&lt;&lt;NOLA&gt;&gt;
NIEM Element]],Table58911[[#This Row],[Repeat Values per attribute]])</f>
        <v>nc:PersonFullNamea</v>
      </c>
    </row>
    <row r="299" spans="1:30" ht="30" customHeight="1" x14ac:dyDescent="0.3">
      <c r="A299" s="5">
        <f t="shared" si="24"/>
        <v>298</v>
      </c>
      <c r="B299" s="5">
        <f t="shared" si="28"/>
        <v>15</v>
      </c>
      <c r="C299" s="5">
        <f t="shared" si="28"/>
        <v>57</v>
      </c>
      <c r="D299" s="5">
        <f t="shared" si="26"/>
        <v>161</v>
      </c>
      <c r="E299" s="5" t="s">
        <v>32</v>
      </c>
      <c r="F299" s="5" t="s">
        <v>8</v>
      </c>
      <c r="G299" s="5">
        <v>255</v>
      </c>
      <c r="H299" s="6" t="s">
        <v>954</v>
      </c>
      <c r="I299" s="7" t="s">
        <v>1005</v>
      </c>
      <c r="J299" s="5" t="s">
        <v>34</v>
      </c>
      <c r="K299" s="5" t="s">
        <v>1006</v>
      </c>
      <c r="L299" s="5" t="s">
        <v>36</v>
      </c>
      <c r="M299" s="8" t="s">
        <v>52</v>
      </c>
      <c r="N299" s="5" t="s">
        <v>1005</v>
      </c>
      <c r="O299" s="5" t="s">
        <v>1017</v>
      </c>
      <c r="P299" s="1" t="s">
        <v>1018</v>
      </c>
      <c r="Q299" s="1" t="s">
        <v>1009</v>
      </c>
      <c r="R299" s="5" t="s">
        <v>1010</v>
      </c>
      <c r="S299" s="5" t="s">
        <v>961</v>
      </c>
      <c r="U299" s="5" t="s">
        <v>1011</v>
      </c>
      <c r="X299" s="9" t="s">
        <v>1019</v>
      </c>
      <c r="Y299" s="5" t="s">
        <v>1017</v>
      </c>
      <c r="Z299" s="5" t="s">
        <v>45</v>
      </c>
      <c r="AA299" s="5" t="s">
        <v>46</v>
      </c>
      <c r="AB299" s="5" t="s">
        <v>1020</v>
      </c>
      <c r="AC299" s="5" t="s">
        <v>1021</v>
      </c>
      <c r="AD299" s="5" t="str">
        <f>_xlfn.CONCAT(Table58911[[#This Row],[&lt;&lt;NOLA&gt;&gt;
NIEM Element]],Table58911[[#This Row],[Repeat Values per attribute]])</f>
        <v>nc:PersonFullNameb</v>
      </c>
    </row>
    <row r="300" spans="1:30" ht="30" customHeight="1" x14ac:dyDescent="0.3">
      <c r="A300" s="5">
        <f t="shared" si="24"/>
        <v>299</v>
      </c>
      <c r="B300" s="5">
        <f t="shared" si="28"/>
        <v>15</v>
      </c>
      <c r="C300" s="5">
        <f t="shared" si="28"/>
        <v>57</v>
      </c>
      <c r="D300" s="5">
        <f t="shared" si="26"/>
        <v>161</v>
      </c>
      <c r="E300" s="5" t="s">
        <v>49</v>
      </c>
      <c r="F300" s="5" t="s">
        <v>8</v>
      </c>
      <c r="G300" s="5">
        <v>255</v>
      </c>
      <c r="H300" s="6" t="s">
        <v>954</v>
      </c>
      <c r="I300" s="7" t="s">
        <v>1005</v>
      </c>
      <c r="J300" s="5" t="s">
        <v>34</v>
      </c>
      <c r="K300" s="5" t="s">
        <v>1006</v>
      </c>
      <c r="L300" s="5" t="s">
        <v>36</v>
      </c>
      <c r="M300" s="8" t="s">
        <v>52</v>
      </c>
      <c r="N300" s="5" t="s">
        <v>1005</v>
      </c>
      <c r="O300" s="5" t="s">
        <v>1017</v>
      </c>
      <c r="P300" s="1" t="s">
        <v>1018</v>
      </c>
      <c r="Q300" s="1" t="s">
        <v>1009</v>
      </c>
      <c r="R300" s="5" t="s">
        <v>1010</v>
      </c>
      <c r="S300" s="5" t="s">
        <v>961</v>
      </c>
      <c r="U300" s="5" t="s">
        <v>1011</v>
      </c>
      <c r="X300" s="9" t="s">
        <v>1015</v>
      </c>
      <c r="Y300" s="5" t="s">
        <v>1017</v>
      </c>
      <c r="Z300" s="5" t="s">
        <v>45</v>
      </c>
      <c r="AA300" s="5" t="s">
        <v>46</v>
      </c>
      <c r="AB300" s="5" t="s">
        <v>1020</v>
      </c>
      <c r="AC300" s="5" t="s">
        <v>1021</v>
      </c>
      <c r="AD300" s="5" t="str">
        <f>_xlfn.CONCAT(Table58911[[#This Row],[&lt;&lt;NOLA&gt;&gt;
NIEM Element]],Table58911[[#This Row],[Repeat Values per attribute]])</f>
        <v>nc:PersonFullNameb</v>
      </c>
    </row>
    <row r="301" spans="1:30" ht="30" customHeight="1" x14ac:dyDescent="0.3">
      <c r="A301" s="5">
        <f t="shared" si="24"/>
        <v>300</v>
      </c>
      <c r="B301" s="5">
        <f t="shared" si="28"/>
        <v>15</v>
      </c>
      <c r="C301" s="5">
        <f t="shared" si="28"/>
        <v>57</v>
      </c>
      <c r="D301" s="5">
        <f t="shared" si="26"/>
        <v>161</v>
      </c>
      <c r="E301" s="5" t="s">
        <v>49</v>
      </c>
      <c r="F301" s="5" t="s">
        <v>8</v>
      </c>
      <c r="G301" s="5">
        <v>255</v>
      </c>
      <c r="H301" s="6" t="s">
        <v>954</v>
      </c>
      <c r="I301" s="7" t="s">
        <v>1005</v>
      </c>
      <c r="J301" s="5" t="s">
        <v>34</v>
      </c>
      <c r="K301" s="5" t="s">
        <v>1006</v>
      </c>
      <c r="L301" s="5" t="s">
        <v>36</v>
      </c>
      <c r="M301" s="8" t="s">
        <v>52</v>
      </c>
      <c r="N301" s="5" t="s">
        <v>1005</v>
      </c>
      <c r="O301" s="5" t="s">
        <v>1017</v>
      </c>
      <c r="P301" s="1" t="s">
        <v>1018</v>
      </c>
      <c r="Q301" s="1" t="s">
        <v>1009</v>
      </c>
      <c r="R301" s="5" t="s">
        <v>1010</v>
      </c>
      <c r="S301" s="5" t="s">
        <v>961</v>
      </c>
      <c r="U301" s="5" t="s">
        <v>1011</v>
      </c>
      <c r="X301" s="9" t="s">
        <v>1016</v>
      </c>
      <c r="Y301" s="5" t="s">
        <v>1017</v>
      </c>
      <c r="Z301" s="5" t="s">
        <v>45</v>
      </c>
      <c r="AA301" s="5" t="s">
        <v>46</v>
      </c>
      <c r="AB301" s="5" t="s">
        <v>1020</v>
      </c>
      <c r="AC301" s="5" t="s">
        <v>1021</v>
      </c>
      <c r="AD301" s="5" t="str">
        <f>_xlfn.CONCAT(Table58911[[#This Row],[&lt;&lt;NOLA&gt;&gt;
NIEM Element]],Table58911[[#This Row],[Repeat Values per attribute]])</f>
        <v>nc:PersonFullNameb</v>
      </c>
    </row>
    <row r="302" spans="1:30" ht="30" customHeight="1" x14ac:dyDescent="0.3">
      <c r="A302" s="5">
        <f t="shared" si="24"/>
        <v>301</v>
      </c>
      <c r="B302" s="5">
        <f t="shared" si="28"/>
        <v>15</v>
      </c>
      <c r="C302" s="5">
        <f t="shared" si="28"/>
        <v>57</v>
      </c>
      <c r="D302" s="5">
        <f t="shared" si="26"/>
        <v>162</v>
      </c>
      <c r="E302" s="5" t="s">
        <v>49</v>
      </c>
      <c r="F302" s="5" t="s">
        <v>8</v>
      </c>
      <c r="G302" s="5">
        <v>255</v>
      </c>
      <c r="H302" s="6" t="s">
        <v>954</v>
      </c>
      <c r="I302" s="7" t="s">
        <v>1005</v>
      </c>
      <c r="J302" s="5" t="s">
        <v>34</v>
      </c>
      <c r="K302" s="5" t="s">
        <v>1006</v>
      </c>
      <c r="L302" s="5" t="s">
        <v>36</v>
      </c>
      <c r="M302" s="8" t="s">
        <v>57</v>
      </c>
      <c r="N302" s="5" t="s">
        <v>1005</v>
      </c>
      <c r="O302" s="5" t="s">
        <v>1022</v>
      </c>
      <c r="P302" s="1" t="s">
        <v>1023</v>
      </c>
      <c r="Q302" s="1" t="s">
        <v>1009</v>
      </c>
      <c r="R302" s="5" t="s">
        <v>1010</v>
      </c>
      <c r="S302" s="5" t="s">
        <v>961</v>
      </c>
      <c r="U302" s="5" t="s">
        <v>1011</v>
      </c>
      <c r="X302" s="9" t="s">
        <v>1024</v>
      </c>
      <c r="Y302" s="5" t="s">
        <v>1022</v>
      </c>
      <c r="Z302" s="5" t="s">
        <v>45</v>
      </c>
      <c r="AA302" s="5" t="s">
        <v>46</v>
      </c>
      <c r="AB302" s="5" t="s">
        <v>1025</v>
      </c>
      <c r="AC302" s="5" t="s">
        <v>1026</v>
      </c>
      <c r="AD302" s="5" t="str">
        <f>_xlfn.CONCAT(Table58911[[#This Row],[&lt;&lt;NOLA&gt;&gt;
NIEM Element]],Table58911[[#This Row],[Repeat Values per attribute]])</f>
        <v>nc:PersonFullNamec</v>
      </c>
    </row>
    <row r="303" spans="1:30" ht="30" customHeight="1" x14ac:dyDescent="0.3">
      <c r="A303" s="5">
        <f t="shared" si="24"/>
        <v>302</v>
      </c>
      <c r="B303" s="5">
        <f t="shared" si="28"/>
        <v>15</v>
      </c>
      <c r="C303" s="5">
        <f t="shared" si="28"/>
        <v>57</v>
      </c>
      <c r="D303" s="5">
        <f t="shared" si="26"/>
        <v>162</v>
      </c>
      <c r="E303" s="5" t="s">
        <v>49</v>
      </c>
      <c r="F303" s="5" t="s">
        <v>8</v>
      </c>
      <c r="G303" s="5">
        <v>255</v>
      </c>
      <c r="H303" s="6" t="s">
        <v>954</v>
      </c>
      <c r="I303" s="7" t="s">
        <v>1005</v>
      </c>
      <c r="J303" s="5" t="s">
        <v>34</v>
      </c>
      <c r="K303" s="5" t="s">
        <v>1006</v>
      </c>
      <c r="L303" s="5" t="s">
        <v>36</v>
      </c>
      <c r="M303" s="8" t="s">
        <v>57</v>
      </c>
      <c r="N303" s="5" t="s">
        <v>1005</v>
      </c>
      <c r="O303" s="5" t="s">
        <v>1022</v>
      </c>
      <c r="P303" s="1" t="s">
        <v>1023</v>
      </c>
      <c r="Q303" s="1" t="s">
        <v>1009</v>
      </c>
      <c r="R303" s="5" t="s">
        <v>1010</v>
      </c>
      <c r="S303" s="5" t="s">
        <v>961</v>
      </c>
      <c r="U303" s="5" t="s">
        <v>1011</v>
      </c>
      <c r="X303" s="9" t="s">
        <v>1015</v>
      </c>
      <c r="Y303" s="5" t="s">
        <v>1022</v>
      </c>
      <c r="Z303" s="5" t="s">
        <v>45</v>
      </c>
      <c r="AA303" s="5" t="s">
        <v>46</v>
      </c>
      <c r="AB303" s="5" t="s">
        <v>1025</v>
      </c>
      <c r="AC303" s="5" t="s">
        <v>1026</v>
      </c>
      <c r="AD303" s="5" t="str">
        <f>_xlfn.CONCAT(Table58911[[#This Row],[&lt;&lt;NOLA&gt;&gt;
NIEM Element]],Table58911[[#This Row],[Repeat Values per attribute]])</f>
        <v>nc:PersonFullNamec</v>
      </c>
    </row>
    <row r="304" spans="1:30" ht="30" customHeight="1" x14ac:dyDescent="0.3">
      <c r="A304" s="5">
        <f t="shared" si="24"/>
        <v>303</v>
      </c>
      <c r="B304" s="5">
        <f t="shared" si="28"/>
        <v>15</v>
      </c>
      <c r="C304" s="5">
        <f t="shared" si="28"/>
        <v>57</v>
      </c>
      <c r="D304" s="5">
        <f t="shared" si="26"/>
        <v>162</v>
      </c>
      <c r="E304" s="5" t="s">
        <v>49</v>
      </c>
      <c r="F304" s="5" t="s">
        <v>8</v>
      </c>
      <c r="G304" s="5">
        <v>255</v>
      </c>
      <c r="H304" s="6" t="s">
        <v>954</v>
      </c>
      <c r="I304" s="7" t="s">
        <v>1005</v>
      </c>
      <c r="J304" s="5" t="s">
        <v>34</v>
      </c>
      <c r="K304" s="5" t="s">
        <v>1006</v>
      </c>
      <c r="L304" s="5" t="s">
        <v>36</v>
      </c>
      <c r="M304" s="8" t="s">
        <v>57</v>
      </c>
      <c r="N304" s="5" t="s">
        <v>1005</v>
      </c>
      <c r="O304" s="5" t="s">
        <v>1022</v>
      </c>
      <c r="P304" s="1" t="s">
        <v>1023</v>
      </c>
      <c r="Q304" s="1" t="s">
        <v>1009</v>
      </c>
      <c r="R304" s="5" t="s">
        <v>1010</v>
      </c>
      <c r="S304" s="5" t="s">
        <v>961</v>
      </c>
      <c r="U304" s="5" t="s">
        <v>1011</v>
      </c>
      <c r="X304" s="9" t="s">
        <v>1016</v>
      </c>
      <c r="Y304" s="5" t="s">
        <v>1022</v>
      </c>
      <c r="Z304" s="5" t="s">
        <v>45</v>
      </c>
      <c r="AA304" s="5" t="s">
        <v>46</v>
      </c>
      <c r="AB304" s="5" t="s">
        <v>1025</v>
      </c>
      <c r="AC304" s="5" t="s">
        <v>1026</v>
      </c>
      <c r="AD304" s="5" t="str">
        <f>_xlfn.CONCAT(Table58911[[#This Row],[&lt;&lt;NOLA&gt;&gt;
NIEM Element]],Table58911[[#This Row],[Repeat Values per attribute]])</f>
        <v>nc:PersonFullNamec</v>
      </c>
    </row>
    <row r="305" spans="1:30" ht="30" customHeight="1" x14ac:dyDescent="0.3">
      <c r="A305" s="5">
        <f t="shared" si="24"/>
        <v>304</v>
      </c>
      <c r="B305" s="5">
        <f t="shared" si="28"/>
        <v>15</v>
      </c>
      <c r="C305" s="5">
        <f t="shared" si="28"/>
        <v>57</v>
      </c>
      <c r="D305" s="5">
        <f t="shared" si="26"/>
        <v>163</v>
      </c>
      <c r="E305" s="5" t="s">
        <v>49</v>
      </c>
      <c r="F305" s="5" t="s">
        <v>8</v>
      </c>
      <c r="G305" s="5">
        <v>255</v>
      </c>
      <c r="H305" s="6" t="s">
        <v>954</v>
      </c>
      <c r="I305" s="7" t="s">
        <v>1005</v>
      </c>
      <c r="J305" s="5" t="s">
        <v>34</v>
      </c>
      <c r="K305" s="5" t="s">
        <v>1006</v>
      </c>
      <c r="L305" s="5" t="s">
        <v>36</v>
      </c>
      <c r="M305" s="8" t="s">
        <v>49</v>
      </c>
      <c r="N305" s="5" t="s">
        <v>1005</v>
      </c>
      <c r="O305" s="5" t="s">
        <v>1027</v>
      </c>
      <c r="P305" s="1" t="s">
        <v>1028</v>
      </c>
      <c r="Q305" s="1" t="s">
        <v>1009</v>
      </c>
      <c r="R305" s="5" t="s">
        <v>1010</v>
      </c>
      <c r="S305" s="5" t="s">
        <v>961</v>
      </c>
      <c r="U305" s="5" t="s">
        <v>1011</v>
      </c>
      <c r="X305" s="9" t="s">
        <v>1024</v>
      </c>
      <c r="Y305" s="5" t="s">
        <v>1027</v>
      </c>
      <c r="Z305" s="5" t="s">
        <v>45</v>
      </c>
      <c r="AA305" s="5" t="s">
        <v>46</v>
      </c>
      <c r="AB305" s="5" t="s">
        <v>1029</v>
      </c>
      <c r="AC305" s="5" t="s">
        <v>1030</v>
      </c>
      <c r="AD305" s="5" t="str">
        <f>_xlfn.CONCAT(Table58911[[#This Row],[&lt;&lt;NOLA&gt;&gt;
NIEM Element]],Table58911[[#This Row],[Repeat Values per attribute]])</f>
        <v>nc:PersonFullNamed</v>
      </c>
    </row>
    <row r="306" spans="1:30" ht="30" customHeight="1" x14ac:dyDescent="0.3">
      <c r="A306" s="5">
        <f t="shared" si="24"/>
        <v>305</v>
      </c>
      <c r="B306" s="5">
        <f t="shared" ref="B306:C321" si="29">IF(H305=H306,B305,B305+1)</f>
        <v>15</v>
      </c>
      <c r="C306" s="5">
        <f t="shared" si="29"/>
        <v>57</v>
      </c>
      <c r="D306" s="5">
        <f t="shared" si="26"/>
        <v>163</v>
      </c>
      <c r="E306" s="5" t="s">
        <v>49</v>
      </c>
      <c r="F306" s="5" t="s">
        <v>8</v>
      </c>
      <c r="G306" s="5">
        <v>255</v>
      </c>
      <c r="H306" s="6" t="s">
        <v>954</v>
      </c>
      <c r="I306" s="7" t="s">
        <v>1005</v>
      </c>
      <c r="J306" s="5" t="s">
        <v>34</v>
      </c>
      <c r="K306" s="5" t="s">
        <v>1006</v>
      </c>
      <c r="L306" s="5" t="s">
        <v>36</v>
      </c>
      <c r="M306" s="8" t="s">
        <v>49</v>
      </c>
      <c r="N306" s="5" t="s">
        <v>1005</v>
      </c>
      <c r="O306" s="5" t="s">
        <v>1027</v>
      </c>
      <c r="P306" s="1" t="s">
        <v>1028</v>
      </c>
      <c r="Q306" s="1" t="s">
        <v>1009</v>
      </c>
      <c r="R306" s="5" t="s">
        <v>1010</v>
      </c>
      <c r="S306" s="5" t="s">
        <v>961</v>
      </c>
      <c r="U306" s="5" t="s">
        <v>1011</v>
      </c>
      <c r="X306" s="9" t="s">
        <v>1015</v>
      </c>
      <c r="Y306" s="5" t="s">
        <v>1027</v>
      </c>
      <c r="Z306" s="5" t="s">
        <v>45</v>
      </c>
      <c r="AA306" s="5" t="s">
        <v>46</v>
      </c>
      <c r="AB306" s="5" t="s">
        <v>1029</v>
      </c>
      <c r="AC306" s="5" t="s">
        <v>1030</v>
      </c>
      <c r="AD306" s="5" t="str">
        <f>_xlfn.CONCAT(Table58911[[#This Row],[&lt;&lt;NOLA&gt;&gt;
NIEM Element]],Table58911[[#This Row],[Repeat Values per attribute]])</f>
        <v>nc:PersonFullNamed</v>
      </c>
    </row>
    <row r="307" spans="1:30" ht="30" customHeight="1" x14ac:dyDescent="0.3">
      <c r="A307" s="5">
        <f t="shared" si="24"/>
        <v>306</v>
      </c>
      <c r="B307" s="5">
        <f t="shared" si="29"/>
        <v>15</v>
      </c>
      <c r="C307" s="5">
        <f t="shared" si="29"/>
        <v>57</v>
      </c>
      <c r="D307" s="5">
        <f t="shared" si="26"/>
        <v>163</v>
      </c>
      <c r="E307" s="5" t="s">
        <v>49</v>
      </c>
      <c r="F307" s="5" t="s">
        <v>8</v>
      </c>
      <c r="G307" s="5">
        <v>255</v>
      </c>
      <c r="H307" s="6" t="s">
        <v>954</v>
      </c>
      <c r="I307" s="7" t="s">
        <v>1005</v>
      </c>
      <c r="J307" s="5" t="s">
        <v>34</v>
      </c>
      <c r="K307" s="5" t="s">
        <v>1006</v>
      </c>
      <c r="L307" s="5" t="s">
        <v>36</v>
      </c>
      <c r="M307" s="8" t="s">
        <v>49</v>
      </c>
      <c r="N307" s="5" t="s">
        <v>1005</v>
      </c>
      <c r="O307" s="5" t="s">
        <v>1027</v>
      </c>
      <c r="P307" s="1" t="s">
        <v>1028</v>
      </c>
      <c r="Q307" s="1" t="s">
        <v>1009</v>
      </c>
      <c r="R307" s="5" t="s">
        <v>1010</v>
      </c>
      <c r="S307" s="5" t="s">
        <v>961</v>
      </c>
      <c r="U307" s="5" t="s">
        <v>1011</v>
      </c>
      <c r="X307" s="9" t="s">
        <v>1016</v>
      </c>
      <c r="Y307" s="5" t="s">
        <v>1027</v>
      </c>
      <c r="Z307" s="5" t="s">
        <v>45</v>
      </c>
      <c r="AA307" s="5" t="s">
        <v>46</v>
      </c>
      <c r="AB307" s="5" t="s">
        <v>1029</v>
      </c>
      <c r="AC307" s="5" t="s">
        <v>1030</v>
      </c>
      <c r="AD307" s="5" t="str">
        <f>_xlfn.CONCAT(Table58911[[#This Row],[&lt;&lt;NOLA&gt;&gt;
NIEM Element]],Table58911[[#This Row],[Repeat Values per attribute]])</f>
        <v>nc:PersonFullNamed</v>
      </c>
    </row>
    <row r="308" spans="1:30" ht="30" customHeight="1" x14ac:dyDescent="0.3">
      <c r="A308" s="5">
        <f t="shared" si="24"/>
        <v>307</v>
      </c>
      <c r="B308" s="5">
        <f t="shared" si="29"/>
        <v>15</v>
      </c>
      <c r="C308" s="5">
        <f t="shared" si="29"/>
        <v>58</v>
      </c>
      <c r="D308" s="5">
        <f t="shared" si="26"/>
        <v>164</v>
      </c>
      <c r="E308" s="5" t="s">
        <v>32</v>
      </c>
      <c r="F308" s="5" t="s">
        <v>8</v>
      </c>
      <c r="G308" s="5">
        <v>258</v>
      </c>
      <c r="H308" s="6" t="s">
        <v>954</v>
      </c>
      <c r="I308" s="7" t="s">
        <v>1031</v>
      </c>
      <c r="J308" s="5" t="s">
        <v>34</v>
      </c>
      <c r="K308" s="5" t="s">
        <v>1032</v>
      </c>
      <c r="L308" s="5" t="s">
        <v>36</v>
      </c>
      <c r="M308" s="8" t="s">
        <v>37</v>
      </c>
      <c r="N308" s="5" t="s">
        <v>1031</v>
      </c>
      <c r="O308" s="5" t="s">
        <v>1033</v>
      </c>
      <c r="P308" s="5" t="s">
        <v>1034</v>
      </c>
      <c r="Q308" s="1" t="s">
        <v>1035</v>
      </c>
      <c r="R308" s="5" t="s">
        <v>1036</v>
      </c>
      <c r="S308" s="5" t="s">
        <v>961</v>
      </c>
      <c r="T308" s="5" t="s">
        <v>962</v>
      </c>
      <c r="U308" s="5" t="s">
        <v>1037</v>
      </c>
      <c r="X308" s="9" t="s">
        <v>1038</v>
      </c>
      <c r="Y308" s="5" t="s">
        <v>1033</v>
      </c>
      <c r="Z308" s="5" t="s">
        <v>45</v>
      </c>
      <c r="AA308" s="5" t="s">
        <v>46</v>
      </c>
      <c r="AB308" s="5" t="s">
        <v>1039</v>
      </c>
      <c r="AC308" s="5" t="s">
        <v>1040</v>
      </c>
      <c r="AD308" s="5" t="str">
        <f>_xlfn.CONCAT(Table58911[[#This Row],[&lt;&lt;NOLA&gt;&gt;
NIEM Element]],Table58911[[#This Row],[Repeat Values per attribute]])</f>
        <v>nc:PersonSurNamea</v>
      </c>
    </row>
    <row r="309" spans="1:30" ht="30" customHeight="1" x14ac:dyDescent="0.3">
      <c r="A309" s="5">
        <f t="shared" si="24"/>
        <v>308</v>
      </c>
      <c r="B309" s="5">
        <f t="shared" si="29"/>
        <v>15</v>
      </c>
      <c r="C309" s="5">
        <f t="shared" si="29"/>
        <v>58</v>
      </c>
      <c r="D309" s="5">
        <f t="shared" si="26"/>
        <v>164</v>
      </c>
      <c r="E309" s="5" t="s">
        <v>49</v>
      </c>
      <c r="F309" s="5" t="s">
        <v>8</v>
      </c>
      <c r="G309" s="5">
        <v>258</v>
      </c>
      <c r="H309" s="6" t="s">
        <v>954</v>
      </c>
      <c r="I309" s="7" t="s">
        <v>1031</v>
      </c>
      <c r="J309" s="5" t="s">
        <v>34</v>
      </c>
      <c r="K309" s="5" t="s">
        <v>1032</v>
      </c>
      <c r="L309" s="5" t="s">
        <v>36</v>
      </c>
      <c r="M309" s="8" t="s">
        <v>37</v>
      </c>
      <c r="N309" s="5" t="s">
        <v>1031</v>
      </c>
      <c r="O309" s="5" t="s">
        <v>1033</v>
      </c>
      <c r="P309" s="5" t="s">
        <v>1034</v>
      </c>
      <c r="Q309" s="1" t="s">
        <v>1035</v>
      </c>
      <c r="R309" s="5" t="s">
        <v>1036</v>
      </c>
      <c r="S309" s="5" t="s">
        <v>961</v>
      </c>
      <c r="T309" s="5" t="s">
        <v>962</v>
      </c>
      <c r="U309" s="5" t="s">
        <v>1037</v>
      </c>
      <c r="X309" s="9" t="s">
        <v>1041</v>
      </c>
      <c r="Y309" s="5" t="s">
        <v>1033</v>
      </c>
      <c r="Z309" s="5" t="s">
        <v>45</v>
      </c>
      <c r="AA309" s="5" t="s">
        <v>46</v>
      </c>
      <c r="AB309" s="5" t="s">
        <v>1039</v>
      </c>
      <c r="AC309" s="5" t="s">
        <v>1040</v>
      </c>
      <c r="AD309" s="5" t="str">
        <f>_xlfn.CONCAT(Table58911[[#This Row],[&lt;&lt;NOLA&gt;&gt;
NIEM Element]],Table58911[[#This Row],[Repeat Values per attribute]])</f>
        <v>nc:PersonSurNamea</v>
      </c>
    </row>
    <row r="310" spans="1:30" ht="30" customHeight="1" x14ac:dyDescent="0.3">
      <c r="A310" s="5">
        <f t="shared" si="24"/>
        <v>309</v>
      </c>
      <c r="B310" s="5">
        <f t="shared" si="29"/>
        <v>15</v>
      </c>
      <c r="C310" s="5">
        <f t="shared" si="29"/>
        <v>58</v>
      </c>
      <c r="D310" s="5">
        <f t="shared" si="26"/>
        <v>164</v>
      </c>
      <c r="E310" s="5" t="s">
        <v>49</v>
      </c>
      <c r="F310" s="5" t="s">
        <v>8</v>
      </c>
      <c r="G310" s="5">
        <v>258</v>
      </c>
      <c r="H310" s="6" t="s">
        <v>954</v>
      </c>
      <c r="I310" s="7" t="s">
        <v>1031</v>
      </c>
      <c r="J310" s="5" t="s">
        <v>34</v>
      </c>
      <c r="K310" s="5" t="s">
        <v>1032</v>
      </c>
      <c r="L310" s="5" t="s">
        <v>36</v>
      </c>
      <c r="M310" s="8" t="s">
        <v>37</v>
      </c>
      <c r="N310" s="5" t="s">
        <v>1031</v>
      </c>
      <c r="O310" s="5" t="s">
        <v>1033</v>
      </c>
      <c r="P310" s="5" t="s">
        <v>1034</v>
      </c>
      <c r="Q310" s="1" t="s">
        <v>1035</v>
      </c>
      <c r="R310" s="5" t="s">
        <v>1036</v>
      </c>
      <c r="S310" s="5" t="s">
        <v>961</v>
      </c>
      <c r="T310" s="5" t="s">
        <v>962</v>
      </c>
      <c r="U310" s="5" t="s">
        <v>1037</v>
      </c>
      <c r="X310" s="9" t="s">
        <v>1042</v>
      </c>
      <c r="Y310" s="5" t="s">
        <v>1033</v>
      </c>
      <c r="Z310" s="5" t="s">
        <v>45</v>
      </c>
      <c r="AA310" s="5" t="s">
        <v>46</v>
      </c>
      <c r="AB310" s="5" t="s">
        <v>1039</v>
      </c>
      <c r="AC310" s="5" t="s">
        <v>1040</v>
      </c>
      <c r="AD310" s="5" t="str">
        <f>_xlfn.CONCAT(Table58911[[#This Row],[&lt;&lt;NOLA&gt;&gt;
NIEM Element]],Table58911[[#This Row],[Repeat Values per attribute]])</f>
        <v>nc:PersonSurNamea</v>
      </c>
    </row>
    <row r="311" spans="1:30" ht="30" customHeight="1" x14ac:dyDescent="0.3">
      <c r="A311" s="5">
        <f t="shared" si="24"/>
        <v>310</v>
      </c>
      <c r="B311" s="5">
        <f t="shared" si="29"/>
        <v>15</v>
      </c>
      <c r="C311" s="5">
        <f t="shared" si="29"/>
        <v>58</v>
      </c>
      <c r="D311" s="5">
        <f t="shared" si="26"/>
        <v>165</v>
      </c>
      <c r="E311" s="5" t="s">
        <v>32</v>
      </c>
      <c r="F311" s="5" t="s">
        <v>8</v>
      </c>
      <c r="G311" s="5">
        <v>258</v>
      </c>
      <c r="H311" s="6" t="s">
        <v>954</v>
      </c>
      <c r="I311" s="7" t="s">
        <v>1031</v>
      </c>
      <c r="J311" s="5" t="s">
        <v>34</v>
      </c>
      <c r="K311" s="5" t="s">
        <v>1032</v>
      </c>
      <c r="L311" s="5" t="s">
        <v>36</v>
      </c>
      <c r="M311" s="8" t="s">
        <v>52</v>
      </c>
      <c r="N311" s="5" t="s">
        <v>1031</v>
      </c>
      <c r="O311" s="5" t="s">
        <v>1043</v>
      </c>
      <c r="P311" s="1" t="s">
        <v>1044</v>
      </c>
      <c r="Q311" s="1" t="s">
        <v>1035</v>
      </c>
      <c r="R311" s="5" t="s">
        <v>989</v>
      </c>
      <c r="S311" s="5" t="s">
        <v>961</v>
      </c>
      <c r="T311" s="5" t="s">
        <v>962</v>
      </c>
      <c r="U311" s="5" t="s">
        <v>1037</v>
      </c>
      <c r="X311" s="9" t="s">
        <v>990</v>
      </c>
      <c r="Y311" s="5" t="s">
        <v>1043</v>
      </c>
      <c r="Z311" s="5" t="s">
        <v>45</v>
      </c>
      <c r="AA311" s="5" t="s">
        <v>46</v>
      </c>
      <c r="AB311" s="5" t="s">
        <v>1045</v>
      </c>
      <c r="AC311" s="5" t="s">
        <v>1046</v>
      </c>
      <c r="AD311" s="5" t="str">
        <f>_xlfn.CONCAT(Table58911[[#This Row],[&lt;&lt;NOLA&gt;&gt;
NIEM Element]],Table58911[[#This Row],[Repeat Values per attribute]])</f>
        <v>em:PersonAlternateNameb</v>
      </c>
    </row>
    <row r="312" spans="1:30" ht="30" customHeight="1" x14ac:dyDescent="0.3">
      <c r="A312" s="5">
        <f t="shared" si="24"/>
        <v>311</v>
      </c>
      <c r="B312" s="5">
        <f t="shared" si="29"/>
        <v>15</v>
      </c>
      <c r="C312" s="5">
        <f t="shared" si="29"/>
        <v>58</v>
      </c>
      <c r="D312" s="5">
        <f t="shared" si="26"/>
        <v>166</v>
      </c>
      <c r="E312" s="5" t="s">
        <v>49</v>
      </c>
      <c r="F312" s="5" t="s">
        <v>8</v>
      </c>
      <c r="G312" s="5">
        <v>258</v>
      </c>
      <c r="H312" s="6" t="s">
        <v>954</v>
      </c>
      <c r="I312" s="7" t="s">
        <v>1031</v>
      </c>
      <c r="J312" s="5" t="s">
        <v>34</v>
      </c>
      <c r="K312" s="5" t="s">
        <v>1032</v>
      </c>
      <c r="L312" s="5" t="s">
        <v>36</v>
      </c>
      <c r="M312" s="8" t="s">
        <v>52</v>
      </c>
      <c r="N312" s="5" t="s">
        <v>1031</v>
      </c>
      <c r="O312" s="5" t="s">
        <v>1043</v>
      </c>
      <c r="P312" s="1" t="s">
        <v>1044</v>
      </c>
      <c r="Q312" s="1" t="s">
        <v>1035</v>
      </c>
      <c r="R312" s="5" t="s">
        <v>1036</v>
      </c>
      <c r="S312" s="5" t="s">
        <v>961</v>
      </c>
      <c r="T312" s="5" t="s">
        <v>962</v>
      </c>
      <c r="U312" s="5" t="s">
        <v>1037</v>
      </c>
      <c r="X312" s="9" t="s">
        <v>1041</v>
      </c>
      <c r="Y312" s="5" t="s">
        <v>1043</v>
      </c>
      <c r="Z312" s="5" t="s">
        <v>45</v>
      </c>
      <c r="AA312" s="5" t="s">
        <v>46</v>
      </c>
      <c r="AB312" s="5" t="s">
        <v>1045</v>
      </c>
      <c r="AC312" s="5" t="s">
        <v>1046</v>
      </c>
      <c r="AD312" s="5" t="str">
        <f>_xlfn.CONCAT(Table58911[[#This Row],[&lt;&lt;NOLA&gt;&gt;
NIEM Element]],Table58911[[#This Row],[Repeat Values per attribute]])</f>
        <v>nc:PersonSurNameb</v>
      </c>
    </row>
    <row r="313" spans="1:30" ht="30" customHeight="1" x14ac:dyDescent="0.3">
      <c r="A313" s="5">
        <f t="shared" si="24"/>
        <v>312</v>
      </c>
      <c r="B313" s="5">
        <f t="shared" si="29"/>
        <v>15</v>
      </c>
      <c r="C313" s="5">
        <f t="shared" si="29"/>
        <v>58</v>
      </c>
      <c r="D313" s="5">
        <f t="shared" si="26"/>
        <v>166</v>
      </c>
      <c r="E313" s="5" t="s">
        <v>49</v>
      </c>
      <c r="F313" s="5" t="s">
        <v>8</v>
      </c>
      <c r="G313" s="5">
        <v>258</v>
      </c>
      <c r="H313" s="6" t="s">
        <v>954</v>
      </c>
      <c r="I313" s="7" t="s">
        <v>1031</v>
      </c>
      <c r="J313" s="5" t="s">
        <v>34</v>
      </c>
      <c r="K313" s="5" t="s">
        <v>1032</v>
      </c>
      <c r="L313" s="5" t="s">
        <v>36</v>
      </c>
      <c r="M313" s="8" t="s">
        <v>52</v>
      </c>
      <c r="N313" s="5" t="s">
        <v>1031</v>
      </c>
      <c r="O313" s="5" t="s">
        <v>1043</v>
      </c>
      <c r="P313" s="1" t="s">
        <v>1044</v>
      </c>
      <c r="Q313" s="1" t="s">
        <v>1035</v>
      </c>
      <c r="R313" s="5" t="s">
        <v>1036</v>
      </c>
      <c r="S313" s="5" t="s">
        <v>961</v>
      </c>
      <c r="T313" s="5" t="s">
        <v>962</v>
      </c>
      <c r="U313" s="5" t="s">
        <v>1037</v>
      </c>
      <c r="X313" s="9" t="s">
        <v>1042</v>
      </c>
      <c r="Y313" s="5" t="s">
        <v>1043</v>
      </c>
      <c r="Z313" s="5" t="s">
        <v>45</v>
      </c>
      <c r="AA313" s="5" t="s">
        <v>46</v>
      </c>
      <c r="AB313" s="5" t="s">
        <v>1045</v>
      </c>
      <c r="AC313" s="5" t="s">
        <v>1046</v>
      </c>
      <c r="AD313" s="5" t="str">
        <f>_xlfn.CONCAT(Table58911[[#This Row],[&lt;&lt;NOLA&gt;&gt;
NIEM Element]],Table58911[[#This Row],[Repeat Values per attribute]])</f>
        <v>nc:PersonSurNameb</v>
      </c>
    </row>
    <row r="314" spans="1:30" ht="30" customHeight="1" x14ac:dyDescent="0.3">
      <c r="A314" s="5">
        <f t="shared" si="24"/>
        <v>313</v>
      </c>
      <c r="B314" s="5">
        <f t="shared" si="29"/>
        <v>15</v>
      </c>
      <c r="C314" s="5">
        <f t="shared" si="29"/>
        <v>58</v>
      </c>
      <c r="D314" s="5">
        <f t="shared" si="26"/>
        <v>167</v>
      </c>
      <c r="E314" s="5" t="s">
        <v>32</v>
      </c>
      <c r="F314" s="5" t="s">
        <v>8</v>
      </c>
      <c r="G314" s="5">
        <v>258</v>
      </c>
      <c r="H314" s="6" t="s">
        <v>954</v>
      </c>
      <c r="I314" s="7" t="s">
        <v>1031</v>
      </c>
      <c r="J314" s="5" t="s">
        <v>34</v>
      </c>
      <c r="K314" s="5" t="s">
        <v>1032</v>
      </c>
      <c r="L314" s="5" t="s">
        <v>36</v>
      </c>
      <c r="M314" s="8" t="s">
        <v>57</v>
      </c>
      <c r="N314" s="5" t="s">
        <v>1031</v>
      </c>
      <c r="O314" s="5" t="s">
        <v>1047</v>
      </c>
      <c r="P314" s="1" t="s">
        <v>1048</v>
      </c>
      <c r="Q314" s="1" t="s">
        <v>1035</v>
      </c>
      <c r="R314" s="5" t="s">
        <v>1036</v>
      </c>
      <c r="S314" s="5" t="s">
        <v>961</v>
      </c>
      <c r="T314" s="5" t="s">
        <v>962</v>
      </c>
      <c r="U314" s="5" t="s">
        <v>1037</v>
      </c>
      <c r="X314" s="9" t="s">
        <v>1049</v>
      </c>
      <c r="Y314" s="5" t="s">
        <v>1047</v>
      </c>
      <c r="Z314" s="5" t="s">
        <v>45</v>
      </c>
      <c r="AA314" s="5" t="s">
        <v>46</v>
      </c>
      <c r="AB314" s="5" t="s">
        <v>1050</v>
      </c>
      <c r="AC314" s="5" t="s">
        <v>1051</v>
      </c>
      <c r="AD314" s="5" t="str">
        <f>_xlfn.CONCAT(Table58911[[#This Row],[&lt;&lt;NOLA&gt;&gt;
NIEM Element]],Table58911[[#This Row],[Repeat Values per attribute]])</f>
        <v>nc:PersonSurNamec</v>
      </c>
    </row>
    <row r="315" spans="1:30" ht="30" customHeight="1" x14ac:dyDescent="0.3">
      <c r="A315" s="5">
        <f t="shared" si="24"/>
        <v>314</v>
      </c>
      <c r="B315" s="5">
        <f t="shared" si="29"/>
        <v>15</v>
      </c>
      <c r="C315" s="5">
        <f t="shared" si="29"/>
        <v>58</v>
      </c>
      <c r="D315" s="5">
        <f t="shared" si="26"/>
        <v>167</v>
      </c>
      <c r="E315" s="5" t="s">
        <v>49</v>
      </c>
      <c r="F315" s="5" t="s">
        <v>8</v>
      </c>
      <c r="G315" s="5">
        <v>258</v>
      </c>
      <c r="H315" s="6" t="s">
        <v>954</v>
      </c>
      <c r="I315" s="7" t="s">
        <v>1031</v>
      </c>
      <c r="J315" s="5" t="s">
        <v>34</v>
      </c>
      <c r="K315" s="5" t="s">
        <v>1032</v>
      </c>
      <c r="L315" s="5" t="s">
        <v>36</v>
      </c>
      <c r="M315" s="8" t="s">
        <v>57</v>
      </c>
      <c r="N315" s="5" t="s">
        <v>1031</v>
      </c>
      <c r="O315" s="5" t="s">
        <v>1047</v>
      </c>
      <c r="P315" s="1" t="s">
        <v>1048</v>
      </c>
      <c r="Q315" s="1" t="s">
        <v>1035</v>
      </c>
      <c r="R315" s="5" t="s">
        <v>1036</v>
      </c>
      <c r="S315" s="5" t="s">
        <v>961</v>
      </c>
      <c r="T315" s="5" t="s">
        <v>962</v>
      </c>
      <c r="U315" s="5" t="s">
        <v>1037</v>
      </c>
      <c r="X315" s="9" t="s">
        <v>1041</v>
      </c>
      <c r="Y315" s="5" t="s">
        <v>1047</v>
      </c>
      <c r="Z315" s="5" t="s">
        <v>45</v>
      </c>
      <c r="AA315" s="5" t="s">
        <v>46</v>
      </c>
      <c r="AB315" s="5" t="s">
        <v>1050</v>
      </c>
      <c r="AC315" s="5" t="s">
        <v>1051</v>
      </c>
      <c r="AD315" s="5" t="str">
        <f>_xlfn.CONCAT(Table58911[[#This Row],[&lt;&lt;NOLA&gt;&gt;
NIEM Element]],Table58911[[#This Row],[Repeat Values per attribute]])</f>
        <v>nc:PersonSurNamec</v>
      </c>
    </row>
    <row r="316" spans="1:30" ht="30" customHeight="1" x14ac:dyDescent="0.3">
      <c r="A316" s="5">
        <f t="shared" si="24"/>
        <v>315</v>
      </c>
      <c r="B316" s="5">
        <f t="shared" si="29"/>
        <v>15</v>
      </c>
      <c r="C316" s="5">
        <f t="shared" si="29"/>
        <v>58</v>
      </c>
      <c r="D316" s="5">
        <f t="shared" si="26"/>
        <v>167</v>
      </c>
      <c r="E316" s="5" t="s">
        <v>49</v>
      </c>
      <c r="F316" s="5" t="s">
        <v>8</v>
      </c>
      <c r="G316" s="5">
        <v>258</v>
      </c>
      <c r="H316" s="6" t="s">
        <v>954</v>
      </c>
      <c r="I316" s="7" t="s">
        <v>1031</v>
      </c>
      <c r="J316" s="5" t="s">
        <v>34</v>
      </c>
      <c r="K316" s="5" t="s">
        <v>1032</v>
      </c>
      <c r="L316" s="5" t="s">
        <v>36</v>
      </c>
      <c r="M316" s="8" t="s">
        <v>57</v>
      </c>
      <c r="N316" s="5" t="s">
        <v>1031</v>
      </c>
      <c r="O316" s="5" t="s">
        <v>1047</v>
      </c>
      <c r="P316" s="1" t="s">
        <v>1048</v>
      </c>
      <c r="Q316" s="1" t="s">
        <v>1035</v>
      </c>
      <c r="R316" s="5" t="s">
        <v>1036</v>
      </c>
      <c r="S316" s="5" t="s">
        <v>961</v>
      </c>
      <c r="T316" s="5" t="s">
        <v>962</v>
      </c>
      <c r="U316" s="5" t="s">
        <v>1037</v>
      </c>
      <c r="X316" s="9" t="s">
        <v>1042</v>
      </c>
      <c r="Y316" s="5" t="s">
        <v>1047</v>
      </c>
      <c r="Z316" s="5" t="s">
        <v>45</v>
      </c>
      <c r="AA316" s="5" t="s">
        <v>46</v>
      </c>
      <c r="AB316" s="5" t="s">
        <v>1050</v>
      </c>
      <c r="AC316" s="5" t="s">
        <v>1051</v>
      </c>
      <c r="AD316" s="5" t="str">
        <f>_xlfn.CONCAT(Table58911[[#This Row],[&lt;&lt;NOLA&gt;&gt;
NIEM Element]],Table58911[[#This Row],[Repeat Values per attribute]])</f>
        <v>nc:PersonSurNamec</v>
      </c>
    </row>
    <row r="317" spans="1:30" ht="30" customHeight="1" x14ac:dyDescent="0.3">
      <c r="A317" s="5">
        <f t="shared" si="24"/>
        <v>316</v>
      </c>
      <c r="B317" s="5">
        <f t="shared" si="29"/>
        <v>15</v>
      </c>
      <c r="C317" s="5">
        <f t="shared" si="29"/>
        <v>58</v>
      </c>
      <c r="D317" s="5">
        <f t="shared" si="26"/>
        <v>168</v>
      </c>
      <c r="E317" s="5" t="s">
        <v>32</v>
      </c>
      <c r="F317" s="5" t="s">
        <v>8</v>
      </c>
      <c r="G317" s="5">
        <v>258</v>
      </c>
      <c r="H317" s="6" t="s">
        <v>954</v>
      </c>
      <c r="I317" s="7" t="s">
        <v>1031</v>
      </c>
      <c r="J317" s="5" t="s">
        <v>34</v>
      </c>
      <c r="K317" s="5" t="s">
        <v>1032</v>
      </c>
      <c r="L317" s="5" t="s">
        <v>36</v>
      </c>
      <c r="M317" s="8" t="s">
        <v>49</v>
      </c>
      <c r="N317" s="5" t="s">
        <v>1031</v>
      </c>
      <c r="O317" s="5" t="s">
        <v>1052</v>
      </c>
      <c r="P317" s="1" t="s">
        <v>1053</v>
      </c>
      <c r="Q317" s="1" t="s">
        <v>1035</v>
      </c>
      <c r="R317" s="5" t="s">
        <v>1036</v>
      </c>
      <c r="S317" s="5" t="s">
        <v>961</v>
      </c>
      <c r="T317" s="5" t="s">
        <v>962</v>
      </c>
      <c r="U317" s="5" t="s">
        <v>1037</v>
      </c>
      <c r="X317" s="9" t="s">
        <v>1054</v>
      </c>
      <c r="Y317" s="5" t="s">
        <v>1052</v>
      </c>
      <c r="Z317" s="5" t="s">
        <v>45</v>
      </c>
      <c r="AA317" s="5" t="s">
        <v>46</v>
      </c>
      <c r="AB317" s="5" t="s">
        <v>1055</v>
      </c>
      <c r="AC317" s="5" t="s">
        <v>1056</v>
      </c>
      <c r="AD317" s="5" t="str">
        <f>_xlfn.CONCAT(Table58911[[#This Row],[&lt;&lt;NOLA&gt;&gt;
NIEM Element]],Table58911[[#This Row],[Repeat Values per attribute]])</f>
        <v>nc:PersonSurNamed</v>
      </c>
    </row>
    <row r="318" spans="1:30" ht="30" customHeight="1" x14ac:dyDescent="0.3">
      <c r="A318" s="5">
        <f t="shared" si="24"/>
        <v>317</v>
      </c>
      <c r="B318" s="5">
        <f t="shared" si="29"/>
        <v>15</v>
      </c>
      <c r="C318" s="5">
        <f t="shared" si="29"/>
        <v>58</v>
      </c>
      <c r="D318" s="5">
        <f t="shared" si="26"/>
        <v>168</v>
      </c>
      <c r="E318" s="5" t="s">
        <v>49</v>
      </c>
      <c r="F318" s="5" t="s">
        <v>8</v>
      </c>
      <c r="G318" s="5">
        <v>258</v>
      </c>
      <c r="H318" s="6" t="s">
        <v>954</v>
      </c>
      <c r="I318" s="7" t="s">
        <v>1031</v>
      </c>
      <c r="J318" s="5" t="s">
        <v>34</v>
      </c>
      <c r="K318" s="5" t="s">
        <v>1032</v>
      </c>
      <c r="L318" s="5" t="s">
        <v>36</v>
      </c>
      <c r="M318" s="8" t="s">
        <v>49</v>
      </c>
      <c r="N318" s="5" t="s">
        <v>1031</v>
      </c>
      <c r="O318" s="5" t="s">
        <v>1052</v>
      </c>
      <c r="P318" s="1" t="s">
        <v>1053</v>
      </c>
      <c r="Q318" s="1" t="s">
        <v>1035</v>
      </c>
      <c r="R318" s="5" t="s">
        <v>1036</v>
      </c>
      <c r="S318" s="5" t="s">
        <v>961</v>
      </c>
      <c r="T318" s="5" t="s">
        <v>962</v>
      </c>
      <c r="U318" s="5" t="s">
        <v>1037</v>
      </c>
      <c r="X318" s="9" t="s">
        <v>1041</v>
      </c>
      <c r="Y318" s="5" t="s">
        <v>1052</v>
      </c>
      <c r="Z318" s="5" t="s">
        <v>45</v>
      </c>
      <c r="AA318" s="5" t="s">
        <v>46</v>
      </c>
      <c r="AB318" s="5" t="s">
        <v>1055</v>
      </c>
      <c r="AC318" s="5" t="s">
        <v>1056</v>
      </c>
      <c r="AD318" s="5" t="str">
        <f>_xlfn.CONCAT(Table58911[[#This Row],[&lt;&lt;NOLA&gt;&gt;
NIEM Element]],Table58911[[#This Row],[Repeat Values per attribute]])</f>
        <v>nc:PersonSurNamed</v>
      </c>
    </row>
    <row r="319" spans="1:30" ht="30" customHeight="1" x14ac:dyDescent="0.3">
      <c r="A319" s="5">
        <f t="shared" si="24"/>
        <v>318</v>
      </c>
      <c r="B319" s="5">
        <f t="shared" si="29"/>
        <v>15</v>
      </c>
      <c r="C319" s="5">
        <f t="shared" si="29"/>
        <v>58</v>
      </c>
      <c r="D319" s="5">
        <f t="shared" si="26"/>
        <v>168</v>
      </c>
      <c r="E319" s="5" t="s">
        <v>49</v>
      </c>
      <c r="F319" s="5" t="s">
        <v>8</v>
      </c>
      <c r="G319" s="5">
        <v>258</v>
      </c>
      <c r="H319" s="6" t="s">
        <v>954</v>
      </c>
      <c r="I319" s="7" t="s">
        <v>1031</v>
      </c>
      <c r="J319" s="5" t="s">
        <v>34</v>
      </c>
      <c r="K319" s="5" t="s">
        <v>1032</v>
      </c>
      <c r="L319" s="5" t="s">
        <v>36</v>
      </c>
      <c r="M319" s="8" t="s">
        <v>49</v>
      </c>
      <c r="N319" s="5" t="s">
        <v>1031</v>
      </c>
      <c r="O319" s="5" t="s">
        <v>1052</v>
      </c>
      <c r="P319" s="1" t="s">
        <v>1053</v>
      </c>
      <c r="Q319" s="1" t="s">
        <v>1035</v>
      </c>
      <c r="R319" s="5" t="s">
        <v>1036</v>
      </c>
      <c r="S319" s="5" t="s">
        <v>961</v>
      </c>
      <c r="T319" s="5" t="s">
        <v>962</v>
      </c>
      <c r="U319" s="5" t="s">
        <v>1037</v>
      </c>
      <c r="X319" s="9" t="s">
        <v>1042</v>
      </c>
      <c r="Y319" s="5" t="s">
        <v>1052</v>
      </c>
      <c r="Z319" s="5" t="s">
        <v>45</v>
      </c>
      <c r="AA319" s="5" t="s">
        <v>46</v>
      </c>
      <c r="AB319" s="5" t="s">
        <v>1055</v>
      </c>
      <c r="AC319" s="5" t="s">
        <v>1056</v>
      </c>
      <c r="AD319" s="5" t="str">
        <f>_xlfn.CONCAT(Table58911[[#This Row],[&lt;&lt;NOLA&gt;&gt;
NIEM Element]],Table58911[[#This Row],[Repeat Values per attribute]])</f>
        <v>nc:PersonSurNamed</v>
      </c>
    </row>
    <row r="320" spans="1:30" ht="30" customHeight="1" x14ac:dyDescent="0.3">
      <c r="A320" s="5">
        <f t="shared" si="24"/>
        <v>319</v>
      </c>
      <c r="B320" s="5">
        <f t="shared" si="29"/>
        <v>15</v>
      </c>
      <c r="C320" s="5">
        <f t="shared" si="29"/>
        <v>58</v>
      </c>
      <c r="D320" s="5">
        <f t="shared" si="26"/>
        <v>169</v>
      </c>
      <c r="E320" s="5" t="s">
        <v>49</v>
      </c>
      <c r="F320" s="5" t="s">
        <v>8</v>
      </c>
      <c r="G320" s="5">
        <v>258</v>
      </c>
      <c r="H320" s="6" t="s">
        <v>954</v>
      </c>
      <c r="I320" s="7" t="s">
        <v>1031</v>
      </c>
      <c r="J320" s="5" t="s">
        <v>34</v>
      </c>
      <c r="K320" s="5" t="s">
        <v>1032</v>
      </c>
      <c r="L320" s="5" t="s">
        <v>36</v>
      </c>
      <c r="M320" s="8" t="s">
        <v>87</v>
      </c>
      <c r="N320" s="5" t="s">
        <v>1031</v>
      </c>
      <c r="O320" s="5" t="s">
        <v>1057</v>
      </c>
      <c r="P320" s="1" t="s">
        <v>1058</v>
      </c>
      <c r="Q320" s="1" t="s">
        <v>1035</v>
      </c>
      <c r="R320" s="5" t="s">
        <v>1036</v>
      </c>
      <c r="S320" s="5" t="s">
        <v>961</v>
      </c>
      <c r="T320" s="5" t="s">
        <v>962</v>
      </c>
      <c r="U320" s="5" t="s">
        <v>1037</v>
      </c>
      <c r="X320" s="9" t="s">
        <v>1038</v>
      </c>
      <c r="Y320" s="5" t="s">
        <v>1057</v>
      </c>
      <c r="Z320" s="5" t="s">
        <v>45</v>
      </c>
      <c r="AA320" s="5" t="s">
        <v>46</v>
      </c>
      <c r="AB320" s="5" t="s">
        <v>1059</v>
      </c>
      <c r="AC320" s="5" t="s">
        <v>1060</v>
      </c>
      <c r="AD320" s="5" t="str">
        <f>_xlfn.CONCAT(Table58911[[#This Row],[&lt;&lt;NOLA&gt;&gt;
NIEM Element]],Table58911[[#This Row],[Repeat Values per attribute]])</f>
        <v>nc:PersonSurNamee</v>
      </c>
    </row>
    <row r="321" spans="1:30" ht="30" customHeight="1" x14ac:dyDescent="0.3">
      <c r="A321" s="5">
        <f t="shared" si="24"/>
        <v>320</v>
      </c>
      <c r="B321" s="5">
        <f t="shared" si="29"/>
        <v>15</v>
      </c>
      <c r="C321" s="5">
        <f t="shared" si="29"/>
        <v>58</v>
      </c>
      <c r="D321" s="5">
        <f t="shared" si="26"/>
        <v>169</v>
      </c>
      <c r="E321" s="5" t="s">
        <v>49</v>
      </c>
      <c r="F321" s="5" t="s">
        <v>8</v>
      </c>
      <c r="G321" s="5">
        <v>258</v>
      </c>
      <c r="H321" s="6" t="s">
        <v>954</v>
      </c>
      <c r="I321" s="7" t="s">
        <v>1031</v>
      </c>
      <c r="J321" s="5" t="s">
        <v>34</v>
      </c>
      <c r="K321" s="5" t="s">
        <v>1032</v>
      </c>
      <c r="L321" s="5" t="s">
        <v>36</v>
      </c>
      <c r="M321" s="8" t="s">
        <v>87</v>
      </c>
      <c r="N321" s="5" t="s">
        <v>1031</v>
      </c>
      <c r="O321" s="5" t="s">
        <v>1057</v>
      </c>
      <c r="P321" s="1" t="s">
        <v>1058</v>
      </c>
      <c r="Q321" s="1" t="s">
        <v>1035</v>
      </c>
      <c r="R321" s="5" t="s">
        <v>1036</v>
      </c>
      <c r="S321" s="5" t="s">
        <v>961</v>
      </c>
      <c r="T321" s="5" t="s">
        <v>962</v>
      </c>
      <c r="U321" s="5" t="s">
        <v>1037</v>
      </c>
      <c r="X321" s="9" t="s">
        <v>1041</v>
      </c>
      <c r="Y321" s="5" t="s">
        <v>1057</v>
      </c>
      <c r="Z321" s="5" t="s">
        <v>45</v>
      </c>
      <c r="AA321" s="5" t="s">
        <v>46</v>
      </c>
      <c r="AB321" s="5" t="s">
        <v>1059</v>
      </c>
      <c r="AC321" s="5" t="s">
        <v>1060</v>
      </c>
      <c r="AD321" s="5" t="str">
        <f>_xlfn.CONCAT(Table58911[[#This Row],[&lt;&lt;NOLA&gt;&gt;
NIEM Element]],Table58911[[#This Row],[Repeat Values per attribute]])</f>
        <v>nc:PersonSurNamee</v>
      </c>
    </row>
    <row r="322" spans="1:30" ht="30" customHeight="1" x14ac:dyDescent="0.3">
      <c r="A322" s="5">
        <f t="shared" ref="A322:A369" si="30">ROW(A321)</f>
        <v>321</v>
      </c>
      <c r="B322" s="5">
        <f t="shared" ref="B322:C337" si="31">IF(H321=H322,B321,B321+1)</f>
        <v>15</v>
      </c>
      <c r="C322" s="5">
        <f t="shared" si="31"/>
        <v>58</v>
      </c>
      <c r="D322" s="5">
        <f t="shared" ref="D322:D369" si="32">IF(AD321=AD322,D321,D321+1)</f>
        <v>169</v>
      </c>
      <c r="E322" s="5" t="s">
        <v>49</v>
      </c>
      <c r="F322" s="5" t="s">
        <v>8</v>
      </c>
      <c r="G322" s="5">
        <v>258</v>
      </c>
      <c r="H322" s="6" t="s">
        <v>954</v>
      </c>
      <c r="I322" s="7" t="s">
        <v>1031</v>
      </c>
      <c r="J322" s="5" t="s">
        <v>34</v>
      </c>
      <c r="K322" s="5" t="s">
        <v>1032</v>
      </c>
      <c r="L322" s="5" t="s">
        <v>36</v>
      </c>
      <c r="M322" s="8" t="s">
        <v>87</v>
      </c>
      <c r="N322" s="5" t="s">
        <v>1031</v>
      </c>
      <c r="O322" s="5" t="s">
        <v>1057</v>
      </c>
      <c r="P322" s="1" t="s">
        <v>1058</v>
      </c>
      <c r="Q322" s="1" t="s">
        <v>1035</v>
      </c>
      <c r="R322" s="5" t="s">
        <v>1036</v>
      </c>
      <c r="S322" s="5" t="s">
        <v>961</v>
      </c>
      <c r="T322" s="5" t="s">
        <v>962</v>
      </c>
      <c r="U322" s="5" t="s">
        <v>1037</v>
      </c>
      <c r="X322" s="9" t="s">
        <v>1042</v>
      </c>
      <c r="Y322" s="5" t="s">
        <v>1057</v>
      </c>
      <c r="Z322" s="5" t="s">
        <v>45</v>
      </c>
      <c r="AA322" s="5" t="s">
        <v>46</v>
      </c>
      <c r="AB322" s="5" t="s">
        <v>1059</v>
      </c>
      <c r="AC322" s="5" t="s">
        <v>1060</v>
      </c>
      <c r="AD322" s="5" t="str">
        <f>_xlfn.CONCAT(Table58911[[#This Row],[&lt;&lt;NOLA&gt;&gt;
NIEM Element]],Table58911[[#This Row],[Repeat Values per attribute]])</f>
        <v>nc:PersonSurNamee</v>
      </c>
    </row>
    <row r="323" spans="1:30" ht="30" customHeight="1" x14ac:dyDescent="0.3">
      <c r="A323" s="5">
        <f t="shared" si="30"/>
        <v>322</v>
      </c>
      <c r="B323" s="5">
        <f t="shared" si="31"/>
        <v>15</v>
      </c>
      <c r="C323" s="5">
        <f t="shared" si="31"/>
        <v>58</v>
      </c>
      <c r="D323" s="5">
        <f t="shared" si="32"/>
        <v>170</v>
      </c>
      <c r="E323" s="5" t="s">
        <v>49</v>
      </c>
      <c r="F323" s="5" t="s">
        <v>8</v>
      </c>
      <c r="G323" s="5">
        <v>258</v>
      </c>
      <c r="H323" s="6" t="s">
        <v>954</v>
      </c>
      <c r="I323" s="7" t="s">
        <v>1031</v>
      </c>
      <c r="J323" s="5" t="s">
        <v>34</v>
      </c>
      <c r="K323" s="5" t="s">
        <v>1032</v>
      </c>
      <c r="L323" s="5" t="s">
        <v>36</v>
      </c>
      <c r="M323" s="8" t="s">
        <v>421</v>
      </c>
      <c r="N323" s="5" t="s">
        <v>1031</v>
      </c>
      <c r="O323" s="5" t="s">
        <v>1061</v>
      </c>
      <c r="P323" s="1" t="s">
        <v>1062</v>
      </c>
      <c r="Q323" s="1" t="s">
        <v>1035</v>
      </c>
      <c r="R323" s="5" t="s">
        <v>1036</v>
      </c>
      <c r="S323" s="5" t="s">
        <v>961</v>
      </c>
      <c r="T323" s="5" t="s">
        <v>962</v>
      </c>
      <c r="U323" s="5" t="s">
        <v>1037</v>
      </c>
      <c r="X323" s="9" t="s">
        <v>1038</v>
      </c>
      <c r="Y323" s="5" t="s">
        <v>1061</v>
      </c>
      <c r="Z323" s="5" t="s">
        <v>45</v>
      </c>
      <c r="AA323" s="5" t="s">
        <v>46</v>
      </c>
      <c r="AB323" s="5" t="s">
        <v>1063</v>
      </c>
      <c r="AC323" s="5" t="s">
        <v>1064</v>
      </c>
      <c r="AD323" s="5" t="str">
        <f>_xlfn.CONCAT(Table58911[[#This Row],[&lt;&lt;NOLA&gt;&gt;
NIEM Element]],Table58911[[#This Row],[Repeat Values per attribute]])</f>
        <v>nc:PersonSurNamef</v>
      </c>
    </row>
    <row r="324" spans="1:30" ht="30" customHeight="1" x14ac:dyDescent="0.3">
      <c r="A324" s="5">
        <f t="shared" si="30"/>
        <v>323</v>
      </c>
      <c r="B324" s="5">
        <f t="shared" si="31"/>
        <v>15</v>
      </c>
      <c r="C324" s="5">
        <f t="shared" si="31"/>
        <v>58</v>
      </c>
      <c r="D324" s="5">
        <f t="shared" si="32"/>
        <v>170</v>
      </c>
      <c r="E324" s="5" t="s">
        <v>49</v>
      </c>
      <c r="F324" s="5" t="s">
        <v>8</v>
      </c>
      <c r="G324" s="5">
        <v>258</v>
      </c>
      <c r="H324" s="6" t="s">
        <v>954</v>
      </c>
      <c r="I324" s="7" t="s">
        <v>1031</v>
      </c>
      <c r="J324" s="5" t="s">
        <v>34</v>
      </c>
      <c r="K324" s="5" t="s">
        <v>1032</v>
      </c>
      <c r="L324" s="5" t="s">
        <v>36</v>
      </c>
      <c r="M324" s="8" t="s">
        <v>421</v>
      </c>
      <c r="N324" s="5" t="s">
        <v>1031</v>
      </c>
      <c r="O324" s="5" t="s">
        <v>1061</v>
      </c>
      <c r="P324" s="1" t="s">
        <v>1062</v>
      </c>
      <c r="Q324" s="1" t="s">
        <v>1035</v>
      </c>
      <c r="R324" s="5" t="s">
        <v>1036</v>
      </c>
      <c r="S324" s="5" t="s">
        <v>961</v>
      </c>
      <c r="T324" s="5" t="s">
        <v>962</v>
      </c>
      <c r="U324" s="5" t="s">
        <v>1037</v>
      </c>
      <c r="X324" s="9" t="s">
        <v>1041</v>
      </c>
      <c r="Y324" s="5" t="s">
        <v>1061</v>
      </c>
      <c r="Z324" s="5" t="s">
        <v>45</v>
      </c>
      <c r="AA324" s="5" t="s">
        <v>46</v>
      </c>
      <c r="AB324" s="5" t="s">
        <v>1063</v>
      </c>
      <c r="AC324" s="5" t="s">
        <v>1064</v>
      </c>
      <c r="AD324" s="5" t="str">
        <f>_xlfn.CONCAT(Table58911[[#This Row],[&lt;&lt;NOLA&gt;&gt;
NIEM Element]],Table58911[[#This Row],[Repeat Values per attribute]])</f>
        <v>nc:PersonSurNamef</v>
      </c>
    </row>
    <row r="325" spans="1:30" ht="30" customHeight="1" x14ac:dyDescent="0.3">
      <c r="A325" s="5">
        <f t="shared" si="30"/>
        <v>324</v>
      </c>
      <c r="B325" s="5">
        <f t="shared" si="31"/>
        <v>15</v>
      </c>
      <c r="C325" s="5">
        <f t="shared" si="31"/>
        <v>58</v>
      </c>
      <c r="D325" s="5">
        <f t="shared" si="32"/>
        <v>170</v>
      </c>
      <c r="E325" s="5" t="s">
        <v>49</v>
      </c>
      <c r="F325" s="5" t="s">
        <v>8</v>
      </c>
      <c r="G325" s="5">
        <v>258</v>
      </c>
      <c r="H325" s="6" t="s">
        <v>954</v>
      </c>
      <c r="I325" s="7" t="s">
        <v>1031</v>
      </c>
      <c r="J325" s="5" t="s">
        <v>34</v>
      </c>
      <c r="K325" s="5" t="s">
        <v>1032</v>
      </c>
      <c r="L325" s="5" t="s">
        <v>36</v>
      </c>
      <c r="M325" s="8" t="s">
        <v>421</v>
      </c>
      <c r="N325" s="5" t="s">
        <v>1031</v>
      </c>
      <c r="O325" s="5" t="s">
        <v>1061</v>
      </c>
      <c r="P325" s="1" t="s">
        <v>1062</v>
      </c>
      <c r="Q325" s="1" t="s">
        <v>1035</v>
      </c>
      <c r="R325" s="5" t="s">
        <v>1036</v>
      </c>
      <c r="S325" s="5" t="s">
        <v>961</v>
      </c>
      <c r="T325" s="5" t="s">
        <v>962</v>
      </c>
      <c r="U325" s="5" t="s">
        <v>1037</v>
      </c>
      <c r="X325" s="9" t="s">
        <v>1042</v>
      </c>
      <c r="Y325" s="5" t="s">
        <v>1061</v>
      </c>
      <c r="Z325" s="5" t="s">
        <v>45</v>
      </c>
      <c r="AA325" s="5" t="s">
        <v>46</v>
      </c>
      <c r="AB325" s="5" t="s">
        <v>1063</v>
      </c>
      <c r="AC325" s="5" t="s">
        <v>1064</v>
      </c>
      <c r="AD325" s="5" t="str">
        <f>_xlfn.CONCAT(Table58911[[#This Row],[&lt;&lt;NOLA&gt;&gt;
NIEM Element]],Table58911[[#This Row],[Repeat Values per attribute]])</f>
        <v>nc:PersonSurNamef</v>
      </c>
    </row>
    <row r="326" spans="1:30" ht="30" customHeight="1" x14ac:dyDescent="0.3">
      <c r="A326" s="5">
        <f t="shared" si="30"/>
        <v>325</v>
      </c>
      <c r="B326" s="5">
        <f t="shared" si="31"/>
        <v>15</v>
      </c>
      <c r="C326" s="5">
        <f t="shared" si="31"/>
        <v>58</v>
      </c>
      <c r="D326" s="5">
        <f t="shared" si="32"/>
        <v>171</v>
      </c>
      <c r="E326" s="5" t="s">
        <v>32</v>
      </c>
      <c r="F326" s="5" t="s">
        <v>8</v>
      </c>
      <c r="G326" s="5">
        <v>258</v>
      </c>
      <c r="H326" s="6" t="s">
        <v>954</v>
      </c>
      <c r="I326" s="7" t="s">
        <v>1031</v>
      </c>
      <c r="J326" s="5" t="s">
        <v>34</v>
      </c>
      <c r="K326" s="5" t="s">
        <v>1032</v>
      </c>
      <c r="L326" s="5" t="s">
        <v>36</v>
      </c>
      <c r="M326" s="8" t="s">
        <v>425</v>
      </c>
      <c r="N326" s="5" t="s">
        <v>1031</v>
      </c>
      <c r="O326" s="5" t="s">
        <v>1065</v>
      </c>
      <c r="P326" s="1" t="s">
        <v>1066</v>
      </c>
      <c r="Q326" s="1" t="s">
        <v>1035</v>
      </c>
      <c r="R326" s="5" t="s">
        <v>1036</v>
      </c>
      <c r="S326" s="5" t="s">
        <v>961</v>
      </c>
      <c r="T326" s="5" t="s">
        <v>962</v>
      </c>
      <c r="U326" s="5" t="s">
        <v>1037</v>
      </c>
      <c r="X326" s="9" t="s">
        <v>1038</v>
      </c>
      <c r="Y326" s="5" t="s">
        <v>1065</v>
      </c>
      <c r="Z326" s="5" t="s">
        <v>45</v>
      </c>
      <c r="AA326" s="5" t="s">
        <v>90</v>
      </c>
      <c r="AB326" s="5" t="s">
        <v>1067</v>
      </c>
      <c r="AC326" s="5" t="s">
        <v>1068</v>
      </c>
      <c r="AD326" s="5" t="str">
        <f>_xlfn.CONCAT(Table58911[[#This Row],[&lt;&lt;NOLA&gt;&gt;
NIEM Element]],Table58911[[#This Row],[Repeat Values per attribute]])</f>
        <v>nc:PersonSurNamei</v>
      </c>
    </row>
    <row r="327" spans="1:30" ht="30" customHeight="1" x14ac:dyDescent="0.3">
      <c r="A327" s="5">
        <f t="shared" si="30"/>
        <v>326</v>
      </c>
      <c r="B327" s="5">
        <f t="shared" si="31"/>
        <v>15</v>
      </c>
      <c r="C327" s="5">
        <f t="shared" si="31"/>
        <v>58</v>
      </c>
      <c r="D327" s="5">
        <f t="shared" si="32"/>
        <v>171</v>
      </c>
      <c r="E327" s="5" t="s">
        <v>49</v>
      </c>
      <c r="F327" s="5" t="s">
        <v>8</v>
      </c>
      <c r="G327" s="5">
        <v>258</v>
      </c>
      <c r="H327" s="6" t="s">
        <v>954</v>
      </c>
      <c r="I327" s="7" t="s">
        <v>1031</v>
      </c>
      <c r="J327" s="5" t="s">
        <v>34</v>
      </c>
      <c r="K327" s="5" t="s">
        <v>1032</v>
      </c>
      <c r="L327" s="5" t="s">
        <v>36</v>
      </c>
      <c r="M327" s="8" t="s">
        <v>425</v>
      </c>
      <c r="N327" s="5" t="s">
        <v>1031</v>
      </c>
      <c r="O327" s="5" t="s">
        <v>1065</v>
      </c>
      <c r="P327" s="1" t="s">
        <v>1066</v>
      </c>
      <c r="Q327" s="1" t="s">
        <v>1035</v>
      </c>
      <c r="R327" s="5" t="s">
        <v>1036</v>
      </c>
      <c r="S327" s="5" t="s">
        <v>961</v>
      </c>
      <c r="T327" s="5" t="s">
        <v>962</v>
      </c>
      <c r="U327" s="5" t="s">
        <v>1037</v>
      </c>
      <c r="X327" s="9" t="s">
        <v>1041</v>
      </c>
      <c r="Y327" s="5" t="s">
        <v>1065</v>
      </c>
      <c r="Z327" s="5" t="s">
        <v>45</v>
      </c>
      <c r="AA327" s="5" t="s">
        <v>90</v>
      </c>
      <c r="AB327" s="5" t="s">
        <v>1067</v>
      </c>
      <c r="AC327" s="5" t="s">
        <v>1068</v>
      </c>
      <c r="AD327" s="5" t="str">
        <f>_xlfn.CONCAT(Table58911[[#This Row],[&lt;&lt;NOLA&gt;&gt;
NIEM Element]],Table58911[[#This Row],[Repeat Values per attribute]])</f>
        <v>nc:PersonSurNamei</v>
      </c>
    </row>
    <row r="328" spans="1:30" ht="30" customHeight="1" x14ac:dyDescent="0.3">
      <c r="A328" s="5">
        <f t="shared" si="30"/>
        <v>327</v>
      </c>
      <c r="B328" s="5">
        <f t="shared" si="31"/>
        <v>15</v>
      </c>
      <c r="C328" s="5">
        <f t="shared" si="31"/>
        <v>58</v>
      </c>
      <c r="D328" s="5">
        <f t="shared" si="32"/>
        <v>171</v>
      </c>
      <c r="E328" s="5" t="s">
        <v>49</v>
      </c>
      <c r="F328" s="5" t="s">
        <v>8</v>
      </c>
      <c r="G328" s="5">
        <v>258</v>
      </c>
      <c r="H328" s="6" t="s">
        <v>954</v>
      </c>
      <c r="I328" s="7" t="s">
        <v>1031</v>
      </c>
      <c r="J328" s="5" t="s">
        <v>34</v>
      </c>
      <c r="K328" s="5" t="s">
        <v>1032</v>
      </c>
      <c r="L328" s="5" t="s">
        <v>36</v>
      </c>
      <c r="M328" s="8" t="s">
        <v>425</v>
      </c>
      <c r="N328" s="5" t="s">
        <v>1031</v>
      </c>
      <c r="O328" s="5" t="s">
        <v>1065</v>
      </c>
      <c r="P328" s="1" t="s">
        <v>1066</v>
      </c>
      <c r="Q328" s="1" t="s">
        <v>1035</v>
      </c>
      <c r="R328" s="5" t="s">
        <v>1036</v>
      </c>
      <c r="S328" s="5" t="s">
        <v>961</v>
      </c>
      <c r="T328" s="5" t="s">
        <v>962</v>
      </c>
      <c r="U328" s="5" t="s">
        <v>1037</v>
      </c>
      <c r="X328" s="9" t="s">
        <v>1042</v>
      </c>
      <c r="Y328" s="5" t="s">
        <v>1065</v>
      </c>
      <c r="Z328" s="5" t="s">
        <v>45</v>
      </c>
      <c r="AA328" s="5" t="s">
        <v>90</v>
      </c>
      <c r="AB328" s="5" t="s">
        <v>1067</v>
      </c>
      <c r="AC328" s="5" t="s">
        <v>1068</v>
      </c>
      <c r="AD328" s="5" t="str">
        <f>_xlfn.CONCAT(Table58911[[#This Row],[&lt;&lt;NOLA&gt;&gt;
NIEM Element]],Table58911[[#This Row],[Repeat Values per attribute]])</f>
        <v>nc:PersonSurNamei</v>
      </c>
    </row>
    <row r="329" spans="1:30" ht="30" customHeight="1" x14ac:dyDescent="0.3">
      <c r="A329" s="5">
        <f t="shared" si="30"/>
        <v>328</v>
      </c>
      <c r="B329" s="5">
        <f t="shared" si="31"/>
        <v>15</v>
      </c>
      <c r="C329" s="5">
        <f t="shared" si="31"/>
        <v>58</v>
      </c>
      <c r="D329" s="5">
        <f t="shared" si="32"/>
        <v>172</v>
      </c>
      <c r="E329" s="5" t="s">
        <v>32</v>
      </c>
      <c r="F329" s="5" t="s">
        <v>8</v>
      </c>
      <c r="G329" s="5">
        <v>258</v>
      </c>
      <c r="H329" s="6" t="s">
        <v>954</v>
      </c>
      <c r="I329" s="7" t="s">
        <v>1031</v>
      </c>
      <c r="J329" s="5" t="s">
        <v>34</v>
      </c>
      <c r="K329" s="5" t="s">
        <v>1032</v>
      </c>
      <c r="L329" s="5" t="s">
        <v>36</v>
      </c>
      <c r="M329" s="8" t="s">
        <v>996</v>
      </c>
      <c r="N329" s="5" t="s">
        <v>1031</v>
      </c>
      <c r="O329" s="5" t="s">
        <v>1069</v>
      </c>
      <c r="P329" s="1" t="s">
        <v>1070</v>
      </c>
      <c r="Q329" s="1" t="s">
        <v>1035</v>
      </c>
      <c r="R329" s="5" t="s">
        <v>1036</v>
      </c>
      <c r="S329" s="5" t="s">
        <v>961</v>
      </c>
      <c r="T329" s="5" t="s">
        <v>962</v>
      </c>
      <c r="U329" s="5" t="s">
        <v>1037</v>
      </c>
      <c r="X329" s="9" t="s">
        <v>1049</v>
      </c>
      <c r="Y329" s="5" t="s">
        <v>1069</v>
      </c>
      <c r="Z329" s="5" t="s">
        <v>45</v>
      </c>
      <c r="AA329" s="5" t="s">
        <v>90</v>
      </c>
      <c r="AB329" s="5" t="s">
        <v>1050</v>
      </c>
      <c r="AC329" s="5" t="s">
        <v>1071</v>
      </c>
      <c r="AD329" s="5" t="str">
        <f>_xlfn.CONCAT(Table58911[[#This Row],[&lt;&lt;NOLA&gt;&gt;
NIEM Element]],Table58911[[#This Row],[Repeat Values per attribute]])</f>
        <v>nc:PersonSurNamej</v>
      </c>
    </row>
    <row r="330" spans="1:30" ht="30" customHeight="1" x14ac:dyDescent="0.3">
      <c r="A330" s="5">
        <f t="shared" si="30"/>
        <v>329</v>
      </c>
      <c r="B330" s="5">
        <f t="shared" si="31"/>
        <v>15</v>
      </c>
      <c r="C330" s="5">
        <f t="shared" si="31"/>
        <v>58</v>
      </c>
      <c r="D330" s="5">
        <f t="shared" si="32"/>
        <v>172</v>
      </c>
      <c r="E330" s="5" t="s">
        <v>49</v>
      </c>
      <c r="F330" s="5" t="s">
        <v>8</v>
      </c>
      <c r="G330" s="5">
        <v>258</v>
      </c>
      <c r="H330" s="6" t="s">
        <v>954</v>
      </c>
      <c r="I330" s="7" t="s">
        <v>1031</v>
      </c>
      <c r="J330" s="5" t="s">
        <v>34</v>
      </c>
      <c r="K330" s="5" t="s">
        <v>1032</v>
      </c>
      <c r="L330" s="5" t="s">
        <v>36</v>
      </c>
      <c r="M330" s="8" t="s">
        <v>996</v>
      </c>
      <c r="N330" s="5" t="s">
        <v>1031</v>
      </c>
      <c r="O330" s="5" t="s">
        <v>1069</v>
      </c>
      <c r="P330" s="1" t="s">
        <v>1070</v>
      </c>
      <c r="Q330" s="1" t="s">
        <v>1035</v>
      </c>
      <c r="R330" s="5" t="s">
        <v>1036</v>
      </c>
      <c r="S330" s="5" t="s">
        <v>961</v>
      </c>
      <c r="T330" s="5" t="s">
        <v>962</v>
      </c>
      <c r="U330" s="5" t="s">
        <v>1037</v>
      </c>
      <c r="X330" s="9" t="s">
        <v>1041</v>
      </c>
      <c r="Y330" s="5" t="s">
        <v>1069</v>
      </c>
      <c r="Z330" s="5" t="s">
        <v>45</v>
      </c>
      <c r="AA330" s="5" t="s">
        <v>90</v>
      </c>
      <c r="AB330" s="5" t="s">
        <v>1050</v>
      </c>
      <c r="AC330" s="5" t="s">
        <v>1071</v>
      </c>
      <c r="AD330" s="5" t="str">
        <f>_xlfn.CONCAT(Table58911[[#This Row],[&lt;&lt;NOLA&gt;&gt;
NIEM Element]],Table58911[[#This Row],[Repeat Values per attribute]])</f>
        <v>nc:PersonSurNamej</v>
      </c>
    </row>
    <row r="331" spans="1:30" ht="30" customHeight="1" x14ac:dyDescent="0.3">
      <c r="A331" s="5">
        <f t="shared" si="30"/>
        <v>330</v>
      </c>
      <c r="B331" s="5">
        <f t="shared" si="31"/>
        <v>15</v>
      </c>
      <c r="C331" s="5">
        <f t="shared" si="31"/>
        <v>58</v>
      </c>
      <c r="D331" s="5">
        <f t="shared" si="32"/>
        <v>172</v>
      </c>
      <c r="E331" s="5" t="s">
        <v>49</v>
      </c>
      <c r="F331" s="5" t="s">
        <v>8</v>
      </c>
      <c r="G331" s="5">
        <v>258</v>
      </c>
      <c r="H331" s="6" t="s">
        <v>954</v>
      </c>
      <c r="I331" s="7" t="s">
        <v>1031</v>
      </c>
      <c r="J331" s="5" t="s">
        <v>34</v>
      </c>
      <c r="K331" s="5" t="s">
        <v>1032</v>
      </c>
      <c r="L331" s="5" t="s">
        <v>36</v>
      </c>
      <c r="M331" s="8" t="s">
        <v>996</v>
      </c>
      <c r="N331" s="5" t="s">
        <v>1031</v>
      </c>
      <c r="O331" s="5" t="s">
        <v>1069</v>
      </c>
      <c r="P331" s="1" t="s">
        <v>1070</v>
      </c>
      <c r="Q331" s="1" t="s">
        <v>1035</v>
      </c>
      <c r="R331" s="5" t="s">
        <v>1036</v>
      </c>
      <c r="S331" s="5" t="s">
        <v>961</v>
      </c>
      <c r="T331" s="5" t="s">
        <v>962</v>
      </c>
      <c r="U331" s="5" t="s">
        <v>1037</v>
      </c>
      <c r="X331" s="9" t="s">
        <v>1042</v>
      </c>
      <c r="Y331" s="5" t="s">
        <v>1069</v>
      </c>
      <c r="Z331" s="5" t="s">
        <v>45</v>
      </c>
      <c r="AA331" s="5" t="s">
        <v>90</v>
      </c>
      <c r="AB331" s="5" t="s">
        <v>1050</v>
      </c>
      <c r="AC331" s="5" t="s">
        <v>1071</v>
      </c>
      <c r="AD331" s="5" t="str">
        <f>_xlfn.CONCAT(Table58911[[#This Row],[&lt;&lt;NOLA&gt;&gt;
NIEM Element]],Table58911[[#This Row],[Repeat Values per attribute]])</f>
        <v>nc:PersonSurNamej</v>
      </c>
    </row>
    <row r="332" spans="1:30" ht="30" customHeight="1" x14ac:dyDescent="0.3">
      <c r="A332" s="5">
        <f t="shared" si="30"/>
        <v>331</v>
      </c>
      <c r="B332" s="5">
        <f t="shared" si="31"/>
        <v>15</v>
      </c>
      <c r="C332" s="5">
        <f t="shared" si="31"/>
        <v>58</v>
      </c>
      <c r="D332" s="5">
        <f t="shared" si="32"/>
        <v>173</v>
      </c>
      <c r="E332" s="5" t="s">
        <v>32</v>
      </c>
      <c r="F332" s="5" t="s">
        <v>8</v>
      </c>
      <c r="G332" s="5">
        <v>258</v>
      </c>
      <c r="H332" s="6" t="s">
        <v>954</v>
      </c>
      <c r="I332" s="7" t="s">
        <v>1031</v>
      </c>
      <c r="J332" s="5" t="s">
        <v>34</v>
      </c>
      <c r="K332" s="5" t="s">
        <v>1032</v>
      </c>
      <c r="L332" s="5" t="s">
        <v>36</v>
      </c>
      <c r="M332" s="8" t="s">
        <v>1000</v>
      </c>
      <c r="N332" s="5" t="s">
        <v>1031</v>
      </c>
      <c r="O332" s="5" t="s">
        <v>1072</v>
      </c>
      <c r="P332" s="1" t="s">
        <v>1073</v>
      </c>
      <c r="Q332" s="1" t="s">
        <v>1035</v>
      </c>
      <c r="R332" s="5" t="s">
        <v>1036</v>
      </c>
      <c r="S332" s="5" t="s">
        <v>961</v>
      </c>
      <c r="T332" s="5" t="s">
        <v>962</v>
      </c>
      <c r="U332" s="5" t="s">
        <v>1037</v>
      </c>
      <c r="X332" s="9" t="s">
        <v>1054</v>
      </c>
      <c r="Y332" s="5" t="s">
        <v>1072</v>
      </c>
      <c r="Z332" s="5" t="s">
        <v>45</v>
      </c>
      <c r="AA332" s="5" t="s">
        <v>90</v>
      </c>
      <c r="AB332" s="5" t="s">
        <v>1074</v>
      </c>
      <c r="AC332" s="5" t="s">
        <v>1075</v>
      </c>
      <c r="AD332" s="5" t="str">
        <f>_xlfn.CONCAT(Table58911[[#This Row],[&lt;&lt;NOLA&gt;&gt;
NIEM Element]],Table58911[[#This Row],[Repeat Values per attribute]])</f>
        <v>nc:PersonSurNamek</v>
      </c>
    </row>
    <row r="333" spans="1:30" ht="30" customHeight="1" x14ac:dyDescent="0.3">
      <c r="A333" s="5">
        <f t="shared" si="30"/>
        <v>332</v>
      </c>
      <c r="B333" s="5">
        <f t="shared" si="31"/>
        <v>15</v>
      </c>
      <c r="C333" s="5">
        <f t="shared" si="31"/>
        <v>58</v>
      </c>
      <c r="D333" s="5">
        <f t="shared" si="32"/>
        <v>173</v>
      </c>
      <c r="E333" s="5" t="s">
        <v>49</v>
      </c>
      <c r="F333" s="5" t="s">
        <v>8</v>
      </c>
      <c r="G333" s="5">
        <v>258</v>
      </c>
      <c r="H333" s="6" t="s">
        <v>954</v>
      </c>
      <c r="I333" s="7" t="s">
        <v>1031</v>
      </c>
      <c r="J333" s="5" t="s">
        <v>34</v>
      </c>
      <c r="K333" s="5" t="s">
        <v>1032</v>
      </c>
      <c r="L333" s="5" t="s">
        <v>36</v>
      </c>
      <c r="M333" s="8" t="s">
        <v>1000</v>
      </c>
      <c r="N333" s="5" t="s">
        <v>1031</v>
      </c>
      <c r="O333" s="5" t="s">
        <v>1072</v>
      </c>
      <c r="P333" s="1" t="s">
        <v>1073</v>
      </c>
      <c r="Q333" s="1" t="s">
        <v>1035</v>
      </c>
      <c r="R333" s="5" t="s">
        <v>1036</v>
      </c>
      <c r="S333" s="5" t="s">
        <v>961</v>
      </c>
      <c r="T333" s="5" t="s">
        <v>962</v>
      </c>
      <c r="U333" s="5" t="s">
        <v>1037</v>
      </c>
      <c r="X333" s="9" t="s">
        <v>1041</v>
      </c>
      <c r="Y333" s="5" t="s">
        <v>1072</v>
      </c>
      <c r="Z333" s="5" t="s">
        <v>45</v>
      </c>
      <c r="AA333" s="5" t="s">
        <v>90</v>
      </c>
      <c r="AB333" s="5" t="s">
        <v>1074</v>
      </c>
      <c r="AC333" s="5" t="s">
        <v>1075</v>
      </c>
      <c r="AD333" s="5" t="str">
        <f>_xlfn.CONCAT(Table58911[[#This Row],[&lt;&lt;NOLA&gt;&gt;
NIEM Element]],Table58911[[#This Row],[Repeat Values per attribute]])</f>
        <v>nc:PersonSurNamek</v>
      </c>
    </row>
    <row r="334" spans="1:30" ht="30" customHeight="1" x14ac:dyDescent="0.3">
      <c r="A334" s="5">
        <f t="shared" si="30"/>
        <v>333</v>
      </c>
      <c r="B334" s="5">
        <f t="shared" si="31"/>
        <v>15</v>
      </c>
      <c r="C334" s="5">
        <f t="shared" si="31"/>
        <v>58</v>
      </c>
      <c r="D334" s="5">
        <f t="shared" si="32"/>
        <v>173</v>
      </c>
      <c r="E334" s="5" t="s">
        <v>49</v>
      </c>
      <c r="F334" s="5" t="s">
        <v>8</v>
      </c>
      <c r="G334" s="5">
        <v>258</v>
      </c>
      <c r="H334" s="6" t="s">
        <v>954</v>
      </c>
      <c r="I334" s="7" t="s">
        <v>1031</v>
      </c>
      <c r="J334" s="5" t="s">
        <v>34</v>
      </c>
      <c r="K334" s="5" t="s">
        <v>1032</v>
      </c>
      <c r="L334" s="5" t="s">
        <v>36</v>
      </c>
      <c r="M334" s="8" t="s">
        <v>1000</v>
      </c>
      <c r="N334" s="5" t="s">
        <v>1031</v>
      </c>
      <c r="O334" s="5" t="s">
        <v>1072</v>
      </c>
      <c r="P334" s="1" t="s">
        <v>1073</v>
      </c>
      <c r="Q334" s="1" t="s">
        <v>1035</v>
      </c>
      <c r="R334" s="5" t="s">
        <v>1036</v>
      </c>
      <c r="S334" s="5" t="s">
        <v>961</v>
      </c>
      <c r="T334" s="5" t="s">
        <v>962</v>
      </c>
      <c r="U334" s="5" t="s">
        <v>1037</v>
      </c>
      <c r="X334" s="9" t="s">
        <v>1042</v>
      </c>
      <c r="Y334" s="5" t="s">
        <v>1072</v>
      </c>
      <c r="Z334" s="5" t="s">
        <v>45</v>
      </c>
      <c r="AA334" s="5" t="s">
        <v>90</v>
      </c>
      <c r="AB334" s="5" t="s">
        <v>1074</v>
      </c>
      <c r="AC334" s="5" t="s">
        <v>1075</v>
      </c>
      <c r="AD334" s="5" t="str">
        <f>_xlfn.CONCAT(Table58911[[#This Row],[&lt;&lt;NOLA&gt;&gt;
NIEM Element]],Table58911[[#This Row],[Repeat Values per attribute]])</f>
        <v>nc:PersonSurNamek</v>
      </c>
    </row>
    <row r="335" spans="1:30" ht="30" customHeight="1" x14ac:dyDescent="0.3">
      <c r="A335" s="5">
        <f t="shared" si="30"/>
        <v>334</v>
      </c>
      <c r="B335" s="5">
        <f t="shared" si="31"/>
        <v>15</v>
      </c>
      <c r="C335" s="5">
        <f t="shared" si="31"/>
        <v>59</v>
      </c>
      <c r="D335" s="5">
        <f t="shared" si="32"/>
        <v>174</v>
      </c>
      <c r="E335" s="5" t="s">
        <v>32</v>
      </c>
      <c r="F335" s="5" t="s">
        <v>8</v>
      </c>
      <c r="G335" s="5">
        <v>257</v>
      </c>
      <c r="H335" s="6" t="s">
        <v>954</v>
      </c>
      <c r="I335" s="7" t="s">
        <v>1076</v>
      </c>
      <c r="J335" s="5" t="s">
        <v>34</v>
      </c>
      <c r="K335" s="5" t="s">
        <v>1077</v>
      </c>
      <c r="L335" s="5" t="s">
        <v>36</v>
      </c>
      <c r="M335" s="8" t="s">
        <v>37</v>
      </c>
      <c r="N335" s="5" t="s">
        <v>1076</v>
      </c>
      <c r="O335" s="5" t="s">
        <v>1078</v>
      </c>
      <c r="P335" s="5" t="s">
        <v>1079</v>
      </c>
      <c r="Q335" s="1" t="s">
        <v>1080</v>
      </c>
      <c r="R335" s="5" t="s">
        <v>1081</v>
      </c>
      <c r="S335" s="5" t="s">
        <v>961</v>
      </c>
      <c r="T335" s="5" t="s">
        <v>962</v>
      </c>
      <c r="U335" s="5" t="s">
        <v>1082</v>
      </c>
      <c r="X335" s="9" t="s">
        <v>1083</v>
      </c>
      <c r="Y335" s="5" t="s">
        <v>1078</v>
      </c>
      <c r="Z335" s="5" t="s">
        <v>45</v>
      </c>
      <c r="AA335" s="5" t="s">
        <v>46</v>
      </c>
      <c r="AB335" s="5" t="s">
        <v>1084</v>
      </c>
      <c r="AC335" s="5" t="s">
        <v>1085</v>
      </c>
      <c r="AD335" s="5" t="str">
        <f>_xlfn.CONCAT(Table58911[[#This Row],[&lt;&lt;NOLA&gt;&gt;
NIEM Element]],Table58911[[#This Row],[Repeat Values per attribute]])</f>
        <v>nc:PersonMiddleNamea</v>
      </c>
    </row>
    <row r="336" spans="1:30" ht="30" customHeight="1" x14ac:dyDescent="0.3">
      <c r="A336" s="5">
        <f t="shared" si="30"/>
        <v>335</v>
      </c>
      <c r="B336" s="5">
        <f t="shared" si="31"/>
        <v>15</v>
      </c>
      <c r="C336" s="5">
        <f t="shared" si="31"/>
        <v>59</v>
      </c>
      <c r="D336" s="5">
        <f t="shared" si="32"/>
        <v>174</v>
      </c>
      <c r="E336" s="5" t="s">
        <v>49</v>
      </c>
      <c r="F336" s="5" t="s">
        <v>8</v>
      </c>
      <c r="G336" s="5">
        <v>257</v>
      </c>
      <c r="H336" s="6" t="s">
        <v>954</v>
      </c>
      <c r="I336" s="7" t="s">
        <v>1076</v>
      </c>
      <c r="J336" s="5" t="s">
        <v>34</v>
      </c>
      <c r="K336" s="5" t="s">
        <v>1077</v>
      </c>
      <c r="L336" s="5" t="s">
        <v>36</v>
      </c>
      <c r="M336" s="8" t="s">
        <v>37</v>
      </c>
      <c r="N336" s="5" t="s">
        <v>1076</v>
      </c>
      <c r="O336" s="5" t="s">
        <v>1078</v>
      </c>
      <c r="P336" s="5" t="s">
        <v>1079</v>
      </c>
      <c r="Q336" s="1" t="s">
        <v>1080</v>
      </c>
      <c r="R336" s="5" t="s">
        <v>1081</v>
      </c>
      <c r="S336" s="5" t="s">
        <v>961</v>
      </c>
      <c r="T336" s="5" t="s">
        <v>962</v>
      </c>
      <c r="U336" s="5" t="s">
        <v>1082</v>
      </c>
      <c r="X336" s="9" t="s">
        <v>1086</v>
      </c>
      <c r="Y336" s="5" t="s">
        <v>1078</v>
      </c>
      <c r="Z336" s="5" t="s">
        <v>45</v>
      </c>
      <c r="AA336" s="5" t="s">
        <v>46</v>
      </c>
      <c r="AB336" s="5" t="s">
        <v>1084</v>
      </c>
      <c r="AC336" s="5" t="s">
        <v>1085</v>
      </c>
      <c r="AD336" s="5" t="str">
        <f>_xlfn.CONCAT(Table58911[[#This Row],[&lt;&lt;NOLA&gt;&gt;
NIEM Element]],Table58911[[#This Row],[Repeat Values per attribute]])</f>
        <v>nc:PersonMiddleNamea</v>
      </c>
    </row>
    <row r="337" spans="1:30" ht="30" customHeight="1" x14ac:dyDescent="0.3">
      <c r="A337" s="5">
        <f t="shared" si="30"/>
        <v>336</v>
      </c>
      <c r="B337" s="5">
        <f t="shared" si="31"/>
        <v>15</v>
      </c>
      <c r="C337" s="5">
        <f t="shared" si="31"/>
        <v>59</v>
      </c>
      <c r="D337" s="5">
        <f t="shared" si="32"/>
        <v>174</v>
      </c>
      <c r="E337" s="5" t="s">
        <v>49</v>
      </c>
      <c r="F337" s="5" t="s">
        <v>8</v>
      </c>
      <c r="G337" s="5">
        <v>257</v>
      </c>
      <c r="H337" s="6" t="s">
        <v>954</v>
      </c>
      <c r="I337" s="7" t="s">
        <v>1076</v>
      </c>
      <c r="J337" s="5" t="s">
        <v>34</v>
      </c>
      <c r="K337" s="5" t="s">
        <v>1077</v>
      </c>
      <c r="L337" s="5" t="s">
        <v>36</v>
      </c>
      <c r="M337" s="8" t="s">
        <v>37</v>
      </c>
      <c r="N337" s="5" t="s">
        <v>1076</v>
      </c>
      <c r="O337" s="5" t="s">
        <v>1078</v>
      </c>
      <c r="P337" s="5" t="s">
        <v>1079</v>
      </c>
      <c r="Q337" s="1" t="s">
        <v>1080</v>
      </c>
      <c r="R337" s="5" t="s">
        <v>1081</v>
      </c>
      <c r="S337" s="5" t="s">
        <v>961</v>
      </c>
      <c r="T337" s="5" t="s">
        <v>962</v>
      </c>
      <c r="U337" s="5" t="s">
        <v>1082</v>
      </c>
      <c r="X337" s="9" t="s">
        <v>1087</v>
      </c>
      <c r="Y337" s="5" t="s">
        <v>1078</v>
      </c>
      <c r="Z337" s="5" t="s">
        <v>45</v>
      </c>
      <c r="AA337" s="5" t="s">
        <v>46</v>
      </c>
      <c r="AB337" s="5" t="s">
        <v>1084</v>
      </c>
      <c r="AC337" s="5" t="s">
        <v>1085</v>
      </c>
      <c r="AD337" s="5" t="str">
        <f>_xlfn.CONCAT(Table58911[[#This Row],[&lt;&lt;NOLA&gt;&gt;
NIEM Element]],Table58911[[#This Row],[Repeat Values per attribute]])</f>
        <v>nc:PersonMiddleNamea</v>
      </c>
    </row>
    <row r="338" spans="1:30" ht="30" customHeight="1" x14ac:dyDescent="0.3">
      <c r="A338" s="5">
        <f t="shared" si="30"/>
        <v>337</v>
      </c>
      <c r="B338" s="5">
        <f t="shared" ref="B338:C353" si="33">IF(H337=H338,B337,B337+1)</f>
        <v>15</v>
      </c>
      <c r="C338" s="5">
        <f t="shared" si="33"/>
        <v>59</v>
      </c>
      <c r="D338" s="5">
        <f t="shared" si="32"/>
        <v>175</v>
      </c>
      <c r="E338" s="5" t="s">
        <v>32</v>
      </c>
      <c r="F338" s="5" t="s">
        <v>8</v>
      </c>
      <c r="G338" s="5">
        <v>257</v>
      </c>
      <c r="H338" s="6" t="s">
        <v>954</v>
      </c>
      <c r="I338" s="7" t="s">
        <v>1076</v>
      </c>
      <c r="J338" s="5" t="s">
        <v>34</v>
      </c>
      <c r="K338" s="5" t="s">
        <v>1077</v>
      </c>
      <c r="L338" s="5" t="s">
        <v>36</v>
      </c>
      <c r="M338" s="8" t="s">
        <v>57</v>
      </c>
      <c r="N338" s="5" t="s">
        <v>1076</v>
      </c>
      <c r="O338" s="5" t="s">
        <v>1088</v>
      </c>
      <c r="P338" s="1" t="s">
        <v>1089</v>
      </c>
      <c r="Q338" s="1" t="s">
        <v>1080</v>
      </c>
      <c r="R338" s="5" t="s">
        <v>1081</v>
      </c>
      <c r="S338" s="5" t="s">
        <v>961</v>
      </c>
      <c r="T338" s="5" t="s">
        <v>962</v>
      </c>
      <c r="U338" s="5" t="s">
        <v>1082</v>
      </c>
      <c r="X338" s="9" t="s">
        <v>1083</v>
      </c>
      <c r="Y338" s="5" t="s">
        <v>1088</v>
      </c>
      <c r="Z338" s="5" t="s">
        <v>45</v>
      </c>
      <c r="AA338" s="5" t="s">
        <v>90</v>
      </c>
      <c r="AB338" s="5" t="s">
        <v>1084</v>
      </c>
      <c r="AC338" s="5" t="s">
        <v>1090</v>
      </c>
      <c r="AD338" s="5" t="str">
        <f>_xlfn.CONCAT(Table58911[[#This Row],[&lt;&lt;NOLA&gt;&gt;
NIEM Element]],Table58911[[#This Row],[Repeat Values per attribute]])</f>
        <v>nc:PersonMiddleNamec</v>
      </c>
    </row>
    <row r="339" spans="1:30" ht="30" customHeight="1" x14ac:dyDescent="0.3">
      <c r="A339" s="5">
        <f t="shared" si="30"/>
        <v>338</v>
      </c>
      <c r="B339" s="5">
        <f t="shared" si="33"/>
        <v>15</v>
      </c>
      <c r="C339" s="5">
        <f t="shared" si="33"/>
        <v>59</v>
      </c>
      <c r="D339" s="5">
        <f t="shared" si="32"/>
        <v>175</v>
      </c>
      <c r="E339" s="5" t="s">
        <v>49</v>
      </c>
      <c r="F339" s="5" t="s">
        <v>8</v>
      </c>
      <c r="G339" s="5">
        <v>257</v>
      </c>
      <c r="H339" s="6" t="s">
        <v>954</v>
      </c>
      <c r="I339" s="7" t="s">
        <v>1076</v>
      </c>
      <c r="J339" s="5" t="s">
        <v>34</v>
      </c>
      <c r="K339" s="5" t="s">
        <v>1077</v>
      </c>
      <c r="L339" s="5" t="s">
        <v>36</v>
      </c>
      <c r="M339" s="8" t="s">
        <v>57</v>
      </c>
      <c r="N339" s="5" t="s">
        <v>1076</v>
      </c>
      <c r="O339" s="5" t="s">
        <v>1088</v>
      </c>
      <c r="P339" s="1" t="s">
        <v>1089</v>
      </c>
      <c r="Q339" s="1" t="s">
        <v>1080</v>
      </c>
      <c r="R339" s="5" t="s">
        <v>1081</v>
      </c>
      <c r="S339" s="5" t="s">
        <v>961</v>
      </c>
      <c r="T339" s="5" t="s">
        <v>962</v>
      </c>
      <c r="U339" s="5" t="s">
        <v>1082</v>
      </c>
      <c r="X339" s="9" t="s">
        <v>1086</v>
      </c>
      <c r="Y339" s="5" t="s">
        <v>1088</v>
      </c>
      <c r="Z339" s="5" t="s">
        <v>45</v>
      </c>
      <c r="AA339" s="5" t="s">
        <v>90</v>
      </c>
      <c r="AB339" s="5" t="s">
        <v>1084</v>
      </c>
      <c r="AC339" s="5" t="s">
        <v>1090</v>
      </c>
      <c r="AD339" s="5" t="str">
        <f>_xlfn.CONCAT(Table58911[[#This Row],[&lt;&lt;NOLA&gt;&gt;
NIEM Element]],Table58911[[#This Row],[Repeat Values per attribute]])</f>
        <v>nc:PersonMiddleNamec</v>
      </c>
    </row>
    <row r="340" spans="1:30" ht="30" customHeight="1" x14ac:dyDescent="0.3">
      <c r="A340" s="5">
        <f t="shared" si="30"/>
        <v>339</v>
      </c>
      <c r="B340" s="5">
        <f t="shared" si="33"/>
        <v>15</v>
      </c>
      <c r="C340" s="5">
        <f t="shared" si="33"/>
        <v>59</v>
      </c>
      <c r="D340" s="5">
        <f t="shared" si="32"/>
        <v>175</v>
      </c>
      <c r="E340" s="5" t="s">
        <v>49</v>
      </c>
      <c r="F340" s="5" t="s">
        <v>8</v>
      </c>
      <c r="G340" s="5">
        <v>257</v>
      </c>
      <c r="H340" s="6" t="s">
        <v>954</v>
      </c>
      <c r="I340" s="7" t="s">
        <v>1076</v>
      </c>
      <c r="J340" s="5" t="s">
        <v>34</v>
      </c>
      <c r="K340" s="5" t="s">
        <v>1077</v>
      </c>
      <c r="L340" s="5" t="s">
        <v>36</v>
      </c>
      <c r="M340" s="8" t="s">
        <v>57</v>
      </c>
      <c r="N340" s="5" t="s">
        <v>1076</v>
      </c>
      <c r="O340" s="5" t="s">
        <v>1088</v>
      </c>
      <c r="P340" s="1" t="s">
        <v>1089</v>
      </c>
      <c r="Q340" s="1" t="s">
        <v>1080</v>
      </c>
      <c r="R340" s="5" t="s">
        <v>1081</v>
      </c>
      <c r="S340" s="5" t="s">
        <v>961</v>
      </c>
      <c r="T340" s="5" t="s">
        <v>962</v>
      </c>
      <c r="U340" s="5" t="s">
        <v>1082</v>
      </c>
      <c r="X340" s="9" t="s">
        <v>1087</v>
      </c>
      <c r="Y340" s="5" t="s">
        <v>1088</v>
      </c>
      <c r="Z340" s="5" t="s">
        <v>45</v>
      </c>
      <c r="AA340" s="5" t="s">
        <v>90</v>
      </c>
      <c r="AB340" s="5" t="s">
        <v>1084</v>
      </c>
      <c r="AC340" s="5" t="s">
        <v>1090</v>
      </c>
      <c r="AD340" s="5" t="str">
        <f>_xlfn.CONCAT(Table58911[[#This Row],[&lt;&lt;NOLA&gt;&gt;
NIEM Element]],Table58911[[#This Row],[Repeat Values per attribute]])</f>
        <v>nc:PersonMiddleNamec</v>
      </c>
    </row>
    <row r="341" spans="1:30" ht="30" customHeight="1" x14ac:dyDescent="0.3">
      <c r="A341" s="5">
        <f t="shared" si="30"/>
        <v>340</v>
      </c>
      <c r="B341" s="5">
        <f>IF(H340=H341,B340,B340+1)</f>
        <v>15</v>
      </c>
      <c r="C341" s="5">
        <f t="shared" si="33"/>
        <v>60</v>
      </c>
      <c r="D341" s="5">
        <f t="shared" si="32"/>
        <v>176</v>
      </c>
      <c r="E341" s="5" t="s">
        <v>32</v>
      </c>
      <c r="F341" s="5" t="s">
        <v>8</v>
      </c>
      <c r="G341" s="5">
        <v>259</v>
      </c>
      <c r="H341" s="6" t="s">
        <v>954</v>
      </c>
      <c r="I341" s="7" t="s">
        <v>1091</v>
      </c>
      <c r="J341" s="5" t="s">
        <v>34</v>
      </c>
      <c r="K341" s="5" t="s">
        <v>1092</v>
      </c>
      <c r="L341" s="5" t="s">
        <v>36</v>
      </c>
      <c r="M341" s="8" t="s">
        <v>37</v>
      </c>
      <c r="N341" s="5" t="s">
        <v>1091</v>
      </c>
      <c r="O341" s="5" t="s">
        <v>1093</v>
      </c>
      <c r="P341" s="5" t="s">
        <v>1094</v>
      </c>
      <c r="Q341" s="1" t="s">
        <v>1095</v>
      </c>
      <c r="R341" s="5" t="s">
        <v>1096</v>
      </c>
      <c r="S341" s="5" t="s">
        <v>42</v>
      </c>
      <c r="T341" s="5" t="s">
        <v>962</v>
      </c>
      <c r="U341" s="5" t="s">
        <v>1097</v>
      </c>
      <c r="X341" s="9" t="s">
        <v>1098</v>
      </c>
      <c r="Y341" s="5" t="s">
        <v>1093</v>
      </c>
      <c r="Z341" s="5" t="s">
        <v>45</v>
      </c>
      <c r="AA341" s="5" t="s">
        <v>46</v>
      </c>
      <c r="AB341" s="5" t="s">
        <v>1099</v>
      </c>
      <c r="AC341" s="5" t="s">
        <v>1100</v>
      </c>
      <c r="AD341" s="5" t="str">
        <f>_xlfn.CONCAT(Table58911[[#This Row],[&lt;&lt;NOLA&gt;&gt;
NIEM Element]],Table58911[[#This Row],[Repeat Values per attribute]])</f>
        <v>nc:PersonNameSuffixTexta</v>
      </c>
    </row>
    <row r="342" spans="1:30" ht="30" customHeight="1" x14ac:dyDescent="0.3">
      <c r="A342" s="5">
        <f t="shared" si="30"/>
        <v>341</v>
      </c>
      <c r="B342" s="5">
        <f t="shared" si="33"/>
        <v>15</v>
      </c>
      <c r="C342" s="5">
        <f t="shared" si="33"/>
        <v>60</v>
      </c>
      <c r="D342" s="5">
        <f t="shared" si="32"/>
        <v>176</v>
      </c>
      <c r="E342" s="5" t="s">
        <v>49</v>
      </c>
      <c r="F342" s="5" t="s">
        <v>8</v>
      </c>
      <c r="G342" s="5">
        <v>259</v>
      </c>
      <c r="H342" s="6" t="s">
        <v>954</v>
      </c>
      <c r="I342" s="7" t="s">
        <v>1091</v>
      </c>
      <c r="J342" s="5" t="s">
        <v>34</v>
      </c>
      <c r="K342" s="5" t="s">
        <v>1092</v>
      </c>
      <c r="L342" s="5" t="s">
        <v>36</v>
      </c>
      <c r="M342" s="8" t="s">
        <v>37</v>
      </c>
      <c r="N342" s="5" t="s">
        <v>1091</v>
      </c>
      <c r="O342" s="5" t="s">
        <v>1093</v>
      </c>
      <c r="P342" s="5" t="s">
        <v>1094</v>
      </c>
      <c r="Q342" s="1" t="s">
        <v>1095</v>
      </c>
      <c r="R342" s="5" t="s">
        <v>1096</v>
      </c>
      <c r="S342" s="5" t="s">
        <v>42</v>
      </c>
      <c r="T342" s="5" t="s">
        <v>962</v>
      </c>
      <c r="U342" s="5" t="s">
        <v>1097</v>
      </c>
      <c r="X342" s="9" t="s">
        <v>1101</v>
      </c>
      <c r="Y342" s="5" t="s">
        <v>1093</v>
      </c>
      <c r="Z342" s="5" t="s">
        <v>45</v>
      </c>
      <c r="AA342" s="5" t="s">
        <v>46</v>
      </c>
      <c r="AB342" s="5" t="s">
        <v>1099</v>
      </c>
      <c r="AC342" s="5" t="s">
        <v>1100</v>
      </c>
      <c r="AD342" s="5" t="str">
        <f>_xlfn.CONCAT(Table58911[[#This Row],[&lt;&lt;NOLA&gt;&gt;
NIEM Element]],Table58911[[#This Row],[Repeat Values per attribute]])</f>
        <v>nc:PersonNameSuffixTexta</v>
      </c>
    </row>
    <row r="343" spans="1:30" ht="30" customHeight="1" x14ac:dyDescent="0.3">
      <c r="A343" s="5">
        <f t="shared" si="30"/>
        <v>342</v>
      </c>
      <c r="B343" s="5">
        <f t="shared" si="33"/>
        <v>15</v>
      </c>
      <c r="C343" s="5">
        <f t="shared" si="33"/>
        <v>60</v>
      </c>
      <c r="D343" s="5">
        <f t="shared" si="32"/>
        <v>176</v>
      </c>
      <c r="E343" s="5" t="s">
        <v>49</v>
      </c>
      <c r="F343" s="5" t="s">
        <v>8</v>
      </c>
      <c r="G343" s="5">
        <v>259</v>
      </c>
      <c r="H343" s="6" t="s">
        <v>954</v>
      </c>
      <c r="I343" s="7" t="s">
        <v>1091</v>
      </c>
      <c r="J343" s="5" t="s">
        <v>34</v>
      </c>
      <c r="K343" s="5" t="s">
        <v>1092</v>
      </c>
      <c r="L343" s="5" t="s">
        <v>36</v>
      </c>
      <c r="M343" s="8" t="s">
        <v>37</v>
      </c>
      <c r="N343" s="5" t="s">
        <v>1091</v>
      </c>
      <c r="O343" s="5" t="s">
        <v>1093</v>
      </c>
      <c r="P343" s="5" t="s">
        <v>1094</v>
      </c>
      <c r="Q343" s="1" t="s">
        <v>1095</v>
      </c>
      <c r="R343" s="5" t="s">
        <v>1096</v>
      </c>
      <c r="S343" s="5" t="s">
        <v>42</v>
      </c>
      <c r="T343" s="5" t="s">
        <v>962</v>
      </c>
      <c r="U343" s="5" t="s">
        <v>1097</v>
      </c>
      <c r="X343" s="9" t="s">
        <v>1102</v>
      </c>
      <c r="Y343" s="5" t="s">
        <v>1093</v>
      </c>
      <c r="Z343" s="5" t="s">
        <v>45</v>
      </c>
      <c r="AA343" s="5" t="s">
        <v>46</v>
      </c>
      <c r="AB343" s="5" t="s">
        <v>1099</v>
      </c>
      <c r="AC343" s="5" t="s">
        <v>1100</v>
      </c>
      <c r="AD343" s="5" t="str">
        <f>_xlfn.CONCAT(Table58911[[#This Row],[&lt;&lt;NOLA&gt;&gt;
NIEM Element]],Table58911[[#This Row],[Repeat Values per attribute]])</f>
        <v>nc:PersonNameSuffixTexta</v>
      </c>
    </row>
    <row r="344" spans="1:30" ht="30" customHeight="1" x14ac:dyDescent="0.3">
      <c r="A344" s="5">
        <f t="shared" si="30"/>
        <v>343</v>
      </c>
      <c r="B344" s="5">
        <f t="shared" si="33"/>
        <v>15</v>
      </c>
      <c r="C344" s="5">
        <f t="shared" si="33"/>
        <v>60</v>
      </c>
      <c r="D344" s="5">
        <f t="shared" si="32"/>
        <v>177</v>
      </c>
      <c r="E344" s="5" t="s">
        <v>32</v>
      </c>
      <c r="F344" s="5" t="s">
        <v>8</v>
      </c>
      <c r="G344" s="5">
        <v>259</v>
      </c>
      <c r="H344" s="6" t="s">
        <v>954</v>
      </c>
      <c r="I344" s="7" t="s">
        <v>1091</v>
      </c>
      <c r="J344" s="5" t="s">
        <v>34</v>
      </c>
      <c r="K344" s="5" t="s">
        <v>1092</v>
      </c>
      <c r="L344" s="5" t="s">
        <v>36</v>
      </c>
      <c r="M344" s="8" t="s">
        <v>57</v>
      </c>
      <c r="N344" s="5" t="s">
        <v>1091</v>
      </c>
      <c r="O344" s="5" t="s">
        <v>1103</v>
      </c>
      <c r="P344" s="1" t="s">
        <v>1104</v>
      </c>
      <c r="Q344" s="1" t="s">
        <v>1095</v>
      </c>
      <c r="R344" s="5" t="s">
        <v>1096</v>
      </c>
      <c r="S344" s="5" t="s">
        <v>42</v>
      </c>
      <c r="T344" s="5" t="s">
        <v>962</v>
      </c>
      <c r="U344" s="5" t="s">
        <v>1097</v>
      </c>
      <c r="X344" s="9" t="s">
        <v>1098</v>
      </c>
      <c r="Y344" s="5" t="s">
        <v>1103</v>
      </c>
      <c r="Z344" s="5" t="s">
        <v>45</v>
      </c>
      <c r="AA344" s="5" t="s">
        <v>90</v>
      </c>
      <c r="AB344" s="5" t="s">
        <v>1099</v>
      </c>
      <c r="AC344" s="5" t="s">
        <v>1105</v>
      </c>
      <c r="AD344" s="5" t="str">
        <f>_xlfn.CONCAT(Table58911[[#This Row],[&lt;&lt;NOLA&gt;&gt;
NIEM Element]],Table58911[[#This Row],[Repeat Values per attribute]])</f>
        <v>nc:PersonNameSuffixTextc</v>
      </c>
    </row>
    <row r="345" spans="1:30" ht="30" customHeight="1" x14ac:dyDescent="0.3">
      <c r="A345" s="5">
        <f t="shared" si="30"/>
        <v>344</v>
      </c>
      <c r="B345" s="5">
        <f t="shared" si="33"/>
        <v>15</v>
      </c>
      <c r="C345" s="5">
        <f t="shared" si="33"/>
        <v>60</v>
      </c>
      <c r="D345" s="5">
        <f t="shared" si="32"/>
        <v>177</v>
      </c>
      <c r="E345" s="5" t="s">
        <v>49</v>
      </c>
      <c r="F345" s="5" t="s">
        <v>8</v>
      </c>
      <c r="G345" s="5">
        <v>259</v>
      </c>
      <c r="H345" s="6" t="s">
        <v>954</v>
      </c>
      <c r="I345" s="7" t="s">
        <v>1091</v>
      </c>
      <c r="J345" s="5" t="s">
        <v>34</v>
      </c>
      <c r="K345" s="5" t="s">
        <v>1092</v>
      </c>
      <c r="L345" s="5" t="s">
        <v>36</v>
      </c>
      <c r="M345" s="8" t="s">
        <v>57</v>
      </c>
      <c r="N345" s="5" t="s">
        <v>1091</v>
      </c>
      <c r="O345" s="5" t="s">
        <v>1103</v>
      </c>
      <c r="P345" s="1" t="s">
        <v>1104</v>
      </c>
      <c r="Q345" s="1" t="s">
        <v>1095</v>
      </c>
      <c r="R345" s="5" t="s">
        <v>1096</v>
      </c>
      <c r="S345" s="5" t="s">
        <v>42</v>
      </c>
      <c r="T345" s="5" t="s">
        <v>962</v>
      </c>
      <c r="U345" s="5" t="s">
        <v>1097</v>
      </c>
      <c r="X345" s="9" t="s">
        <v>1101</v>
      </c>
      <c r="Y345" s="5" t="s">
        <v>1103</v>
      </c>
      <c r="Z345" s="5" t="s">
        <v>45</v>
      </c>
      <c r="AA345" s="5" t="s">
        <v>90</v>
      </c>
      <c r="AB345" s="5" t="s">
        <v>1099</v>
      </c>
      <c r="AC345" s="5" t="s">
        <v>1105</v>
      </c>
      <c r="AD345" s="5" t="str">
        <f>_xlfn.CONCAT(Table58911[[#This Row],[&lt;&lt;NOLA&gt;&gt;
NIEM Element]],Table58911[[#This Row],[Repeat Values per attribute]])</f>
        <v>nc:PersonNameSuffixTextc</v>
      </c>
    </row>
    <row r="346" spans="1:30" ht="30" customHeight="1" x14ac:dyDescent="0.3">
      <c r="A346" s="5">
        <f t="shared" si="30"/>
        <v>345</v>
      </c>
      <c r="B346" s="5">
        <f t="shared" si="33"/>
        <v>15</v>
      </c>
      <c r="C346" s="5">
        <f t="shared" si="33"/>
        <v>60</v>
      </c>
      <c r="D346" s="5">
        <f t="shared" si="32"/>
        <v>177</v>
      </c>
      <c r="E346" s="5" t="s">
        <v>49</v>
      </c>
      <c r="F346" s="5" t="s">
        <v>8</v>
      </c>
      <c r="G346" s="5">
        <v>259</v>
      </c>
      <c r="H346" s="6" t="s">
        <v>954</v>
      </c>
      <c r="I346" s="7" t="s">
        <v>1091</v>
      </c>
      <c r="J346" s="5" t="s">
        <v>34</v>
      </c>
      <c r="K346" s="5" t="s">
        <v>1092</v>
      </c>
      <c r="L346" s="5" t="s">
        <v>36</v>
      </c>
      <c r="M346" s="8" t="s">
        <v>57</v>
      </c>
      <c r="N346" s="5" t="s">
        <v>1091</v>
      </c>
      <c r="O346" s="5" t="s">
        <v>1103</v>
      </c>
      <c r="P346" s="1" t="s">
        <v>1104</v>
      </c>
      <c r="Q346" s="1" t="s">
        <v>1095</v>
      </c>
      <c r="R346" s="5" t="s">
        <v>1096</v>
      </c>
      <c r="S346" s="5" t="s">
        <v>42</v>
      </c>
      <c r="T346" s="5" t="s">
        <v>962</v>
      </c>
      <c r="U346" s="5" t="s">
        <v>1097</v>
      </c>
      <c r="X346" s="9" t="s">
        <v>1102</v>
      </c>
      <c r="Y346" s="5" t="s">
        <v>1103</v>
      </c>
      <c r="Z346" s="5" t="s">
        <v>45</v>
      </c>
      <c r="AA346" s="5" t="s">
        <v>90</v>
      </c>
      <c r="AB346" s="5" t="s">
        <v>1099</v>
      </c>
      <c r="AC346" s="5" t="s">
        <v>1105</v>
      </c>
      <c r="AD346" s="5" t="str">
        <f>_xlfn.CONCAT(Table58911[[#This Row],[&lt;&lt;NOLA&gt;&gt;
NIEM Element]],Table58911[[#This Row],[Repeat Values per attribute]])</f>
        <v>nc:PersonNameSuffixTextc</v>
      </c>
    </row>
    <row r="347" spans="1:30" ht="30" customHeight="1" x14ac:dyDescent="0.3">
      <c r="A347" s="5">
        <f t="shared" si="30"/>
        <v>346</v>
      </c>
      <c r="B347" s="5">
        <f t="shared" si="33"/>
        <v>16</v>
      </c>
      <c r="C347" s="5">
        <f t="shared" si="33"/>
        <v>61</v>
      </c>
      <c r="D347" s="5">
        <f t="shared" si="32"/>
        <v>178</v>
      </c>
      <c r="E347" s="5" t="s">
        <v>32</v>
      </c>
      <c r="F347" s="5" t="s">
        <v>8</v>
      </c>
      <c r="G347" s="5">
        <v>266</v>
      </c>
      <c r="H347" s="6" t="s">
        <v>1106</v>
      </c>
      <c r="I347" s="7" t="s">
        <v>1107</v>
      </c>
      <c r="J347" s="5" t="s">
        <v>34</v>
      </c>
      <c r="K347" s="5" t="s">
        <v>1108</v>
      </c>
      <c r="L347" s="5" t="s">
        <v>36</v>
      </c>
      <c r="M347" s="8" t="s">
        <v>37</v>
      </c>
      <c r="N347" s="5" t="s">
        <v>1107</v>
      </c>
      <c r="O347" s="5" t="s">
        <v>1109</v>
      </c>
      <c r="P347" s="5" t="s">
        <v>1110</v>
      </c>
      <c r="Q347" s="1" t="s">
        <v>1111</v>
      </c>
      <c r="R347" s="5" t="s">
        <v>1112</v>
      </c>
      <c r="S347" s="5" t="s">
        <v>42</v>
      </c>
      <c r="U347" s="5" t="s">
        <v>1113</v>
      </c>
      <c r="X347" s="9" t="s">
        <v>1114</v>
      </c>
      <c r="Y347" s="5" t="s">
        <v>1109</v>
      </c>
      <c r="Z347" s="5" t="s">
        <v>45</v>
      </c>
      <c r="AA347" s="5" t="s">
        <v>90</v>
      </c>
      <c r="AB347" s="5" t="s">
        <v>1115</v>
      </c>
      <c r="AC347" s="5" t="s">
        <v>1116</v>
      </c>
      <c r="AD347" s="5" t="str">
        <f>_xlfn.CONCAT(Table58911[[#This Row],[&lt;&lt;NOLA&gt;&gt;
NIEM Element]],Table58911[[#This Row],[Repeat Values per attribute]])</f>
        <v>nc:CommentTexta</v>
      </c>
    </row>
    <row r="348" spans="1:30" ht="30" customHeight="1" x14ac:dyDescent="0.3">
      <c r="A348" s="5">
        <f t="shared" si="30"/>
        <v>347</v>
      </c>
      <c r="B348" s="5">
        <f t="shared" si="33"/>
        <v>16</v>
      </c>
      <c r="C348" s="5">
        <f t="shared" si="33"/>
        <v>62</v>
      </c>
      <c r="D348" s="5">
        <f t="shared" si="32"/>
        <v>179</v>
      </c>
      <c r="E348" s="5" t="s">
        <v>32</v>
      </c>
      <c r="F348" s="5" t="s">
        <v>8</v>
      </c>
      <c r="G348" s="5">
        <v>267</v>
      </c>
      <c r="H348" s="6" t="s">
        <v>1106</v>
      </c>
      <c r="I348" s="7" t="s">
        <v>1117</v>
      </c>
      <c r="J348" s="5" t="s">
        <v>399</v>
      </c>
      <c r="K348" s="5" t="s">
        <v>1118</v>
      </c>
      <c r="L348" s="5" t="s">
        <v>36</v>
      </c>
      <c r="M348" s="8" t="s">
        <v>37</v>
      </c>
      <c r="N348" s="5" t="s">
        <v>1117</v>
      </c>
      <c r="O348" s="5" t="s">
        <v>1119</v>
      </c>
      <c r="P348" s="5" t="s">
        <v>1120</v>
      </c>
      <c r="Q348" s="1" t="s">
        <v>1121</v>
      </c>
      <c r="R348" s="5" t="s">
        <v>404</v>
      </c>
      <c r="S348" s="5" t="s">
        <v>405</v>
      </c>
      <c r="U348" s="5" t="s">
        <v>1122</v>
      </c>
      <c r="X348" s="9" t="s">
        <v>1123</v>
      </c>
      <c r="Y348" s="5" t="s">
        <v>1119</v>
      </c>
      <c r="Z348" s="5" t="s">
        <v>45</v>
      </c>
      <c r="AA348" s="5" t="s">
        <v>90</v>
      </c>
      <c r="AB348" s="5" t="s">
        <v>1124</v>
      </c>
      <c r="AC348" s="5" t="s">
        <v>1125</v>
      </c>
      <c r="AD348" s="5" t="str">
        <f>_xlfn.CONCAT(Table58911[[#This Row],[&lt;&lt;NOLA&gt;&gt;
NIEM Element]],Table58911[[#This Row],[Repeat Values per attribute]])</f>
        <v>nc:DateTimea</v>
      </c>
    </row>
    <row r="349" spans="1:30" ht="30" customHeight="1" x14ac:dyDescent="0.3">
      <c r="A349" s="5">
        <f t="shared" si="30"/>
        <v>348</v>
      </c>
      <c r="B349" s="5">
        <f t="shared" si="33"/>
        <v>16</v>
      </c>
      <c r="C349" s="5">
        <f t="shared" si="33"/>
        <v>62</v>
      </c>
      <c r="D349" s="5">
        <f t="shared" si="32"/>
        <v>180</v>
      </c>
      <c r="E349" s="5" t="s">
        <v>32</v>
      </c>
      <c r="F349" s="5" t="s">
        <v>8</v>
      </c>
      <c r="G349" s="5">
        <v>267</v>
      </c>
      <c r="H349" s="6" t="s">
        <v>1106</v>
      </c>
      <c r="I349" s="7" t="s">
        <v>1117</v>
      </c>
      <c r="J349" s="5" t="s">
        <v>399</v>
      </c>
      <c r="K349" s="5" t="s">
        <v>1118</v>
      </c>
      <c r="L349" s="5" t="s">
        <v>36</v>
      </c>
      <c r="M349" s="8" t="s">
        <v>52</v>
      </c>
      <c r="N349" s="5" t="s">
        <v>1117</v>
      </c>
      <c r="O349" s="5" t="s">
        <v>1126</v>
      </c>
      <c r="P349" s="1" t="s">
        <v>1127</v>
      </c>
      <c r="Q349" s="1" t="s">
        <v>1121</v>
      </c>
      <c r="R349" s="5" t="s">
        <v>404</v>
      </c>
      <c r="S349" s="5" t="s">
        <v>405</v>
      </c>
      <c r="U349" s="5" t="s">
        <v>1122</v>
      </c>
      <c r="X349" s="9" t="s">
        <v>1123</v>
      </c>
      <c r="Y349" s="5" t="s">
        <v>1126</v>
      </c>
      <c r="Z349" s="5" t="s">
        <v>45</v>
      </c>
      <c r="AA349" s="5" t="s">
        <v>90</v>
      </c>
      <c r="AB349" s="5" t="s">
        <v>1128</v>
      </c>
      <c r="AC349" s="5" t="s">
        <v>1129</v>
      </c>
      <c r="AD349" s="5" t="str">
        <f>_xlfn.CONCAT(Table58911[[#This Row],[&lt;&lt;NOLA&gt;&gt;
NIEM Element]],Table58911[[#This Row],[Repeat Values per attribute]])</f>
        <v>nc:DateTimeb</v>
      </c>
    </row>
    <row r="350" spans="1:30" ht="30" customHeight="1" x14ac:dyDescent="0.3">
      <c r="A350" s="5">
        <f t="shared" si="30"/>
        <v>349</v>
      </c>
      <c r="B350" s="5">
        <f t="shared" si="33"/>
        <v>16</v>
      </c>
      <c r="C350" s="5">
        <f t="shared" si="33"/>
        <v>62</v>
      </c>
      <c r="D350" s="5">
        <f t="shared" si="32"/>
        <v>181</v>
      </c>
      <c r="E350" s="5" t="s">
        <v>32</v>
      </c>
      <c r="F350" s="5" t="s">
        <v>8</v>
      </c>
      <c r="G350" s="5">
        <v>267</v>
      </c>
      <c r="H350" s="6" t="s">
        <v>1106</v>
      </c>
      <c r="I350" s="7" t="s">
        <v>1117</v>
      </c>
      <c r="J350" s="5" t="s">
        <v>399</v>
      </c>
      <c r="K350" s="5" t="s">
        <v>1118</v>
      </c>
      <c r="L350" s="5" t="s">
        <v>36</v>
      </c>
      <c r="M350" s="8" t="s">
        <v>57</v>
      </c>
      <c r="N350" s="5" t="s">
        <v>1117</v>
      </c>
      <c r="O350" s="5" t="s">
        <v>1130</v>
      </c>
      <c r="P350" s="1" t="s">
        <v>1131</v>
      </c>
      <c r="Q350" s="1" t="s">
        <v>1121</v>
      </c>
      <c r="R350" s="5" t="s">
        <v>404</v>
      </c>
      <c r="S350" s="5" t="s">
        <v>405</v>
      </c>
      <c r="U350" s="5" t="s">
        <v>1122</v>
      </c>
      <c r="X350" s="9" t="s">
        <v>1123</v>
      </c>
      <c r="Y350" s="5" t="s">
        <v>1130</v>
      </c>
      <c r="Z350" s="5" t="s">
        <v>45</v>
      </c>
      <c r="AA350" s="5" t="s">
        <v>90</v>
      </c>
      <c r="AB350" s="5" t="s">
        <v>1132</v>
      </c>
      <c r="AC350" s="5" t="s">
        <v>1133</v>
      </c>
      <c r="AD350" s="5" t="str">
        <f>_xlfn.CONCAT(Table58911[[#This Row],[&lt;&lt;NOLA&gt;&gt;
NIEM Element]],Table58911[[#This Row],[Repeat Values per attribute]])</f>
        <v>nc:DateTimec</v>
      </c>
    </row>
    <row r="351" spans="1:30" ht="30" customHeight="1" x14ac:dyDescent="0.3">
      <c r="A351" s="5">
        <f t="shared" si="30"/>
        <v>350</v>
      </c>
      <c r="B351" s="5">
        <f t="shared" si="33"/>
        <v>16</v>
      </c>
      <c r="C351" s="5">
        <f t="shared" si="33"/>
        <v>63</v>
      </c>
      <c r="D351" s="5">
        <f t="shared" si="32"/>
        <v>182</v>
      </c>
      <c r="E351" s="5" t="s">
        <v>32</v>
      </c>
      <c r="F351" s="5" t="s">
        <v>8</v>
      </c>
      <c r="G351" s="5">
        <v>265</v>
      </c>
      <c r="H351" s="6" t="s">
        <v>1106</v>
      </c>
      <c r="I351" s="7" t="s">
        <v>1134</v>
      </c>
      <c r="J351" s="5" t="s">
        <v>399</v>
      </c>
      <c r="K351" s="5" t="s">
        <v>1135</v>
      </c>
      <c r="L351" s="5" t="s">
        <v>36</v>
      </c>
      <c r="M351" s="8" t="s">
        <v>1134</v>
      </c>
      <c r="N351" s="5" t="s">
        <v>1134</v>
      </c>
      <c r="O351" s="5" t="s">
        <v>1136</v>
      </c>
      <c r="P351" s="5" t="s">
        <v>1137</v>
      </c>
      <c r="Q351" s="5" t="s">
        <v>1137</v>
      </c>
      <c r="R351" s="5" t="s">
        <v>404</v>
      </c>
      <c r="S351" s="5" t="s">
        <v>405</v>
      </c>
      <c r="U351" s="5" t="s">
        <v>1138</v>
      </c>
      <c r="X351" s="9" t="s">
        <v>1139</v>
      </c>
      <c r="Y351" s="5" t="s">
        <v>1136</v>
      </c>
      <c r="Z351" s="5" t="s">
        <v>45</v>
      </c>
      <c r="AA351" s="5" t="s">
        <v>90</v>
      </c>
      <c r="AB351" s="5" t="s">
        <v>1140</v>
      </c>
      <c r="AC351" s="5" t="s">
        <v>1141</v>
      </c>
      <c r="AD351" s="5" t="str">
        <f>_xlfn.CONCAT(Table58911[[#This Row],[&lt;&lt;NOLA&gt;&gt;
NIEM Element]],Table58911[[#This Row],[Repeat Values per attribute]])</f>
        <v>nc:DateTimeScheduledReleaseDate</v>
      </c>
    </row>
    <row r="352" spans="1:30" ht="30" customHeight="1" x14ac:dyDescent="0.3">
      <c r="A352" s="5">
        <f t="shared" si="30"/>
        <v>351</v>
      </c>
      <c r="B352" s="5">
        <f t="shared" si="33"/>
        <v>17</v>
      </c>
      <c r="C352" s="5">
        <f t="shared" si="33"/>
        <v>64</v>
      </c>
      <c r="D352" s="5">
        <f t="shared" si="32"/>
        <v>183</v>
      </c>
      <c r="E352" s="5" t="s">
        <v>32</v>
      </c>
      <c r="F352" s="5" t="s">
        <v>8</v>
      </c>
      <c r="G352" s="5">
        <v>104</v>
      </c>
      <c r="H352" s="6" t="s">
        <v>1142</v>
      </c>
      <c r="I352" s="7" t="s">
        <v>1143</v>
      </c>
      <c r="J352" s="5" t="s">
        <v>34</v>
      </c>
      <c r="K352" s="5" t="s">
        <v>1144</v>
      </c>
      <c r="L352" s="5" t="s">
        <v>440</v>
      </c>
      <c r="M352" s="8" t="s">
        <v>37</v>
      </c>
      <c r="N352" s="5" t="s">
        <v>1143</v>
      </c>
      <c r="O352" s="5" t="s">
        <v>1145</v>
      </c>
      <c r="P352" s="5" t="s">
        <v>1146</v>
      </c>
      <c r="Q352" s="1" t="s">
        <v>1147</v>
      </c>
      <c r="R352" s="5" t="s">
        <v>375</v>
      </c>
      <c r="S352" s="5" t="s">
        <v>159</v>
      </c>
      <c r="U352" s="5" t="s">
        <v>1148</v>
      </c>
      <c r="X352" s="9" t="s">
        <v>1149</v>
      </c>
      <c r="Y352" s="5" t="s">
        <v>1145</v>
      </c>
      <c r="Z352" s="5" t="s">
        <v>45</v>
      </c>
      <c r="AA352" s="5" t="s">
        <v>46</v>
      </c>
      <c r="AB352" s="5" t="s">
        <v>1150</v>
      </c>
      <c r="AC352" s="5" t="s">
        <v>1151</v>
      </c>
      <c r="AD352" s="5" t="str">
        <f>_xlfn.CONCAT(Table58911[[#This Row],[&lt;&lt;NOLA&gt;&gt;
NIEM Element]],Table58911[[#This Row],[Repeat Values per attribute]])</f>
        <v>nc:IdentificationIDa</v>
      </c>
    </row>
    <row r="353" spans="1:30" ht="30" customHeight="1" x14ac:dyDescent="0.3">
      <c r="A353" s="5">
        <f t="shared" si="30"/>
        <v>352</v>
      </c>
      <c r="B353" s="5">
        <f t="shared" si="33"/>
        <v>17</v>
      </c>
      <c r="C353" s="5">
        <f t="shared" si="33"/>
        <v>64</v>
      </c>
      <c r="D353" s="5">
        <f t="shared" si="32"/>
        <v>184</v>
      </c>
      <c r="E353" s="5" t="s">
        <v>32</v>
      </c>
      <c r="F353" s="5" t="s">
        <v>8</v>
      </c>
      <c r="G353" s="5">
        <v>104</v>
      </c>
      <c r="H353" s="6" t="s">
        <v>1142</v>
      </c>
      <c r="I353" s="7" t="s">
        <v>1143</v>
      </c>
      <c r="J353" s="5" t="s">
        <v>34</v>
      </c>
      <c r="K353" s="5" t="s">
        <v>1144</v>
      </c>
      <c r="L353" s="5" t="s">
        <v>440</v>
      </c>
      <c r="M353" s="8" t="s">
        <v>52</v>
      </c>
      <c r="N353" s="5" t="s">
        <v>1143</v>
      </c>
      <c r="O353" s="5" t="s">
        <v>1152</v>
      </c>
      <c r="P353" s="1" t="s">
        <v>1153</v>
      </c>
      <c r="Q353" s="1" t="s">
        <v>1147</v>
      </c>
      <c r="R353" s="5" t="s">
        <v>375</v>
      </c>
      <c r="S353" s="5" t="s">
        <v>159</v>
      </c>
      <c r="U353" s="5" t="s">
        <v>1148</v>
      </c>
      <c r="X353" s="9" t="s">
        <v>1149</v>
      </c>
      <c r="Y353" s="5" t="s">
        <v>1152</v>
      </c>
      <c r="Z353" s="5" t="s">
        <v>45</v>
      </c>
      <c r="AA353" s="5" t="s">
        <v>46</v>
      </c>
      <c r="AB353" s="5" t="s">
        <v>1150</v>
      </c>
      <c r="AC353" s="5" t="s">
        <v>1154</v>
      </c>
      <c r="AD353" s="5" t="str">
        <f>_xlfn.CONCAT(Table58911[[#This Row],[&lt;&lt;NOLA&gt;&gt;
NIEM Element]],Table58911[[#This Row],[Repeat Values per attribute]])</f>
        <v>nc:IdentificationIDb</v>
      </c>
    </row>
    <row r="354" spans="1:30" ht="30" customHeight="1" x14ac:dyDescent="0.3">
      <c r="A354" s="5">
        <f t="shared" si="30"/>
        <v>353</v>
      </c>
      <c r="B354" s="5">
        <f t="shared" ref="B354:C369" si="34">IF(H353=H354,B353,B353+1)</f>
        <v>17</v>
      </c>
      <c r="C354" s="5">
        <f t="shared" si="34"/>
        <v>64</v>
      </c>
      <c r="D354" s="5">
        <f t="shared" si="32"/>
        <v>185</v>
      </c>
      <c r="E354" s="5" t="s">
        <v>32</v>
      </c>
      <c r="F354" s="5" t="s">
        <v>8</v>
      </c>
      <c r="G354" s="5">
        <v>104</v>
      </c>
      <c r="H354" s="6" t="s">
        <v>1142</v>
      </c>
      <c r="I354" s="7" t="s">
        <v>1143</v>
      </c>
      <c r="J354" s="5" t="s">
        <v>34</v>
      </c>
      <c r="K354" s="5" t="s">
        <v>1144</v>
      </c>
      <c r="L354" s="5" t="s">
        <v>440</v>
      </c>
      <c r="M354" s="8" t="s">
        <v>57</v>
      </c>
      <c r="N354" s="5" t="s">
        <v>1143</v>
      </c>
      <c r="O354" s="5" t="s">
        <v>1155</v>
      </c>
      <c r="P354" s="1" t="s">
        <v>1156</v>
      </c>
      <c r="Q354" s="1" t="s">
        <v>1147</v>
      </c>
      <c r="R354" s="5" t="s">
        <v>375</v>
      </c>
      <c r="S354" s="5" t="s">
        <v>159</v>
      </c>
      <c r="U354" s="5" t="s">
        <v>1148</v>
      </c>
      <c r="X354" s="9" t="s">
        <v>1149</v>
      </c>
      <c r="Y354" s="5" t="s">
        <v>1155</v>
      </c>
      <c r="Z354" s="5" t="s">
        <v>45</v>
      </c>
      <c r="AA354" s="5" t="s">
        <v>46</v>
      </c>
      <c r="AB354" s="5" t="s">
        <v>1150</v>
      </c>
      <c r="AC354" s="5" t="s">
        <v>1157</v>
      </c>
      <c r="AD354" s="5" t="str">
        <f>_xlfn.CONCAT(Table58911[[#This Row],[&lt;&lt;NOLA&gt;&gt;
NIEM Element]],Table58911[[#This Row],[Repeat Values per attribute]])</f>
        <v>nc:IdentificationIDc</v>
      </c>
    </row>
    <row r="355" spans="1:30" ht="30" customHeight="1" x14ac:dyDescent="0.3">
      <c r="A355" s="5">
        <f t="shared" si="30"/>
        <v>354</v>
      </c>
      <c r="B355" s="5">
        <f t="shared" si="34"/>
        <v>17</v>
      </c>
      <c r="C355" s="5">
        <f t="shared" si="34"/>
        <v>64</v>
      </c>
      <c r="D355" s="5">
        <f t="shared" si="32"/>
        <v>186</v>
      </c>
      <c r="E355" s="5" t="s">
        <v>32</v>
      </c>
      <c r="F355" s="5" t="s">
        <v>8</v>
      </c>
      <c r="G355" s="5">
        <v>104</v>
      </c>
      <c r="H355" s="6" t="s">
        <v>1142</v>
      </c>
      <c r="I355" s="7" t="s">
        <v>1143</v>
      </c>
      <c r="J355" s="5" t="s">
        <v>34</v>
      </c>
      <c r="K355" s="5" t="s">
        <v>1144</v>
      </c>
      <c r="L355" s="5" t="s">
        <v>440</v>
      </c>
      <c r="M355" s="8" t="s">
        <v>49</v>
      </c>
      <c r="N355" s="5" t="s">
        <v>1143</v>
      </c>
      <c r="O355" s="5" t="s">
        <v>1158</v>
      </c>
      <c r="P355" s="1" t="s">
        <v>1159</v>
      </c>
      <c r="Q355" s="1" t="s">
        <v>1147</v>
      </c>
      <c r="R355" s="5" t="s">
        <v>375</v>
      </c>
      <c r="S355" s="5" t="s">
        <v>159</v>
      </c>
      <c r="U355" s="5" t="s">
        <v>1148</v>
      </c>
      <c r="X355" s="9" t="s">
        <v>1149</v>
      </c>
      <c r="Y355" s="5" t="s">
        <v>1158</v>
      </c>
      <c r="Z355" s="5" t="s">
        <v>45</v>
      </c>
      <c r="AA355" s="5" t="s">
        <v>46</v>
      </c>
      <c r="AB355" s="5" t="s">
        <v>1150</v>
      </c>
      <c r="AC355" s="5" t="s">
        <v>1160</v>
      </c>
      <c r="AD355" s="5" t="str">
        <f>_xlfn.CONCAT(Table58911[[#This Row],[&lt;&lt;NOLA&gt;&gt;
NIEM Element]],Table58911[[#This Row],[Repeat Values per attribute]])</f>
        <v>nc:IdentificationIDd</v>
      </c>
    </row>
    <row r="356" spans="1:30" ht="30" customHeight="1" x14ac:dyDescent="0.3">
      <c r="A356" s="5">
        <f t="shared" si="30"/>
        <v>355</v>
      </c>
      <c r="B356" s="5">
        <f t="shared" si="34"/>
        <v>17</v>
      </c>
      <c r="C356" s="5">
        <f t="shared" si="34"/>
        <v>64</v>
      </c>
      <c r="D356" s="5">
        <f t="shared" si="32"/>
        <v>187</v>
      </c>
      <c r="E356" s="5" t="s">
        <v>32</v>
      </c>
      <c r="F356" s="5" t="s">
        <v>8</v>
      </c>
      <c r="G356" s="5">
        <v>104</v>
      </c>
      <c r="H356" s="6" t="s">
        <v>1142</v>
      </c>
      <c r="I356" s="7" t="s">
        <v>1143</v>
      </c>
      <c r="J356" s="5" t="s">
        <v>34</v>
      </c>
      <c r="K356" s="5" t="s">
        <v>1144</v>
      </c>
      <c r="L356" s="5" t="s">
        <v>440</v>
      </c>
      <c r="M356" s="8" t="s">
        <v>87</v>
      </c>
      <c r="N356" s="5" t="s">
        <v>1143</v>
      </c>
      <c r="O356" s="5" t="s">
        <v>1161</v>
      </c>
      <c r="P356" s="1" t="s">
        <v>1162</v>
      </c>
      <c r="Q356" s="1" t="s">
        <v>1147</v>
      </c>
      <c r="R356" s="5" t="s">
        <v>375</v>
      </c>
      <c r="S356" s="5" t="s">
        <v>159</v>
      </c>
      <c r="U356" s="5" t="s">
        <v>1148</v>
      </c>
      <c r="X356" s="9" t="s">
        <v>1149</v>
      </c>
      <c r="Y356" s="5" t="s">
        <v>1161</v>
      </c>
      <c r="Z356" s="5" t="s">
        <v>45</v>
      </c>
      <c r="AA356" s="5" t="s">
        <v>46</v>
      </c>
      <c r="AB356" s="5" t="s">
        <v>1150</v>
      </c>
      <c r="AC356" s="5" t="s">
        <v>1163</v>
      </c>
      <c r="AD356" s="5" t="str">
        <f>_xlfn.CONCAT(Table58911[[#This Row],[&lt;&lt;NOLA&gt;&gt;
NIEM Element]],Table58911[[#This Row],[Repeat Values per attribute]])</f>
        <v>nc:IdentificationIDe</v>
      </c>
    </row>
    <row r="357" spans="1:30" ht="30" customHeight="1" x14ac:dyDescent="0.3">
      <c r="A357" s="5">
        <f t="shared" si="30"/>
        <v>356</v>
      </c>
      <c r="B357" s="5">
        <f t="shared" si="34"/>
        <v>17</v>
      </c>
      <c r="C357" s="5">
        <f t="shared" si="34"/>
        <v>64</v>
      </c>
      <c r="D357" s="5">
        <f t="shared" si="32"/>
        <v>188</v>
      </c>
      <c r="E357" s="5" t="s">
        <v>32</v>
      </c>
      <c r="F357" s="5" t="s">
        <v>8</v>
      </c>
      <c r="G357" s="5">
        <v>104</v>
      </c>
      <c r="H357" s="6" t="s">
        <v>1142</v>
      </c>
      <c r="I357" s="7" t="s">
        <v>1143</v>
      </c>
      <c r="J357" s="5" t="s">
        <v>34</v>
      </c>
      <c r="K357" s="5" t="s">
        <v>1144</v>
      </c>
      <c r="L357" s="5" t="s">
        <v>440</v>
      </c>
      <c r="M357" s="8" t="s">
        <v>421</v>
      </c>
      <c r="N357" s="5" t="s">
        <v>1143</v>
      </c>
      <c r="O357" s="5" t="s">
        <v>1164</v>
      </c>
      <c r="P357" s="1" t="s">
        <v>1165</v>
      </c>
      <c r="Q357" s="1" t="s">
        <v>1147</v>
      </c>
      <c r="R357" s="5" t="s">
        <v>375</v>
      </c>
      <c r="S357" s="5" t="s">
        <v>159</v>
      </c>
      <c r="U357" s="5" t="s">
        <v>1148</v>
      </c>
      <c r="X357" s="9" t="s">
        <v>1149</v>
      </c>
      <c r="Y357" s="5" t="s">
        <v>1164</v>
      </c>
      <c r="Z357" s="5" t="s">
        <v>45</v>
      </c>
      <c r="AA357" s="5" t="s">
        <v>46</v>
      </c>
      <c r="AB357" s="5" t="s">
        <v>1150</v>
      </c>
      <c r="AC357" s="5" t="s">
        <v>1166</v>
      </c>
      <c r="AD357" s="5" t="str">
        <f>_xlfn.CONCAT(Table58911[[#This Row],[&lt;&lt;NOLA&gt;&gt;
NIEM Element]],Table58911[[#This Row],[Repeat Values per attribute]])</f>
        <v>nc:IdentificationIDf</v>
      </c>
    </row>
    <row r="358" spans="1:30" ht="30" customHeight="1" x14ac:dyDescent="0.3">
      <c r="A358" s="5">
        <f t="shared" si="30"/>
        <v>357</v>
      </c>
      <c r="B358" s="5">
        <f t="shared" si="34"/>
        <v>17</v>
      </c>
      <c r="C358" s="5">
        <f t="shared" si="34"/>
        <v>65</v>
      </c>
      <c r="D358" s="5">
        <f t="shared" si="32"/>
        <v>189</v>
      </c>
      <c r="E358" s="5" t="s">
        <v>32</v>
      </c>
      <c r="F358" s="5" t="s">
        <v>8</v>
      </c>
      <c r="G358" s="5">
        <v>106</v>
      </c>
      <c r="H358" s="6" t="s">
        <v>1142</v>
      </c>
      <c r="I358" s="7" t="s">
        <v>1167</v>
      </c>
      <c r="J358" s="5" t="s">
        <v>34</v>
      </c>
      <c r="K358" s="5" t="s">
        <v>1168</v>
      </c>
      <c r="L358" s="5" t="s">
        <v>440</v>
      </c>
      <c r="M358" s="8" t="s">
        <v>37</v>
      </c>
      <c r="N358" s="5" t="s">
        <v>1167</v>
      </c>
      <c r="O358" s="5" t="s">
        <v>1169</v>
      </c>
      <c r="P358" s="5" t="s">
        <v>1170</v>
      </c>
      <c r="Q358" s="1" t="s">
        <v>1171</v>
      </c>
      <c r="R358" s="5" t="s">
        <v>375</v>
      </c>
      <c r="S358" s="5" t="s">
        <v>159</v>
      </c>
      <c r="U358" s="5" t="s">
        <v>1172</v>
      </c>
      <c r="X358" s="9" t="s">
        <v>1173</v>
      </c>
      <c r="Y358" s="5" t="s">
        <v>1169</v>
      </c>
      <c r="Z358" s="5" t="s">
        <v>45</v>
      </c>
      <c r="AA358" s="5" t="s">
        <v>46</v>
      </c>
      <c r="AB358" s="5" t="s">
        <v>1174</v>
      </c>
      <c r="AC358" s="5" t="s">
        <v>1175</v>
      </c>
      <c r="AD358" s="5" t="str">
        <f>_xlfn.CONCAT(Table58911[[#This Row],[&lt;&lt;NOLA&gt;&gt;
NIEM Element]],Table58911[[#This Row],[Repeat Values per attribute]])</f>
        <v>nc:IdentificationIDa</v>
      </c>
    </row>
    <row r="359" spans="1:30" ht="30" customHeight="1" x14ac:dyDescent="0.3">
      <c r="A359" s="5">
        <f t="shared" si="30"/>
        <v>358</v>
      </c>
      <c r="B359" s="5">
        <f t="shared" si="34"/>
        <v>17</v>
      </c>
      <c r="C359" s="5">
        <f t="shared" si="34"/>
        <v>65</v>
      </c>
      <c r="D359" s="5">
        <f t="shared" si="32"/>
        <v>190</v>
      </c>
      <c r="E359" s="5" t="s">
        <v>32</v>
      </c>
      <c r="F359" s="5" t="s">
        <v>8</v>
      </c>
      <c r="G359" s="5">
        <v>106</v>
      </c>
      <c r="H359" s="6" t="s">
        <v>1142</v>
      </c>
      <c r="I359" s="7" t="s">
        <v>1167</v>
      </c>
      <c r="J359" s="5" t="s">
        <v>34</v>
      </c>
      <c r="K359" s="5" t="s">
        <v>1168</v>
      </c>
      <c r="L359" s="5" t="s">
        <v>440</v>
      </c>
      <c r="M359" s="8" t="s">
        <v>52</v>
      </c>
      <c r="N359" s="5" t="s">
        <v>1167</v>
      </c>
      <c r="O359" s="5" t="s">
        <v>1176</v>
      </c>
      <c r="P359" s="1" t="s">
        <v>1177</v>
      </c>
      <c r="Q359" s="1" t="s">
        <v>1171</v>
      </c>
      <c r="R359" s="5" t="s">
        <v>375</v>
      </c>
      <c r="S359" s="5" t="s">
        <v>159</v>
      </c>
      <c r="U359" s="5" t="s">
        <v>1172</v>
      </c>
      <c r="X359" s="9" t="s">
        <v>1173</v>
      </c>
      <c r="Y359" s="5" t="s">
        <v>1176</v>
      </c>
      <c r="Z359" s="5" t="s">
        <v>45</v>
      </c>
      <c r="AA359" s="5" t="s">
        <v>46</v>
      </c>
      <c r="AB359" s="5" t="s">
        <v>1174</v>
      </c>
      <c r="AC359" s="5" t="s">
        <v>1178</v>
      </c>
      <c r="AD359" s="5" t="str">
        <f>_xlfn.CONCAT(Table58911[[#This Row],[&lt;&lt;NOLA&gt;&gt;
NIEM Element]],Table58911[[#This Row],[Repeat Values per attribute]])</f>
        <v>nc:IdentificationIDb</v>
      </c>
    </row>
    <row r="360" spans="1:30" ht="30" customHeight="1" x14ac:dyDescent="0.3">
      <c r="A360" s="5">
        <f t="shared" si="30"/>
        <v>359</v>
      </c>
      <c r="B360" s="5">
        <f t="shared" si="34"/>
        <v>17</v>
      </c>
      <c r="C360" s="5">
        <f t="shared" si="34"/>
        <v>65</v>
      </c>
      <c r="D360" s="5">
        <f t="shared" si="32"/>
        <v>191</v>
      </c>
      <c r="E360" s="5" t="s">
        <v>32</v>
      </c>
      <c r="F360" s="5" t="s">
        <v>8</v>
      </c>
      <c r="G360" s="5">
        <v>106</v>
      </c>
      <c r="H360" s="6" t="s">
        <v>1142</v>
      </c>
      <c r="I360" s="7" t="s">
        <v>1167</v>
      </c>
      <c r="J360" s="5" t="s">
        <v>34</v>
      </c>
      <c r="K360" s="5" t="s">
        <v>1168</v>
      </c>
      <c r="L360" s="5" t="s">
        <v>440</v>
      </c>
      <c r="M360" s="8" t="s">
        <v>57</v>
      </c>
      <c r="N360" s="5" t="s">
        <v>1167</v>
      </c>
      <c r="O360" s="5" t="s">
        <v>1179</v>
      </c>
      <c r="P360" s="1" t="s">
        <v>1180</v>
      </c>
      <c r="Q360" s="1" t="s">
        <v>1171</v>
      </c>
      <c r="R360" s="5" t="s">
        <v>375</v>
      </c>
      <c r="S360" s="5" t="s">
        <v>159</v>
      </c>
      <c r="U360" s="5" t="s">
        <v>1172</v>
      </c>
      <c r="X360" s="9" t="s">
        <v>1173</v>
      </c>
      <c r="Y360" s="5" t="s">
        <v>1179</v>
      </c>
      <c r="Z360" s="5" t="s">
        <v>45</v>
      </c>
      <c r="AA360" s="5" t="s">
        <v>46</v>
      </c>
      <c r="AB360" s="5" t="s">
        <v>1174</v>
      </c>
      <c r="AC360" s="5" t="s">
        <v>1181</v>
      </c>
      <c r="AD360" s="5" t="str">
        <f>_xlfn.CONCAT(Table58911[[#This Row],[&lt;&lt;NOLA&gt;&gt;
NIEM Element]],Table58911[[#This Row],[Repeat Values per attribute]])</f>
        <v>nc:IdentificationIDc</v>
      </c>
    </row>
    <row r="361" spans="1:30" ht="30" customHeight="1" x14ac:dyDescent="0.3">
      <c r="A361" s="5">
        <f t="shared" si="30"/>
        <v>360</v>
      </c>
      <c r="B361" s="5">
        <f t="shared" si="34"/>
        <v>17</v>
      </c>
      <c r="C361" s="5">
        <f t="shared" si="34"/>
        <v>65</v>
      </c>
      <c r="D361" s="5">
        <f t="shared" si="32"/>
        <v>192</v>
      </c>
      <c r="E361" s="5" t="s">
        <v>32</v>
      </c>
      <c r="F361" s="5" t="s">
        <v>8</v>
      </c>
      <c r="G361" s="5">
        <v>106</v>
      </c>
      <c r="H361" s="6" t="s">
        <v>1142</v>
      </c>
      <c r="I361" s="7" t="s">
        <v>1167</v>
      </c>
      <c r="J361" s="5" t="s">
        <v>34</v>
      </c>
      <c r="K361" s="5" t="s">
        <v>1168</v>
      </c>
      <c r="L361" s="5" t="s">
        <v>440</v>
      </c>
      <c r="M361" s="8" t="s">
        <v>49</v>
      </c>
      <c r="N361" s="5" t="s">
        <v>1167</v>
      </c>
      <c r="O361" s="5" t="s">
        <v>1182</v>
      </c>
      <c r="P361" s="1" t="s">
        <v>1183</v>
      </c>
      <c r="Q361" s="1" t="s">
        <v>1171</v>
      </c>
      <c r="R361" s="5" t="s">
        <v>375</v>
      </c>
      <c r="S361" s="5" t="s">
        <v>159</v>
      </c>
      <c r="U361" s="5" t="s">
        <v>1172</v>
      </c>
      <c r="X361" s="9" t="s">
        <v>1173</v>
      </c>
      <c r="Y361" s="5" t="s">
        <v>1182</v>
      </c>
      <c r="Z361" s="5" t="s">
        <v>45</v>
      </c>
      <c r="AA361" s="5" t="s">
        <v>46</v>
      </c>
      <c r="AB361" s="5" t="s">
        <v>1174</v>
      </c>
      <c r="AC361" s="5" t="s">
        <v>1184</v>
      </c>
      <c r="AD361" s="5" t="str">
        <f>_xlfn.CONCAT(Table58911[[#This Row],[&lt;&lt;NOLA&gt;&gt;
NIEM Element]],Table58911[[#This Row],[Repeat Values per attribute]])</f>
        <v>nc:IdentificationIDd</v>
      </c>
    </row>
    <row r="362" spans="1:30" ht="30" customHeight="1" x14ac:dyDescent="0.3">
      <c r="A362" s="5">
        <f t="shared" si="30"/>
        <v>361</v>
      </c>
      <c r="B362" s="5">
        <f t="shared" si="34"/>
        <v>17</v>
      </c>
      <c r="C362" s="5">
        <f t="shared" si="34"/>
        <v>65</v>
      </c>
      <c r="D362" s="5">
        <f t="shared" si="32"/>
        <v>193</v>
      </c>
      <c r="E362" s="5" t="s">
        <v>32</v>
      </c>
      <c r="F362" s="5" t="s">
        <v>8</v>
      </c>
      <c r="G362" s="5">
        <v>106</v>
      </c>
      <c r="H362" s="6" t="s">
        <v>1142</v>
      </c>
      <c r="I362" s="7" t="s">
        <v>1167</v>
      </c>
      <c r="J362" s="5" t="s">
        <v>34</v>
      </c>
      <c r="K362" s="5" t="s">
        <v>1168</v>
      </c>
      <c r="L362" s="5" t="s">
        <v>440</v>
      </c>
      <c r="M362" s="8" t="s">
        <v>87</v>
      </c>
      <c r="N362" s="5" t="s">
        <v>1167</v>
      </c>
      <c r="O362" s="5" t="s">
        <v>1185</v>
      </c>
      <c r="P362" s="1" t="s">
        <v>1186</v>
      </c>
      <c r="Q362" s="1" t="s">
        <v>1171</v>
      </c>
      <c r="R362" s="5" t="s">
        <v>375</v>
      </c>
      <c r="S362" s="5" t="s">
        <v>159</v>
      </c>
      <c r="U362" s="5" t="s">
        <v>1172</v>
      </c>
      <c r="X362" s="9" t="s">
        <v>1173</v>
      </c>
      <c r="Y362" s="5" t="s">
        <v>1185</v>
      </c>
      <c r="Z362" s="5" t="s">
        <v>45</v>
      </c>
      <c r="AA362" s="5" t="s">
        <v>46</v>
      </c>
      <c r="AB362" s="5" t="s">
        <v>1174</v>
      </c>
      <c r="AC362" s="5" t="s">
        <v>1187</v>
      </c>
      <c r="AD362" s="5" t="str">
        <f>_xlfn.CONCAT(Table58911[[#This Row],[&lt;&lt;NOLA&gt;&gt;
NIEM Element]],Table58911[[#This Row],[Repeat Values per attribute]])</f>
        <v>nc:IdentificationIDe</v>
      </c>
    </row>
    <row r="363" spans="1:30" ht="30" customHeight="1" x14ac:dyDescent="0.3">
      <c r="A363" s="5">
        <f t="shared" si="30"/>
        <v>362</v>
      </c>
      <c r="B363" s="5">
        <f t="shared" si="34"/>
        <v>17</v>
      </c>
      <c r="C363" s="5">
        <f t="shared" si="34"/>
        <v>65</v>
      </c>
      <c r="D363" s="5">
        <f t="shared" si="32"/>
        <v>194</v>
      </c>
      <c r="E363" s="5" t="s">
        <v>32</v>
      </c>
      <c r="F363" s="5" t="s">
        <v>8</v>
      </c>
      <c r="G363" s="5">
        <v>106</v>
      </c>
      <c r="H363" s="6" t="s">
        <v>1142</v>
      </c>
      <c r="I363" s="7" t="s">
        <v>1167</v>
      </c>
      <c r="J363" s="5" t="s">
        <v>34</v>
      </c>
      <c r="K363" s="5" t="s">
        <v>1168</v>
      </c>
      <c r="L363" s="5" t="s">
        <v>440</v>
      </c>
      <c r="M363" s="8" t="s">
        <v>421</v>
      </c>
      <c r="N363" s="5" t="s">
        <v>1167</v>
      </c>
      <c r="O363" s="5" t="s">
        <v>1188</v>
      </c>
      <c r="P363" s="1" t="s">
        <v>1189</v>
      </c>
      <c r="Q363" s="1" t="s">
        <v>1171</v>
      </c>
      <c r="R363" s="5" t="s">
        <v>375</v>
      </c>
      <c r="S363" s="5" t="s">
        <v>159</v>
      </c>
      <c r="U363" s="5" t="s">
        <v>1172</v>
      </c>
      <c r="X363" s="9" t="s">
        <v>1173</v>
      </c>
      <c r="Y363" s="5" t="s">
        <v>1188</v>
      </c>
      <c r="Z363" s="5" t="s">
        <v>45</v>
      </c>
      <c r="AA363" s="5" t="s">
        <v>46</v>
      </c>
      <c r="AB363" s="5" t="s">
        <v>1174</v>
      </c>
      <c r="AC363" s="5" t="s">
        <v>1190</v>
      </c>
      <c r="AD363" s="5" t="str">
        <f>_xlfn.CONCAT(Table58911[[#This Row],[&lt;&lt;NOLA&gt;&gt;
NIEM Element]],Table58911[[#This Row],[Repeat Values per attribute]])</f>
        <v>nc:IdentificationIDf</v>
      </c>
    </row>
    <row r="364" spans="1:30" ht="30" customHeight="1" x14ac:dyDescent="0.3">
      <c r="A364" s="5">
        <f t="shared" si="30"/>
        <v>363</v>
      </c>
      <c r="B364" s="5">
        <f t="shared" si="34"/>
        <v>17</v>
      </c>
      <c r="C364" s="5">
        <f t="shared" si="34"/>
        <v>66</v>
      </c>
      <c r="D364" s="5">
        <f t="shared" si="32"/>
        <v>195</v>
      </c>
      <c r="E364" s="5" t="s">
        <v>32</v>
      </c>
      <c r="F364" s="5" t="s">
        <v>8</v>
      </c>
      <c r="G364" s="5">
        <v>105</v>
      </c>
      <c r="H364" s="6" t="s">
        <v>1142</v>
      </c>
      <c r="I364" s="7" t="s">
        <v>1191</v>
      </c>
      <c r="J364" s="5" t="s">
        <v>34</v>
      </c>
      <c r="K364" s="5" t="s">
        <v>1192</v>
      </c>
      <c r="L364" s="5" t="s">
        <v>440</v>
      </c>
      <c r="M364" s="8" t="s">
        <v>37</v>
      </c>
      <c r="N364" s="5" t="s">
        <v>1191</v>
      </c>
      <c r="O364" s="5" t="s">
        <v>1193</v>
      </c>
      <c r="P364" s="5" t="s">
        <v>1194</v>
      </c>
      <c r="Q364" s="1" t="s">
        <v>1195</v>
      </c>
      <c r="R364" s="5" t="s">
        <v>1196</v>
      </c>
      <c r="S364" s="5" t="s">
        <v>159</v>
      </c>
      <c r="U364" s="5" t="s">
        <v>1197</v>
      </c>
      <c r="X364" s="9" t="s">
        <v>1198</v>
      </c>
      <c r="Y364" s="5" t="s">
        <v>1193</v>
      </c>
      <c r="Z364" s="5" t="s">
        <v>45</v>
      </c>
      <c r="AA364" s="5" t="s">
        <v>46</v>
      </c>
      <c r="AB364" s="5" t="s">
        <v>1199</v>
      </c>
      <c r="AC364" s="5" t="s">
        <v>1200</v>
      </c>
      <c r="AD364" s="5" t="str">
        <f>_xlfn.CONCAT(Table58911[[#This Row],[&lt;&lt;NOLA&gt;&gt;
NIEM Element]],Table58911[[#This Row],[Repeat Values per attribute]])</f>
        <v xml:space="preserve"> nc:IdentificationIDa</v>
      </c>
    </row>
    <row r="365" spans="1:30" ht="30" customHeight="1" x14ac:dyDescent="0.3">
      <c r="A365" s="5">
        <f t="shared" si="30"/>
        <v>364</v>
      </c>
      <c r="B365" s="5">
        <f t="shared" si="34"/>
        <v>17</v>
      </c>
      <c r="C365" s="5">
        <f t="shared" si="34"/>
        <v>66</v>
      </c>
      <c r="D365" s="5">
        <f t="shared" si="32"/>
        <v>196</v>
      </c>
      <c r="E365" s="5" t="s">
        <v>32</v>
      </c>
      <c r="F365" s="5" t="s">
        <v>8</v>
      </c>
      <c r="G365" s="5">
        <v>105</v>
      </c>
      <c r="H365" s="6" t="s">
        <v>1142</v>
      </c>
      <c r="I365" s="7" t="s">
        <v>1191</v>
      </c>
      <c r="J365" s="5" t="s">
        <v>34</v>
      </c>
      <c r="K365" s="5" t="s">
        <v>1192</v>
      </c>
      <c r="L365" s="5" t="s">
        <v>440</v>
      </c>
      <c r="M365" s="8" t="s">
        <v>52</v>
      </c>
      <c r="N365" s="5" t="s">
        <v>1191</v>
      </c>
      <c r="O365" s="5" t="s">
        <v>1201</v>
      </c>
      <c r="P365" s="1" t="s">
        <v>1202</v>
      </c>
      <c r="Q365" s="1" t="s">
        <v>1195</v>
      </c>
      <c r="R365" s="5" t="s">
        <v>1196</v>
      </c>
      <c r="S365" s="5" t="s">
        <v>159</v>
      </c>
      <c r="U365" s="5" t="s">
        <v>1197</v>
      </c>
      <c r="X365" s="9" t="s">
        <v>1198</v>
      </c>
      <c r="Y365" s="5" t="s">
        <v>1201</v>
      </c>
      <c r="Z365" s="5" t="s">
        <v>45</v>
      </c>
      <c r="AA365" s="5" t="s">
        <v>46</v>
      </c>
      <c r="AB365" s="5" t="s">
        <v>1199</v>
      </c>
      <c r="AC365" s="5" t="s">
        <v>1203</v>
      </c>
      <c r="AD365" s="5" t="str">
        <f>_xlfn.CONCAT(Table58911[[#This Row],[&lt;&lt;NOLA&gt;&gt;
NIEM Element]],Table58911[[#This Row],[Repeat Values per attribute]])</f>
        <v xml:space="preserve"> nc:IdentificationIDb</v>
      </c>
    </row>
    <row r="366" spans="1:30" ht="30" customHeight="1" x14ac:dyDescent="0.3">
      <c r="A366" s="5">
        <f t="shared" si="30"/>
        <v>365</v>
      </c>
      <c r="B366" s="5">
        <f t="shared" si="34"/>
        <v>17</v>
      </c>
      <c r="C366" s="5">
        <f t="shared" si="34"/>
        <v>66</v>
      </c>
      <c r="D366" s="5">
        <f t="shared" si="32"/>
        <v>197</v>
      </c>
      <c r="E366" s="5" t="s">
        <v>32</v>
      </c>
      <c r="F366" s="5" t="s">
        <v>8</v>
      </c>
      <c r="G366" s="5">
        <v>105</v>
      </c>
      <c r="H366" s="6" t="s">
        <v>1142</v>
      </c>
      <c r="I366" s="7" t="s">
        <v>1191</v>
      </c>
      <c r="J366" s="5" t="s">
        <v>34</v>
      </c>
      <c r="K366" s="5" t="s">
        <v>1192</v>
      </c>
      <c r="L366" s="5" t="s">
        <v>440</v>
      </c>
      <c r="M366" s="8" t="s">
        <v>57</v>
      </c>
      <c r="N366" s="5" t="s">
        <v>1191</v>
      </c>
      <c r="O366" s="5" t="s">
        <v>1204</v>
      </c>
      <c r="P366" s="1" t="s">
        <v>1205</v>
      </c>
      <c r="Q366" s="1" t="s">
        <v>1195</v>
      </c>
      <c r="R366" s="5" t="s">
        <v>1196</v>
      </c>
      <c r="S366" s="5" t="s">
        <v>159</v>
      </c>
      <c r="U366" s="5" t="s">
        <v>1197</v>
      </c>
      <c r="X366" s="9" t="s">
        <v>1198</v>
      </c>
      <c r="Y366" s="5" t="s">
        <v>1204</v>
      </c>
      <c r="Z366" s="5" t="s">
        <v>45</v>
      </c>
      <c r="AA366" s="5" t="s">
        <v>46</v>
      </c>
      <c r="AB366" s="5" t="s">
        <v>1199</v>
      </c>
      <c r="AC366" s="5" t="s">
        <v>1206</v>
      </c>
      <c r="AD366" s="5" t="str">
        <f>_xlfn.CONCAT(Table58911[[#This Row],[&lt;&lt;NOLA&gt;&gt;
NIEM Element]],Table58911[[#This Row],[Repeat Values per attribute]])</f>
        <v xml:space="preserve"> nc:IdentificationIDc</v>
      </c>
    </row>
    <row r="367" spans="1:30" ht="30" customHeight="1" x14ac:dyDescent="0.3">
      <c r="A367" s="5">
        <f t="shared" si="30"/>
        <v>366</v>
      </c>
      <c r="B367" s="5">
        <f t="shared" si="34"/>
        <v>17</v>
      </c>
      <c r="C367" s="5">
        <f t="shared" si="34"/>
        <v>66</v>
      </c>
      <c r="D367" s="5">
        <f t="shared" si="32"/>
        <v>198</v>
      </c>
      <c r="E367" s="5" t="s">
        <v>32</v>
      </c>
      <c r="F367" s="5" t="s">
        <v>8</v>
      </c>
      <c r="G367" s="5">
        <v>105</v>
      </c>
      <c r="H367" s="6" t="s">
        <v>1142</v>
      </c>
      <c r="I367" s="7" t="s">
        <v>1191</v>
      </c>
      <c r="J367" s="5" t="s">
        <v>34</v>
      </c>
      <c r="K367" s="5" t="s">
        <v>1192</v>
      </c>
      <c r="L367" s="5" t="s">
        <v>440</v>
      </c>
      <c r="M367" s="8" t="s">
        <v>49</v>
      </c>
      <c r="N367" s="5" t="s">
        <v>1191</v>
      </c>
      <c r="O367" s="5" t="s">
        <v>1207</v>
      </c>
      <c r="P367" s="1" t="s">
        <v>1208</v>
      </c>
      <c r="Q367" s="1" t="s">
        <v>1195</v>
      </c>
      <c r="R367" s="5" t="s">
        <v>1196</v>
      </c>
      <c r="S367" s="5" t="s">
        <v>159</v>
      </c>
      <c r="U367" s="5" t="s">
        <v>1197</v>
      </c>
      <c r="X367" s="9" t="s">
        <v>1198</v>
      </c>
      <c r="Y367" s="5" t="s">
        <v>1207</v>
      </c>
      <c r="Z367" s="5" t="s">
        <v>45</v>
      </c>
      <c r="AA367" s="5" t="s">
        <v>46</v>
      </c>
      <c r="AB367" s="5" t="s">
        <v>1199</v>
      </c>
      <c r="AC367" s="5" t="s">
        <v>1209</v>
      </c>
      <c r="AD367" s="5" t="str">
        <f>_xlfn.CONCAT(Table58911[[#This Row],[&lt;&lt;NOLA&gt;&gt;
NIEM Element]],Table58911[[#This Row],[Repeat Values per attribute]])</f>
        <v xml:space="preserve"> nc:IdentificationIDd</v>
      </c>
    </row>
    <row r="368" spans="1:30" ht="30" customHeight="1" x14ac:dyDescent="0.3">
      <c r="A368" s="5">
        <f t="shared" si="30"/>
        <v>367</v>
      </c>
      <c r="B368" s="5">
        <f t="shared" si="34"/>
        <v>17</v>
      </c>
      <c r="C368" s="5">
        <f t="shared" si="34"/>
        <v>66</v>
      </c>
      <c r="D368" s="5">
        <f t="shared" si="32"/>
        <v>199</v>
      </c>
      <c r="E368" s="5" t="s">
        <v>32</v>
      </c>
      <c r="F368" s="5" t="s">
        <v>8</v>
      </c>
      <c r="G368" s="5">
        <v>105</v>
      </c>
      <c r="H368" s="6" t="s">
        <v>1142</v>
      </c>
      <c r="I368" s="7" t="s">
        <v>1191</v>
      </c>
      <c r="J368" s="5" t="s">
        <v>34</v>
      </c>
      <c r="K368" s="5" t="s">
        <v>1192</v>
      </c>
      <c r="L368" s="5" t="s">
        <v>440</v>
      </c>
      <c r="M368" s="8" t="s">
        <v>87</v>
      </c>
      <c r="N368" s="5" t="s">
        <v>1191</v>
      </c>
      <c r="O368" s="5" t="s">
        <v>1210</v>
      </c>
      <c r="P368" s="1" t="s">
        <v>1211</v>
      </c>
      <c r="Q368" s="1" t="s">
        <v>1195</v>
      </c>
      <c r="R368" s="5" t="s">
        <v>1196</v>
      </c>
      <c r="S368" s="5" t="s">
        <v>159</v>
      </c>
      <c r="U368" s="5" t="s">
        <v>1197</v>
      </c>
      <c r="X368" s="9" t="s">
        <v>1198</v>
      </c>
      <c r="Y368" s="5" t="s">
        <v>1210</v>
      </c>
      <c r="Z368" s="5" t="s">
        <v>45</v>
      </c>
      <c r="AA368" s="5" t="s">
        <v>46</v>
      </c>
      <c r="AB368" s="5" t="s">
        <v>1199</v>
      </c>
      <c r="AC368" s="5" t="s">
        <v>1212</v>
      </c>
      <c r="AD368" s="5" t="str">
        <f>_xlfn.CONCAT(Table58911[[#This Row],[&lt;&lt;NOLA&gt;&gt;
NIEM Element]],Table58911[[#This Row],[Repeat Values per attribute]])</f>
        <v xml:space="preserve"> nc:IdentificationIDe</v>
      </c>
    </row>
    <row r="369" spans="1:30" ht="30" customHeight="1" x14ac:dyDescent="0.3">
      <c r="A369" s="5">
        <f t="shared" si="30"/>
        <v>368</v>
      </c>
      <c r="B369" s="5">
        <f t="shared" si="34"/>
        <v>17</v>
      </c>
      <c r="C369" s="5">
        <f t="shared" si="34"/>
        <v>66</v>
      </c>
      <c r="D369" s="5">
        <f t="shared" si="32"/>
        <v>200</v>
      </c>
      <c r="E369" s="5" t="s">
        <v>32</v>
      </c>
      <c r="F369" s="5" t="s">
        <v>8</v>
      </c>
      <c r="G369" s="5">
        <v>105</v>
      </c>
      <c r="H369" s="6" t="s">
        <v>1142</v>
      </c>
      <c r="I369" s="7" t="s">
        <v>1191</v>
      </c>
      <c r="J369" s="5" t="s">
        <v>34</v>
      </c>
      <c r="K369" s="5" t="s">
        <v>1192</v>
      </c>
      <c r="L369" s="5" t="s">
        <v>440</v>
      </c>
      <c r="M369" s="8" t="s">
        <v>421</v>
      </c>
      <c r="N369" s="5" t="s">
        <v>1191</v>
      </c>
      <c r="O369" s="5" t="s">
        <v>1213</v>
      </c>
      <c r="P369" s="1" t="s">
        <v>1214</v>
      </c>
      <c r="Q369" s="1" t="s">
        <v>1195</v>
      </c>
      <c r="R369" s="5" t="s">
        <v>1196</v>
      </c>
      <c r="S369" s="5" t="s">
        <v>159</v>
      </c>
      <c r="U369" s="5" t="s">
        <v>1197</v>
      </c>
      <c r="X369" s="9" t="s">
        <v>1198</v>
      </c>
      <c r="Y369" s="5" t="s">
        <v>1213</v>
      </c>
      <c r="Z369" s="5" t="s">
        <v>45</v>
      </c>
      <c r="AA369" s="5" t="s">
        <v>46</v>
      </c>
      <c r="AB369" s="5" t="s">
        <v>1199</v>
      </c>
      <c r="AC369" s="5" t="s">
        <v>1215</v>
      </c>
      <c r="AD369" s="5" t="str">
        <f>_xlfn.CONCAT(Table58911[[#This Row],[&lt;&lt;NOLA&gt;&gt;
NIEM Element]],Table58911[[#This Row],[Repeat Values per attribute]])</f>
        <v xml:space="preserve"> nc:IdentificationIDf</v>
      </c>
    </row>
  </sheetData>
  <conditionalFormatting sqref="H2:H369">
    <cfRule type="expression" dxfId="35" priority="5">
      <formula>AND(LEN($H2)&gt;0,MOD($B2,2)=0)</formula>
    </cfRule>
  </conditionalFormatting>
  <conditionalFormatting sqref="I2:I369">
    <cfRule type="expression" dxfId="34" priority="4">
      <formula>AND(LEN($I2)&gt;0,MOD($C2,2)=0)</formula>
    </cfRule>
  </conditionalFormatting>
  <conditionalFormatting sqref="M2">
    <cfRule type="expression" dxfId="33" priority="7">
      <formula>IF($E3="x",TRUE,FALSE)</formula>
    </cfRule>
  </conditionalFormatting>
  <conditionalFormatting sqref="X2:X369 M2:M369">
    <cfRule type="expression" dxfId="32" priority="3">
      <formula>AND(LEN($AD2)&gt;0,MOD($D2,2)=0)</formula>
    </cfRule>
  </conditionalFormatting>
  <conditionalFormatting sqref="X2:X369">
    <cfRule type="expression" dxfId="31" priority="1">
      <formula>IF($E2="x",TRUE,FALSE)</formula>
    </cfRule>
    <cfRule type="expression" dxfId="30" priority="2">
      <formula>IF($E2="d",TRUE,FALSE)</formula>
    </cfRule>
  </conditionalFormatting>
  <conditionalFormatting sqref="X158:X159">
    <cfRule type="expression" dxfId="29" priority="8">
      <formula>IF($E159="d",TRUE,FALSE)</formula>
    </cfRule>
  </conditionalFormatting>
  <conditionalFormatting sqref="X159">
    <cfRule type="expression" dxfId="28" priority="9">
      <formula>IF(#REF!="x",TRUE,FALSE)</formula>
    </cfRule>
    <cfRule type="expression" dxfId="27" priority="10">
      <formula>IF(#REF!="d",TRUE,FALSE)</formula>
    </cfRule>
  </conditionalFormatting>
  <conditionalFormatting sqref="AC1:AC1048576">
    <cfRule type="duplicateValues" dxfId="26" priority="6"/>
  </conditionalFormatting>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6C1F9-0CD5-42EA-84A6-E672FF17FE19}">
  <sheetPr>
    <tabColor theme="4" tint="0.79998168889431442"/>
  </sheetPr>
  <dimension ref="A1:AF110"/>
  <sheetViews>
    <sheetView topLeftCell="AA1" zoomScale="85" zoomScaleNormal="85" workbookViewId="0">
      <selection activeCell="AF3" sqref="AF3"/>
    </sheetView>
  </sheetViews>
  <sheetFormatPr defaultColWidth="9.109375" defaultRowHeight="30" customHeight="1" x14ac:dyDescent="0.3"/>
  <cols>
    <col min="1" max="1" width="9.109375" style="28" customWidth="1"/>
    <col min="2" max="4" width="9.109375" style="28" hidden="1" customWidth="1"/>
    <col min="5" max="5" width="9.109375" style="28" customWidth="1"/>
    <col min="6" max="6" width="14.88671875" style="28" hidden="1" customWidth="1"/>
    <col min="7" max="7" width="6" style="28" hidden="1" customWidth="1"/>
    <col min="8" max="8" width="12.109375" style="28" customWidth="1"/>
    <col min="9" max="9" width="16" style="28" customWidth="1"/>
    <col min="10" max="10" width="7.44140625" style="28" hidden="1" customWidth="1"/>
    <col min="11" max="11" width="13.33203125" style="28" hidden="1" customWidth="1"/>
    <col min="12" max="12" width="12.5546875" style="28" hidden="1" customWidth="1"/>
    <col min="13" max="13" width="13.6640625" style="28" customWidth="1"/>
    <col min="14" max="14" width="9.109375" style="28" hidden="1" customWidth="1"/>
    <col min="15" max="15" width="26.5546875" style="28" hidden="1" customWidth="1"/>
    <col min="16" max="16" width="16.88671875" style="28" hidden="1" customWidth="1"/>
    <col min="17" max="17" width="9.109375" style="28" hidden="1" customWidth="1"/>
    <col min="18" max="18" width="25.44140625" style="28" customWidth="1"/>
    <col min="19" max="19" width="19.5546875" style="28" hidden="1" customWidth="1"/>
    <col min="20" max="20" width="9.109375" style="28" hidden="1" customWidth="1"/>
    <col min="21" max="21" width="15.88671875" style="28" hidden="1" customWidth="1"/>
    <col min="22" max="22" width="14.5546875" style="28" hidden="1" customWidth="1"/>
    <col min="23" max="23" width="135.44140625" style="22" customWidth="1"/>
    <col min="24" max="24" width="97" style="22" hidden="1" customWidth="1"/>
    <col min="25" max="25" width="20" style="28" hidden="1" customWidth="1"/>
    <col min="26" max="26" width="12.5546875" style="28" hidden="1" customWidth="1"/>
    <col min="27" max="27" width="44.6640625" style="28" customWidth="1"/>
    <col min="28" max="28" width="23" style="28" customWidth="1"/>
    <col min="29" max="29" width="9.109375" style="28" customWidth="1"/>
    <col min="30" max="30" width="135" style="28" customWidth="1"/>
    <col min="31" max="31" width="31.6640625" style="28" customWidth="1"/>
    <col min="32" max="16384" width="9.109375" style="28"/>
  </cols>
  <sheetData>
    <row r="1" spans="1:32" s="22" customFormat="1" ht="60.75" customHeight="1" x14ac:dyDescent="0.3">
      <c r="A1" s="22" t="s">
        <v>0</v>
      </c>
      <c r="B1" s="23" t="s">
        <v>1</v>
      </c>
      <c r="C1" s="23" t="s">
        <v>2</v>
      </c>
      <c r="D1" s="23" t="s">
        <v>3</v>
      </c>
      <c r="E1" s="24" t="s">
        <v>3075</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21</v>
      </c>
      <c r="V1" s="1" t="s">
        <v>22</v>
      </c>
      <c r="W1" s="18" t="s">
        <v>1228</v>
      </c>
      <c r="X1" s="19" t="s">
        <v>24</v>
      </c>
      <c r="Y1" s="20" t="s">
        <v>25</v>
      </c>
      <c r="Z1" s="20" t="s">
        <v>26</v>
      </c>
      <c r="AA1" s="20" t="s">
        <v>27</v>
      </c>
      <c r="AB1" s="20" t="s">
        <v>28</v>
      </c>
      <c r="AC1" s="25" t="s">
        <v>3076</v>
      </c>
      <c r="AD1" s="26" t="s">
        <v>3077</v>
      </c>
      <c r="AE1" s="27" t="s">
        <v>3078</v>
      </c>
      <c r="AF1" s="58" t="s">
        <v>3540</v>
      </c>
    </row>
    <row r="2" spans="1:32" ht="18.75" customHeight="1" x14ac:dyDescent="0.3">
      <c r="A2" s="28" t="str">
        <f t="shared" ref="A2:A65" si="0">ROW(A1)&amp;"expanded_IMARRD_sorted"</f>
        <v>1expanded_IMARRD_sorted</v>
      </c>
      <c r="B2" s="28">
        <f>IF(H1=H2,B1,B1+1)</f>
        <v>1</v>
      </c>
      <c r="C2" s="28">
        <f>IF(I1=I2,C1,C1+1)</f>
        <v>2</v>
      </c>
      <c r="D2" s="28">
        <f>IF(M1=M2,D1,D1+1)</f>
        <v>3</v>
      </c>
      <c r="E2" s="28" t="s">
        <v>32</v>
      </c>
      <c r="F2" s="28" t="s">
        <v>8</v>
      </c>
      <c r="G2" s="28">
        <v>330</v>
      </c>
      <c r="H2" s="29" t="s">
        <v>33</v>
      </c>
      <c r="I2" s="30" t="s">
        <v>33</v>
      </c>
      <c r="J2" s="28" t="s">
        <v>34</v>
      </c>
      <c r="K2" s="28" t="s">
        <v>35</v>
      </c>
      <c r="L2" s="28" t="s">
        <v>36</v>
      </c>
      <c r="M2" s="31" t="s">
        <v>37</v>
      </c>
      <c r="N2" s="28" t="s">
        <v>33</v>
      </c>
      <c r="O2" s="28" t="s">
        <v>38</v>
      </c>
      <c r="P2" s="28" t="s">
        <v>39</v>
      </c>
      <c r="Q2" s="22" t="s">
        <v>40</v>
      </c>
      <c r="R2" s="28" t="s">
        <v>41</v>
      </c>
      <c r="S2" s="28" t="s">
        <v>42</v>
      </c>
      <c r="W2" s="22" t="s">
        <v>44</v>
      </c>
      <c r="X2" s="22" t="s">
        <v>38</v>
      </c>
      <c r="Y2" s="28" t="s">
        <v>45</v>
      </c>
      <c r="Z2" s="28" t="s">
        <v>46</v>
      </c>
      <c r="AA2" s="28" t="s">
        <v>47</v>
      </c>
      <c r="AB2" s="28" t="s">
        <v>48</v>
      </c>
      <c r="AC2" s="28" t="str">
        <f>SUBSTITUTE(Table610119[[#This Row],[field name]],"field: ","")</f>
        <v>"IDADDR"</v>
      </c>
      <c r="AD2" s="28" t="str">
        <f>SUBSTITUTE((CLEAN(TRIM(Table610119[[#This Row],[field id]]))&amp;": "&amp;CHAR(34)&amp;Table610119[[#This Row],[&lt;&lt;NOLA_Exchange&gt;&gt;
Booking]]&amp;CHAR(34)&amp;CHAR(44)),"/nola:BookingExchange","")</f>
        <v>"IDADDR": "/j:Booking/j:BookingSubject/RoleOfPerson/PersonContactInformation/ContactMailingAddress/AddressFullText",</v>
      </c>
      <c r="AE2" s="32" t="str">
        <f>_xlfn.XLOOKUP(Table610119[[#This Row],[&lt;&lt;NOLA_Exchange&gt;&gt;
Booking]],Table26[XPATHS],Table26['#],"DNE")</f>
        <v>85book_xpath</v>
      </c>
      <c r="AF2" s="32" t="str">
        <f>CLEAN(TRIM(SUBSTITUTE(Table610119[[#This Row],[field id]],CHAR(34),"")))</f>
        <v>IDADDR</v>
      </c>
    </row>
    <row r="3" spans="1:32" ht="30" customHeight="1" x14ac:dyDescent="0.3">
      <c r="A3" s="28" t="str">
        <f t="shared" si="0"/>
        <v>2expanded_IMARRD_sorted</v>
      </c>
      <c r="B3" s="28">
        <f t="shared" ref="B3:B66" si="1">IF(H2=H3,B2,B2+1)</f>
        <v>1</v>
      </c>
      <c r="C3" s="28">
        <f t="shared" ref="C3:C66" si="2">IF(I2=I3,C2,C2+1)</f>
        <v>3</v>
      </c>
      <c r="D3" s="28">
        <f t="shared" ref="D3:D66" si="3">IF(M2=M3,D2,D2+1)</f>
        <v>3</v>
      </c>
      <c r="E3" s="28" t="s">
        <v>32</v>
      </c>
      <c r="F3" s="28" t="s">
        <v>8</v>
      </c>
      <c r="G3" s="28">
        <v>334</v>
      </c>
      <c r="H3" s="29" t="s">
        <v>33</v>
      </c>
      <c r="I3" s="30" t="s">
        <v>66</v>
      </c>
      <c r="J3" s="28" t="s">
        <v>34</v>
      </c>
      <c r="K3" s="28" t="s">
        <v>67</v>
      </c>
      <c r="L3" s="28" t="s">
        <v>36</v>
      </c>
      <c r="M3" s="31" t="s">
        <v>37</v>
      </c>
      <c r="N3" s="28" t="s">
        <v>66</v>
      </c>
      <c r="O3" s="28" t="s">
        <v>68</v>
      </c>
      <c r="P3" s="22" t="s">
        <v>69</v>
      </c>
      <c r="Q3" s="22" t="s">
        <v>70</v>
      </c>
      <c r="R3" s="28" t="s">
        <v>71</v>
      </c>
      <c r="S3" s="28" t="s">
        <v>72</v>
      </c>
      <c r="W3" s="22" t="s">
        <v>74</v>
      </c>
      <c r="X3" s="22" t="s">
        <v>68</v>
      </c>
      <c r="Y3" s="28" t="s">
        <v>45</v>
      </c>
      <c r="Z3" s="28" t="s">
        <v>46</v>
      </c>
      <c r="AA3" s="28" t="s">
        <v>75</v>
      </c>
      <c r="AB3" s="28" t="s">
        <v>76</v>
      </c>
      <c r="AC3" s="28" t="str">
        <f>SUBSTITUTE(Table610119[[#This Row],[field name]],"field: ","")</f>
        <v>"IDCITY"</v>
      </c>
      <c r="AD3" s="28" t="str">
        <f>SUBSTITUTE((CLEAN(TRIM(Table610119[[#This Row],[field id]]))&amp;": "&amp;CHAR(34)&amp;Table610119[[#This Row],[&lt;&lt;NOLA_Exchange&gt;&gt;
Booking]]&amp;CHAR(34)&amp;CHAR(44)),"/nola:BookingExchange","")</f>
        <v>"IDCITY": "/j:Booking/j:BookingSubject/RoleOfPerson/PersonContactInformation/ContactMailingAddress/AddressCityName",</v>
      </c>
      <c r="AE3" s="32" t="str">
        <f>_xlfn.XLOOKUP(Table610119[[#This Row],[&lt;&lt;NOLA_Exchange&gt;&gt;
Booking]],Table26[XPATHS],Table26['#],"DNE")</f>
        <v>97book_xpath</v>
      </c>
      <c r="AF3" s="32" t="str">
        <f>CLEAN(TRIM(SUBSTITUTE(Table610119[[#This Row],[field id]],CHAR(34),"")))</f>
        <v>IDCITY</v>
      </c>
    </row>
    <row r="4" spans="1:32" ht="30" customHeight="1" x14ac:dyDescent="0.3">
      <c r="A4" s="28" t="str">
        <f t="shared" si="0"/>
        <v>3expanded_IMARRD_sorted</v>
      </c>
      <c r="B4" s="28">
        <f t="shared" si="1"/>
        <v>1</v>
      </c>
      <c r="C4" s="28">
        <f t="shared" si="2"/>
        <v>4</v>
      </c>
      <c r="D4" s="28">
        <f t="shared" si="3"/>
        <v>3</v>
      </c>
      <c r="E4" s="28" t="s">
        <v>32</v>
      </c>
      <c r="F4" s="33" t="s">
        <v>8</v>
      </c>
      <c r="G4" s="33">
        <v>332</v>
      </c>
      <c r="H4" s="34" t="s">
        <v>33</v>
      </c>
      <c r="I4" s="35" t="s">
        <v>105</v>
      </c>
      <c r="J4" s="33" t="s">
        <v>34</v>
      </c>
      <c r="K4" s="33" t="s">
        <v>94</v>
      </c>
      <c r="L4" s="33" t="s">
        <v>36</v>
      </c>
      <c r="M4" s="36" t="s">
        <v>37</v>
      </c>
      <c r="N4" s="33" t="s">
        <v>105</v>
      </c>
      <c r="O4" s="33" t="s">
        <v>95</v>
      </c>
      <c r="P4" s="33" t="s">
        <v>96</v>
      </c>
      <c r="Q4" s="33" t="s">
        <v>97</v>
      </c>
      <c r="R4" s="33" t="s">
        <v>106</v>
      </c>
      <c r="S4" s="33" t="s">
        <v>72</v>
      </c>
      <c r="T4" s="33"/>
      <c r="U4" s="33"/>
      <c r="V4" s="33"/>
      <c r="W4" s="37" t="s">
        <v>110</v>
      </c>
      <c r="X4" s="33" t="s">
        <v>95</v>
      </c>
      <c r="Y4" s="33" t="s">
        <v>45</v>
      </c>
      <c r="Z4" s="33" t="s">
        <v>46</v>
      </c>
      <c r="AA4" s="33" t="s">
        <v>109</v>
      </c>
      <c r="AB4" s="33" t="s">
        <v>101</v>
      </c>
      <c r="AC4" s="28" t="str">
        <f>SUBSTITUTE(Table610119[[#This Row],[field name]],"field: ","")</f>
        <v>"IDSTCD"</v>
      </c>
      <c r="AD4" s="28" t="str">
        <f>SUBSTITUTE((CLEAN(TRIM(Table610119[[#This Row],[field id]]))&amp;": "&amp;CHAR(34)&amp;Table610119[[#This Row],[&lt;&lt;NOLA_Exchange&gt;&gt;
Booking]]&amp;CHAR(34)&amp;CHAR(44)),"/nola:BookingExchange","")</f>
        <v>"IDSTCD": "/j:Booking/j:BookingSubject/RoleOfPerson/PersonContactInformation/ContactMailingAddress/AddressState/StateName",</v>
      </c>
      <c r="AE4" s="32" t="str">
        <f>_xlfn.XLOOKUP(Table610119[[#This Row],[&lt;&lt;NOLA_Exchange&gt;&gt;
Booking]],Table26[XPATHS],Table26['#],"DNE")</f>
        <v>99book_xpath</v>
      </c>
      <c r="AF4" s="32" t="str">
        <f>CLEAN(TRIM(SUBSTITUTE(Table610119[[#This Row],[field id]],CHAR(34),"")))</f>
        <v>IDSTCD</v>
      </c>
    </row>
    <row r="5" spans="1:32" ht="30" customHeight="1" x14ac:dyDescent="0.3">
      <c r="A5" s="28" t="str">
        <f t="shared" si="0"/>
        <v>4expanded_IMARRD_sorted</v>
      </c>
      <c r="B5" s="28">
        <f t="shared" si="1"/>
        <v>1</v>
      </c>
      <c r="C5" s="28">
        <f t="shared" si="2"/>
        <v>5</v>
      </c>
      <c r="D5" s="28">
        <f t="shared" si="3"/>
        <v>3</v>
      </c>
      <c r="E5" s="28" t="s">
        <v>32</v>
      </c>
      <c r="F5" s="33" t="s">
        <v>8</v>
      </c>
      <c r="G5" s="33">
        <v>335</v>
      </c>
      <c r="H5" s="34" t="s">
        <v>33</v>
      </c>
      <c r="I5" s="35" t="s">
        <v>129</v>
      </c>
      <c r="J5" s="33" t="s">
        <v>34</v>
      </c>
      <c r="K5" s="33" t="s">
        <v>130</v>
      </c>
      <c r="L5" s="33" t="s">
        <v>36</v>
      </c>
      <c r="M5" s="36" t="s">
        <v>37</v>
      </c>
      <c r="N5" s="33" t="s">
        <v>129</v>
      </c>
      <c r="O5" s="33" t="s">
        <v>131</v>
      </c>
      <c r="P5" s="33" t="s">
        <v>132</v>
      </c>
      <c r="Q5" s="33" t="s">
        <v>133</v>
      </c>
      <c r="R5" s="33" t="s">
        <v>134</v>
      </c>
      <c r="S5" s="33" t="s">
        <v>42</v>
      </c>
      <c r="T5" s="33"/>
      <c r="U5" s="33"/>
      <c r="V5" s="33"/>
      <c r="W5" s="37" t="s">
        <v>136</v>
      </c>
      <c r="X5" s="33" t="s">
        <v>131</v>
      </c>
      <c r="Y5" s="33" t="s">
        <v>45</v>
      </c>
      <c r="Z5" s="33" t="s">
        <v>46</v>
      </c>
      <c r="AA5" s="33" t="s">
        <v>137</v>
      </c>
      <c r="AB5" s="33" t="s">
        <v>138</v>
      </c>
      <c r="AC5" s="28" t="str">
        <f>SUBSTITUTE(Table610119[[#This Row],[field name]],"field: ","")</f>
        <v>"IDABRN"</v>
      </c>
      <c r="AD5" s="28" t="str">
        <f>SUBSTITUTE((CLEAN(TRIM(Table610119[[#This Row],[field id]]))&amp;": "&amp;CHAR(34)&amp;Table610119[[#This Row],[&lt;&lt;NOLA_Exchange&gt;&gt;
Booking]]&amp;CHAR(34)&amp;CHAR(44)),"/nola:BookingExchange","")</f>
        <v>"IDABRN": "/j:Booking/j:BookingSubject/RoleOfPerson/PersonContactInformation/ContactMailingAddress/AddressSecondaryUnitText",</v>
      </c>
      <c r="AE5" s="32" t="str">
        <f>_xlfn.XLOOKUP(Table610119[[#This Row],[&lt;&lt;NOLA_Exchange&gt;&gt;
Booking]],Table26[XPATHS],Table26['#],"DNE")</f>
        <v>86book_xpath</v>
      </c>
      <c r="AF5" s="32" t="str">
        <f>CLEAN(TRIM(SUBSTITUTE(Table610119[[#This Row],[field id]],CHAR(34),"")))</f>
        <v>IDABRN</v>
      </c>
    </row>
    <row r="6" spans="1:32" ht="30" customHeight="1" x14ac:dyDescent="0.3">
      <c r="A6" s="28" t="str">
        <f t="shared" si="0"/>
        <v>5expanded_IMARRD_sorted</v>
      </c>
      <c r="B6" s="28">
        <f t="shared" si="1"/>
        <v>1</v>
      </c>
      <c r="C6" s="28">
        <f t="shared" si="2"/>
        <v>6</v>
      </c>
      <c r="D6" s="28">
        <f t="shared" si="3"/>
        <v>3</v>
      </c>
      <c r="E6" s="28" t="s">
        <v>32</v>
      </c>
      <c r="F6" s="33" t="s">
        <v>8</v>
      </c>
      <c r="G6" s="33">
        <v>337</v>
      </c>
      <c r="H6" s="34" t="s">
        <v>33</v>
      </c>
      <c r="I6" s="35" t="s">
        <v>152</v>
      </c>
      <c r="J6" s="33" t="s">
        <v>153</v>
      </c>
      <c r="K6" s="33" t="s">
        <v>154</v>
      </c>
      <c r="L6" s="33" t="s">
        <v>36</v>
      </c>
      <c r="M6" s="36" t="s">
        <v>37</v>
      </c>
      <c r="N6" s="33" t="s">
        <v>152</v>
      </c>
      <c r="O6" s="33" t="s">
        <v>155</v>
      </c>
      <c r="P6" s="33" t="s">
        <v>156</v>
      </c>
      <c r="Q6" s="33" t="s">
        <v>157</v>
      </c>
      <c r="R6" s="33" t="s">
        <v>158</v>
      </c>
      <c r="S6" s="33" t="s">
        <v>159</v>
      </c>
      <c r="T6" s="33"/>
      <c r="U6" s="33"/>
      <c r="V6" s="33"/>
      <c r="W6" s="37" t="s">
        <v>161</v>
      </c>
      <c r="X6" s="33" t="s">
        <v>155</v>
      </c>
      <c r="Y6" s="33" t="s">
        <v>45</v>
      </c>
      <c r="Z6" s="33" t="s">
        <v>46</v>
      </c>
      <c r="AA6" s="33" t="s">
        <v>162</v>
      </c>
      <c r="AB6" s="33" t="s">
        <v>163</v>
      </c>
      <c r="AC6" s="28" t="str">
        <f>SUBSTITUTE(Table610119[[#This Row],[field name]],"field: ","")</f>
        <v>"IDABRC"</v>
      </c>
      <c r="AD6" s="28" t="str">
        <f>SUBSTITUTE((CLEAN(TRIM(Table610119[[#This Row],[field id]]))&amp;": "&amp;CHAR(34)&amp;Table610119[[#This Row],[&lt;&lt;NOLA_Exchange&gt;&gt;
Booking]]&amp;CHAR(34)&amp;CHAR(44)),"/nola:BookingExchange","")</f>
        <v>"IDABRC": "/j:Booking/j:BookingSubject/RoleOfPerson/PersonContactInformation/ContactMailingAddress/AddressDeliveryPointID",</v>
      </c>
      <c r="AE6" s="32" t="str">
        <f>_xlfn.XLOOKUP(Table610119[[#This Row],[&lt;&lt;NOLA_Exchange&gt;&gt;
Booking]],Table26[XPATHS],Table26['#],"DNE")</f>
        <v>95book_xpath</v>
      </c>
      <c r="AF6" s="32" t="str">
        <f>CLEAN(TRIM(SUBSTITUTE(Table610119[[#This Row],[field id]],CHAR(34),"")))</f>
        <v>IDABRC</v>
      </c>
    </row>
    <row r="7" spans="1:32" ht="30" customHeight="1" x14ac:dyDescent="0.3">
      <c r="A7" s="28" t="str">
        <f t="shared" si="0"/>
        <v>6expanded_IMARRD_sorted</v>
      </c>
      <c r="B7" s="28">
        <f t="shared" si="1"/>
        <v>1</v>
      </c>
      <c r="C7" s="28">
        <f t="shared" si="2"/>
        <v>7</v>
      </c>
      <c r="D7" s="28">
        <f t="shared" si="3"/>
        <v>3</v>
      </c>
      <c r="E7" s="28" t="s">
        <v>32</v>
      </c>
      <c r="F7" s="38" t="s">
        <v>8</v>
      </c>
      <c r="G7" s="38">
        <v>340</v>
      </c>
      <c r="H7" s="39" t="s">
        <v>33</v>
      </c>
      <c r="I7" s="40" t="s">
        <v>207</v>
      </c>
      <c r="J7" s="38" t="s">
        <v>34</v>
      </c>
      <c r="K7" s="38" t="s">
        <v>208</v>
      </c>
      <c r="L7" s="38" t="s">
        <v>36</v>
      </c>
      <c r="M7" s="41" t="s">
        <v>37</v>
      </c>
      <c r="N7" s="38" t="s">
        <v>207</v>
      </c>
      <c r="O7" s="38" t="s">
        <v>209</v>
      </c>
      <c r="P7" s="42" t="s">
        <v>210</v>
      </c>
      <c r="Q7" s="42" t="s">
        <v>211</v>
      </c>
      <c r="R7" s="38" t="s">
        <v>212</v>
      </c>
      <c r="S7" s="38" t="s">
        <v>42</v>
      </c>
      <c r="T7" s="38"/>
      <c r="U7" s="38"/>
      <c r="V7" s="38"/>
      <c r="W7" s="42" t="s">
        <v>214</v>
      </c>
      <c r="X7" s="42" t="s">
        <v>209</v>
      </c>
      <c r="Y7" s="38" t="s">
        <v>45</v>
      </c>
      <c r="Z7" s="38" t="s">
        <v>46</v>
      </c>
      <c r="AA7" s="38" t="s">
        <v>215</v>
      </c>
      <c r="AB7" s="38" t="s">
        <v>216</v>
      </c>
      <c r="AC7" s="28" t="str">
        <f>SUBSTITUTE(Table610119[[#This Row],[field name]],"field: ","")</f>
        <v>"IDSTPF"</v>
      </c>
      <c r="AD7" s="28" t="str">
        <f>SUBSTITUTE((CLEAN(TRIM(Table610119[[#This Row],[field id]]))&amp;": "&amp;CHAR(34)&amp;Table610119[[#This Row],[&lt;&lt;NOLA_Exchange&gt;&gt;
Booking]]&amp;CHAR(34)&amp;CHAR(44)),"/nola:BookingExchange","")</f>
        <v>"IDSTPF": "/j:Booking/j:BookingSubject/RoleOfPerson/PersonContactInformation/ContactMailingAddress/AddressStreet/StreetFullText",</v>
      </c>
      <c r="AE7" s="32" t="str">
        <f>_xlfn.XLOOKUP(Table610119[[#This Row],[&lt;&lt;NOLA_Exchange&gt;&gt;
Booking]],Table26[XPATHS],Table26['#],"DNE")</f>
        <v>88book_xpath</v>
      </c>
      <c r="AF7" s="32" t="str">
        <f>CLEAN(TRIM(SUBSTITUTE(Table610119[[#This Row],[field id]],CHAR(34),"")))</f>
        <v>IDSTPF</v>
      </c>
    </row>
    <row r="8" spans="1:32" ht="30" customHeight="1" x14ac:dyDescent="0.3">
      <c r="A8" s="28" t="str">
        <f t="shared" si="0"/>
        <v>7expanded_IMARRD_sorted</v>
      </c>
      <c r="B8" s="28">
        <f t="shared" si="1"/>
        <v>1</v>
      </c>
      <c r="C8" s="28">
        <f t="shared" si="2"/>
        <v>8</v>
      </c>
      <c r="D8" s="28">
        <f t="shared" si="3"/>
        <v>3</v>
      </c>
      <c r="E8" s="28" t="s">
        <v>32</v>
      </c>
      <c r="F8" s="38" t="s">
        <v>8</v>
      </c>
      <c r="G8" s="38">
        <v>341</v>
      </c>
      <c r="H8" s="39" t="s">
        <v>33</v>
      </c>
      <c r="I8" s="40" t="s">
        <v>223</v>
      </c>
      <c r="J8" s="38" t="s">
        <v>34</v>
      </c>
      <c r="K8" s="38" t="s">
        <v>224</v>
      </c>
      <c r="L8" s="38" t="s">
        <v>36</v>
      </c>
      <c r="M8" s="41" t="s">
        <v>37</v>
      </c>
      <c r="N8" s="38" t="s">
        <v>223</v>
      </c>
      <c r="O8" s="38" t="s">
        <v>225</v>
      </c>
      <c r="P8" s="42" t="s">
        <v>226</v>
      </c>
      <c r="Q8" s="42" t="s">
        <v>227</v>
      </c>
      <c r="R8" s="38" t="s">
        <v>228</v>
      </c>
      <c r="S8" s="38" t="s">
        <v>72</v>
      </c>
      <c r="T8" s="38"/>
      <c r="U8" s="38"/>
      <c r="V8" s="38"/>
      <c r="W8" s="42" t="s">
        <v>230</v>
      </c>
      <c r="X8" s="42" t="s">
        <v>225</v>
      </c>
      <c r="Y8" s="38" t="s">
        <v>45</v>
      </c>
      <c r="Z8" s="38" t="s">
        <v>46</v>
      </c>
      <c r="AA8" s="38" t="s">
        <v>231</v>
      </c>
      <c r="AB8" s="38" t="s">
        <v>232</v>
      </c>
      <c r="AC8" s="28" t="str">
        <f>SUBSTITUTE(Table610119[[#This Row],[field name]],"field: ","")</f>
        <v>"IDSTNM"</v>
      </c>
      <c r="AD8" s="28" t="str">
        <f>SUBSTITUTE((CLEAN(TRIM(Table610119[[#This Row],[field id]]))&amp;": "&amp;CHAR(34)&amp;Table610119[[#This Row],[&lt;&lt;NOLA_Exchange&gt;&gt;
Booking]]&amp;CHAR(34)&amp;CHAR(44)),"/nola:BookingExchange","")</f>
        <v>"IDSTNM": "/j:Booking/j:BookingSubject/RoleOfPerson/PersonContactInformation/ContactMailingAddress/AddressStreet/StreetName",</v>
      </c>
      <c r="AE8" s="32" t="str">
        <f>_xlfn.XLOOKUP(Table610119[[#This Row],[&lt;&lt;NOLA_Exchange&gt;&gt;
Booking]],Table26[XPATHS],Table26['#],"DNE")</f>
        <v>92book_xpath</v>
      </c>
      <c r="AF8" s="32" t="str">
        <f>CLEAN(TRIM(SUBSTITUTE(Table610119[[#This Row],[field id]],CHAR(34),"")))</f>
        <v>IDSTNM</v>
      </c>
    </row>
    <row r="9" spans="1:32" ht="30" customHeight="1" x14ac:dyDescent="0.3">
      <c r="A9" s="28" t="str">
        <f t="shared" si="0"/>
        <v>8expanded_IMARRD_sorted</v>
      </c>
      <c r="B9" s="28">
        <f t="shared" si="1"/>
        <v>1</v>
      </c>
      <c r="C9" s="28">
        <f t="shared" si="2"/>
        <v>9</v>
      </c>
      <c r="D9" s="28">
        <f t="shared" si="3"/>
        <v>3</v>
      </c>
      <c r="E9" s="28" t="s">
        <v>32</v>
      </c>
      <c r="F9" s="38" t="s">
        <v>8</v>
      </c>
      <c r="G9" s="38">
        <v>342</v>
      </c>
      <c r="H9" s="39" t="s">
        <v>33</v>
      </c>
      <c r="I9" s="40" t="s">
        <v>254</v>
      </c>
      <c r="J9" s="38" t="s">
        <v>34</v>
      </c>
      <c r="K9" s="38" t="s">
        <v>255</v>
      </c>
      <c r="L9" s="38" t="s">
        <v>36</v>
      </c>
      <c r="M9" s="41" t="s">
        <v>37</v>
      </c>
      <c r="N9" s="38" t="s">
        <v>254</v>
      </c>
      <c r="O9" s="38" t="s">
        <v>256</v>
      </c>
      <c r="P9" s="42" t="s">
        <v>257</v>
      </c>
      <c r="Q9" s="42" t="s">
        <v>258</v>
      </c>
      <c r="R9" s="38" t="s">
        <v>259</v>
      </c>
      <c r="S9" s="38" t="s">
        <v>42</v>
      </c>
      <c r="T9" s="38"/>
      <c r="U9" s="38"/>
      <c r="V9" s="38"/>
      <c r="W9" s="42" t="s">
        <v>261</v>
      </c>
      <c r="X9" s="42" t="s">
        <v>256</v>
      </c>
      <c r="Y9" s="38" t="s">
        <v>45</v>
      </c>
      <c r="Z9" s="38" t="s">
        <v>46</v>
      </c>
      <c r="AA9" s="38" t="s">
        <v>262</v>
      </c>
      <c r="AB9" s="38" t="s">
        <v>263</v>
      </c>
      <c r="AC9" s="28" t="str">
        <f>SUBSTITUTE(Table610119[[#This Row],[field name]],"field: ","")</f>
        <v>"IDSTNO"</v>
      </c>
      <c r="AD9" s="28" t="str">
        <f>SUBSTITUTE((CLEAN(TRIM(Table610119[[#This Row],[field id]]))&amp;": "&amp;CHAR(34)&amp;Table610119[[#This Row],[&lt;&lt;NOLA_Exchange&gt;&gt;
Booking]]&amp;CHAR(34)&amp;CHAR(44)),"/nola:BookingExchange","")</f>
        <v>"IDSTNO": "/j:Booking/j:BookingSubject/RoleOfPerson/PersonContactInformation/ContactMailingAddress/AddressStreet/StreetNumberText",</v>
      </c>
      <c r="AE9" s="32" t="str">
        <f>_xlfn.XLOOKUP(Table610119[[#This Row],[&lt;&lt;NOLA_Exchange&gt;&gt;
Booking]],Table26[XPATHS],Table26['#],"DNE")</f>
        <v>89book_xpath</v>
      </c>
      <c r="AF9" s="32" t="str">
        <f>CLEAN(TRIM(SUBSTITUTE(Table610119[[#This Row],[field id]],CHAR(34),"")))</f>
        <v>IDSTNO</v>
      </c>
    </row>
    <row r="10" spans="1:32" ht="30" customHeight="1" x14ac:dyDescent="0.3">
      <c r="A10" s="28" t="str">
        <f t="shared" si="0"/>
        <v>9expanded_IMARRD_sorted</v>
      </c>
      <c r="B10" s="28">
        <f t="shared" si="1"/>
        <v>1</v>
      </c>
      <c r="C10" s="28">
        <f t="shared" si="2"/>
        <v>10</v>
      </c>
      <c r="D10" s="28">
        <f t="shared" si="3"/>
        <v>3</v>
      </c>
      <c r="E10" s="28" t="s">
        <v>32</v>
      </c>
      <c r="F10" s="38" t="s">
        <v>8</v>
      </c>
      <c r="G10" s="38">
        <v>344</v>
      </c>
      <c r="H10" s="39" t="s">
        <v>33</v>
      </c>
      <c r="I10" s="40" t="s">
        <v>306</v>
      </c>
      <c r="J10" s="38" t="s">
        <v>34</v>
      </c>
      <c r="K10" s="38" t="s">
        <v>307</v>
      </c>
      <c r="L10" s="38" t="s">
        <v>36</v>
      </c>
      <c r="M10" s="41" t="s">
        <v>37</v>
      </c>
      <c r="N10" s="38" t="s">
        <v>306</v>
      </c>
      <c r="O10" s="38" t="s">
        <v>308</v>
      </c>
      <c r="P10" s="42" t="s">
        <v>309</v>
      </c>
      <c r="Q10" s="42" t="s">
        <v>310</v>
      </c>
      <c r="R10" s="38" t="s">
        <v>291</v>
      </c>
      <c r="S10" s="38" t="s">
        <v>42</v>
      </c>
      <c r="T10" s="38"/>
      <c r="U10" s="38"/>
      <c r="V10" s="38"/>
      <c r="W10" s="42" t="s">
        <v>312</v>
      </c>
      <c r="X10" s="42" t="s">
        <v>308</v>
      </c>
      <c r="Y10" s="38" t="s">
        <v>45</v>
      </c>
      <c r="Z10" s="38" t="s">
        <v>46</v>
      </c>
      <c r="AA10" s="38" t="s">
        <v>313</v>
      </c>
      <c r="AB10" s="38" t="s">
        <v>314</v>
      </c>
      <c r="AC10" s="28" t="str">
        <f>SUBSTITUTE(Table610119[[#This Row],[field name]],"field: ","")</f>
        <v>"IDSTSF"</v>
      </c>
      <c r="AD10" s="28" t="str">
        <f>SUBSTITUTE((CLEAN(TRIM(Table610119[[#This Row],[field id]]))&amp;": "&amp;CHAR(34)&amp;Table610119[[#This Row],[&lt;&lt;NOLA_Exchange&gt;&gt;
Booking]]&amp;CHAR(34)&amp;CHAR(44)),"/nola:BookingExchange","")</f>
        <v>"IDSTSF": "/j:Booking/j:BookingSubject/RoleOfPerson/PersonContactInformation/ContactMailingAddress/AddressStreet/StreetPostdirectional/StreetDirectionalText",</v>
      </c>
      <c r="AE10" s="32" t="str">
        <f>_xlfn.XLOOKUP(Table610119[[#This Row],[&lt;&lt;NOLA_Exchange&gt;&gt;
Booking]],Table26[XPATHS],Table26['#],"DNE")</f>
        <v>94book_xpath</v>
      </c>
      <c r="AF10" s="32" t="str">
        <f>CLEAN(TRIM(SUBSTITUTE(Table610119[[#This Row],[field id]],CHAR(34),"")))</f>
        <v>IDSTSF</v>
      </c>
    </row>
    <row r="11" spans="1:32" ht="30" customHeight="1" x14ac:dyDescent="0.3">
      <c r="A11" s="28" t="str">
        <f t="shared" si="0"/>
        <v>10expanded_IMARRD_sorted</v>
      </c>
      <c r="B11" s="28">
        <f t="shared" si="1"/>
        <v>2</v>
      </c>
      <c r="C11" s="28">
        <f t="shared" si="2"/>
        <v>11</v>
      </c>
      <c r="D11" s="28">
        <f t="shared" si="3"/>
        <v>3</v>
      </c>
      <c r="E11" s="28" t="s">
        <v>32</v>
      </c>
      <c r="F11" s="38" t="s">
        <v>8</v>
      </c>
      <c r="G11" s="38">
        <v>246</v>
      </c>
      <c r="H11" s="39" t="s">
        <v>368</v>
      </c>
      <c r="I11" s="40" t="s">
        <v>1476</v>
      </c>
      <c r="J11" s="38" t="s">
        <v>34</v>
      </c>
      <c r="K11" s="38" t="s">
        <v>1477</v>
      </c>
      <c r="L11" s="38" t="s">
        <v>440</v>
      </c>
      <c r="M11" s="41" t="s">
        <v>37</v>
      </c>
      <c r="N11" s="38" t="s">
        <v>1476</v>
      </c>
      <c r="O11" s="38" t="s">
        <v>453</v>
      </c>
      <c r="P11" s="42" t="s">
        <v>454</v>
      </c>
      <c r="Q11" s="42" t="s">
        <v>455</v>
      </c>
      <c r="R11" s="38" t="s">
        <v>456</v>
      </c>
      <c r="S11" s="38" t="s">
        <v>159</v>
      </c>
      <c r="T11" s="38"/>
      <c r="U11" s="38"/>
      <c r="V11" s="38"/>
      <c r="W11" s="42" t="s">
        <v>1478</v>
      </c>
      <c r="X11" s="42" t="s">
        <v>453</v>
      </c>
      <c r="Y11" s="38" t="s">
        <v>45</v>
      </c>
      <c r="Z11" s="38" t="s">
        <v>46</v>
      </c>
      <c r="AA11" s="38" t="s">
        <v>459</v>
      </c>
      <c r="AB11" s="38" t="s">
        <v>460</v>
      </c>
      <c r="AC11" s="28" t="str">
        <f>SUBSTITUTE(Table610119[[#This Row],[field name]],"field: ","")</f>
        <v>"IDATN1"</v>
      </c>
      <c r="AD11" s="28" t="str">
        <f>SUBSTITUTE((CLEAN(TRIM(Table610119[[#This Row],[field id]]))&amp;": "&amp;CHAR(34)&amp;Table610119[[#This Row],[&lt;&lt;NOLA_Exchange&gt;&gt;
Booking]]&amp;CHAR(34)&amp;CHAR(44)),"/nola:BookingExchange","")</f>
        <v>"IDATN1": "/j:Booking/j:Arrest/j:ArrestCharge[1]/nola-ext:ChargeAugmentation/nola-ext:StatewideArrestTrackingNumber",</v>
      </c>
      <c r="AE11" s="32" t="str">
        <f>_xlfn.XLOOKUP(Table610119[[#This Row],[&lt;&lt;NOLA_Exchange&gt;&gt;
Booking]],Table26[XPATHS],Table26['#],"DNE")</f>
        <v>235book_xpath</v>
      </c>
      <c r="AF11" s="32" t="str">
        <f>CLEAN(TRIM(SUBSTITUTE(Table610119[[#This Row],[field id]],CHAR(34),"")))</f>
        <v>IDATN1</v>
      </c>
    </row>
    <row r="12" spans="1:32" ht="30" customHeight="1" x14ac:dyDescent="0.3">
      <c r="A12" s="28" t="str">
        <f t="shared" si="0"/>
        <v>11expanded_IMARRD_sorted</v>
      </c>
      <c r="B12" s="28">
        <f t="shared" si="1"/>
        <v>2</v>
      </c>
      <c r="C12" s="28">
        <f t="shared" si="2"/>
        <v>11</v>
      </c>
      <c r="D12" s="28">
        <f t="shared" si="3"/>
        <v>4</v>
      </c>
      <c r="E12" s="28" t="s">
        <v>32</v>
      </c>
      <c r="F12" s="38" t="s">
        <v>8</v>
      </c>
      <c r="G12" s="38">
        <v>246</v>
      </c>
      <c r="H12" s="39" t="s">
        <v>368</v>
      </c>
      <c r="I12" s="40" t="s">
        <v>1476</v>
      </c>
      <c r="J12" s="38" t="s">
        <v>34</v>
      </c>
      <c r="K12" s="38" t="s">
        <v>1477</v>
      </c>
      <c r="L12" s="38" t="s">
        <v>440</v>
      </c>
      <c r="M12" s="41" t="s">
        <v>52</v>
      </c>
      <c r="N12" s="38" t="s">
        <v>1476</v>
      </c>
      <c r="O12" s="38" t="s">
        <v>461</v>
      </c>
      <c r="P12" s="42" t="s">
        <v>462</v>
      </c>
      <c r="Q12" s="42" t="s">
        <v>455</v>
      </c>
      <c r="R12" s="38" t="s">
        <v>456</v>
      </c>
      <c r="S12" s="38" t="s">
        <v>159</v>
      </c>
      <c r="T12" s="38"/>
      <c r="U12" s="38"/>
      <c r="V12" s="38"/>
      <c r="W12" s="42" t="s">
        <v>1479</v>
      </c>
      <c r="X12" s="42" t="s">
        <v>461</v>
      </c>
      <c r="Y12" s="38" t="s">
        <v>45</v>
      </c>
      <c r="Z12" s="38" t="s">
        <v>46</v>
      </c>
      <c r="AA12" s="38" t="s">
        <v>459</v>
      </c>
      <c r="AB12" s="38" t="s">
        <v>463</v>
      </c>
      <c r="AC12" s="28" t="str">
        <f>SUBSTITUTE(Table610119[[#This Row],[field name]],"field: ","")</f>
        <v>"IDATN2"</v>
      </c>
      <c r="AD12" s="28" t="str">
        <f>SUBSTITUTE((CLEAN(TRIM(Table610119[[#This Row],[field id]]))&amp;": "&amp;CHAR(34)&amp;Table610119[[#This Row],[&lt;&lt;NOLA_Exchange&gt;&gt;
Booking]]&amp;CHAR(34)&amp;CHAR(44)),"/nola:BookingExchange","")</f>
        <v>"IDATN2": "/j:Booking/j:Arrest/j:ArrestCharge[2]/nola-ext:ChargeAugmentation/nola-ext:StatewideArrestTrackingNumber",</v>
      </c>
      <c r="AE12" s="32" t="str">
        <f>_xlfn.XLOOKUP(Table610119[[#This Row],[&lt;&lt;NOLA_Exchange&gt;&gt;
Booking]],Table26[XPATHS],Table26['#],"DNE")</f>
        <v>255book_xpath</v>
      </c>
      <c r="AF12" s="32" t="str">
        <f>CLEAN(TRIM(SUBSTITUTE(Table610119[[#This Row],[field id]],CHAR(34),"")))</f>
        <v>IDATN2</v>
      </c>
    </row>
    <row r="13" spans="1:32" ht="30" customHeight="1" x14ac:dyDescent="0.3">
      <c r="A13" s="28" t="str">
        <f t="shared" si="0"/>
        <v>12expanded_IMARRD_sorted</v>
      </c>
      <c r="B13" s="28">
        <f t="shared" si="1"/>
        <v>2</v>
      </c>
      <c r="C13" s="28">
        <f t="shared" si="2"/>
        <v>11</v>
      </c>
      <c r="D13" s="28">
        <f t="shared" si="3"/>
        <v>5</v>
      </c>
      <c r="E13" s="28" t="s">
        <v>32</v>
      </c>
      <c r="F13" s="38" t="s">
        <v>8</v>
      </c>
      <c r="G13" s="38">
        <v>246</v>
      </c>
      <c r="H13" s="39" t="s">
        <v>368</v>
      </c>
      <c r="I13" s="40" t="s">
        <v>1476</v>
      </c>
      <c r="J13" s="38" t="s">
        <v>34</v>
      </c>
      <c r="K13" s="38" t="s">
        <v>1477</v>
      </c>
      <c r="L13" s="38" t="s">
        <v>440</v>
      </c>
      <c r="M13" s="41" t="s">
        <v>57</v>
      </c>
      <c r="N13" s="38" t="s">
        <v>1476</v>
      </c>
      <c r="O13" s="38" t="s">
        <v>464</v>
      </c>
      <c r="P13" s="42" t="s">
        <v>465</v>
      </c>
      <c r="Q13" s="42" t="s">
        <v>455</v>
      </c>
      <c r="R13" s="38" t="s">
        <v>456</v>
      </c>
      <c r="S13" s="38" t="s">
        <v>159</v>
      </c>
      <c r="T13" s="38"/>
      <c r="U13" s="38"/>
      <c r="V13" s="38"/>
      <c r="W13" s="42" t="s">
        <v>1480</v>
      </c>
      <c r="X13" s="42" t="s">
        <v>464</v>
      </c>
      <c r="Y13" s="38" t="s">
        <v>45</v>
      </c>
      <c r="Z13" s="38" t="s">
        <v>46</v>
      </c>
      <c r="AA13" s="38" t="s">
        <v>466</v>
      </c>
      <c r="AB13" s="38" t="s">
        <v>467</v>
      </c>
      <c r="AC13" s="28" t="str">
        <f>SUBSTITUTE(Table610119[[#This Row],[field name]],"field: ","")</f>
        <v>"IDATN3"</v>
      </c>
      <c r="AD13" s="28" t="str">
        <f>SUBSTITUTE((CLEAN(TRIM(Table610119[[#This Row],[field id]]))&amp;": "&amp;CHAR(34)&amp;Table610119[[#This Row],[&lt;&lt;NOLA_Exchange&gt;&gt;
Booking]]&amp;CHAR(34)&amp;CHAR(44)),"/nola:BookingExchange","")</f>
        <v>"IDATN3": "/j:Booking/j:Arrest/j:ArrestCharge[3]/nola-ext:ChargeAugmentation/nola-ext:StatewideArrestTrackingNumber",</v>
      </c>
      <c r="AE13" s="32" t="str">
        <f>_xlfn.XLOOKUP(Table610119[[#This Row],[&lt;&lt;NOLA_Exchange&gt;&gt;
Booking]],Table26[XPATHS],Table26['#],"DNE")</f>
        <v>271book_xpath</v>
      </c>
      <c r="AF13" s="32" t="str">
        <f>CLEAN(TRIM(SUBSTITUTE(Table610119[[#This Row],[field id]],CHAR(34),"")))</f>
        <v>IDATN3</v>
      </c>
    </row>
    <row r="14" spans="1:32" ht="30" customHeight="1" x14ac:dyDescent="0.3">
      <c r="A14" s="28" t="str">
        <f t="shared" si="0"/>
        <v>13expanded_IMARRD_sorted</v>
      </c>
      <c r="B14" s="28">
        <f t="shared" si="1"/>
        <v>2</v>
      </c>
      <c r="C14" s="28">
        <f t="shared" si="2"/>
        <v>11</v>
      </c>
      <c r="D14" s="28">
        <f t="shared" si="3"/>
        <v>6</v>
      </c>
      <c r="E14" s="28" t="s">
        <v>32</v>
      </c>
      <c r="F14" s="38" t="s">
        <v>8</v>
      </c>
      <c r="G14" s="38">
        <v>246</v>
      </c>
      <c r="H14" s="39" t="s">
        <v>368</v>
      </c>
      <c r="I14" s="40" t="s">
        <v>1476</v>
      </c>
      <c r="J14" s="38" t="s">
        <v>34</v>
      </c>
      <c r="K14" s="38" t="s">
        <v>1477</v>
      </c>
      <c r="L14" s="38" t="s">
        <v>440</v>
      </c>
      <c r="M14" s="41" t="s">
        <v>49</v>
      </c>
      <c r="N14" s="38" t="s">
        <v>1476</v>
      </c>
      <c r="O14" s="38" t="s">
        <v>468</v>
      </c>
      <c r="P14" s="42" t="s">
        <v>469</v>
      </c>
      <c r="Q14" s="42" t="s">
        <v>455</v>
      </c>
      <c r="R14" s="38" t="s">
        <v>456</v>
      </c>
      <c r="S14" s="38" t="s">
        <v>159</v>
      </c>
      <c r="T14" s="38"/>
      <c r="U14" s="38"/>
      <c r="V14" s="38"/>
      <c r="W14" s="42" t="s">
        <v>1481</v>
      </c>
      <c r="X14" s="42" t="s">
        <v>468</v>
      </c>
      <c r="Y14" s="38" t="s">
        <v>45</v>
      </c>
      <c r="Z14" s="38" t="s">
        <v>46</v>
      </c>
      <c r="AA14" s="38" t="s">
        <v>459</v>
      </c>
      <c r="AB14" s="38" t="s">
        <v>470</v>
      </c>
      <c r="AC14" s="28" t="str">
        <f>SUBSTITUTE(Table610119[[#This Row],[field name]],"field: ","")</f>
        <v>"IDATN4"</v>
      </c>
      <c r="AD14" s="28" t="str">
        <f>SUBSTITUTE((CLEAN(TRIM(Table610119[[#This Row],[field id]]))&amp;": "&amp;CHAR(34)&amp;Table610119[[#This Row],[&lt;&lt;NOLA_Exchange&gt;&gt;
Booking]]&amp;CHAR(34)&amp;CHAR(44)),"/nola:BookingExchange","")</f>
        <v>"IDATN4": "/j:Booking/j:Arrest/j:ArrestCharge[4]/nola-ext:ChargeAugmentation/nola-ext:StatewideArrestTrackingNumber",</v>
      </c>
      <c r="AE14" s="32" t="str">
        <f>_xlfn.XLOOKUP(Table610119[[#This Row],[&lt;&lt;NOLA_Exchange&gt;&gt;
Booking]],Table26[XPATHS],Table26['#],"DNE")</f>
        <v>287book_xpath</v>
      </c>
      <c r="AF14" s="32" t="str">
        <f>CLEAN(TRIM(SUBSTITUTE(Table610119[[#This Row],[field id]],CHAR(34),"")))</f>
        <v>IDATN4</v>
      </c>
    </row>
    <row r="15" spans="1:32" ht="30" customHeight="1" x14ac:dyDescent="0.3">
      <c r="A15" s="28" t="str">
        <f t="shared" si="0"/>
        <v>14expanded_IMARRD_sorted</v>
      </c>
      <c r="B15" s="28">
        <f t="shared" si="1"/>
        <v>2</v>
      </c>
      <c r="C15" s="28">
        <f t="shared" si="2"/>
        <v>11</v>
      </c>
      <c r="D15" s="28">
        <f t="shared" si="3"/>
        <v>7</v>
      </c>
      <c r="E15" s="28" t="s">
        <v>32</v>
      </c>
      <c r="F15" s="38" t="s">
        <v>8</v>
      </c>
      <c r="G15" s="38">
        <v>246</v>
      </c>
      <c r="H15" s="39" t="s">
        <v>368</v>
      </c>
      <c r="I15" s="40" t="s">
        <v>1476</v>
      </c>
      <c r="J15" s="38" t="s">
        <v>34</v>
      </c>
      <c r="K15" s="38" t="s">
        <v>1477</v>
      </c>
      <c r="L15" s="38" t="s">
        <v>440</v>
      </c>
      <c r="M15" s="41" t="s">
        <v>87</v>
      </c>
      <c r="N15" s="38" t="s">
        <v>1476</v>
      </c>
      <c r="O15" s="38" t="s">
        <v>471</v>
      </c>
      <c r="P15" s="42" t="s">
        <v>472</v>
      </c>
      <c r="Q15" s="42" t="s">
        <v>455</v>
      </c>
      <c r="R15" s="38" t="s">
        <v>456</v>
      </c>
      <c r="S15" s="38" t="s">
        <v>159</v>
      </c>
      <c r="T15" s="38"/>
      <c r="U15" s="38"/>
      <c r="V15" s="38"/>
      <c r="W15" s="42" t="s">
        <v>1482</v>
      </c>
      <c r="X15" s="42" t="s">
        <v>471</v>
      </c>
      <c r="Y15" s="38" t="s">
        <v>45</v>
      </c>
      <c r="Z15" s="38" t="s">
        <v>46</v>
      </c>
      <c r="AA15" s="38" t="s">
        <v>466</v>
      </c>
      <c r="AB15" s="38" t="s">
        <v>473</v>
      </c>
      <c r="AC15" s="28" t="str">
        <f>SUBSTITUTE(Table610119[[#This Row],[field name]],"field: ","")</f>
        <v>"IDATN5"</v>
      </c>
      <c r="AD15" s="28" t="str">
        <f>SUBSTITUTE((CLEAN(TRIM(Table610119[[#This Row],[field id]]))&amp;": "&amp;CHAR(34)&amp;Table610119[[#This Row],[&lt;&lt;NOLA_Exchange&gt;&gt;
Booking]]&amp;CHAR(34)&amp;CHAR(44)),"/nola:BookingExchange","")</f>
        <v>"IDATN5": "/j:Booking/j:Arrest/j:ArrestCharge[5]/nola-ext:ChargeAugmentation/nola-ext:StatewideArrestTrackingNumber",</v>
      </c>
      <c r="AE15" s="32" t="str">
        <f>_xlfn.XLOOKUP(Table610119[[#This Row],[&lt;&lt;NOLA_Exchange&gt;&gt;
Booking]],Table26[XPATHS],Table26['#],"DNE")</f>
        <v>303book_xpath</v>
      </c>
      <c r="AF15" s="32" t="str">
        <f>CLEAN(TRIM(SUBSTITUTE(Table610119[[#This Row],[field id]],CHAR(34),"")))</f>
        <v>IDATN5</v>
      </c>
    </row>
    <row r="16" spans="1:32" ht="30" customHeight="1" x14ac:dyDescent="0.3">
      <c r="A16" s="28" t="str">
        <f t="shared" si="0"/>
        <v>15expanded_IMARRD_sorted</v>
      </c>
      <c r="B16" s="28">
        <f t="shared" si="1"/>
        <v>2</v>
      </c>
      <c r="C16" s="28">
        <f t="shared" si="2"/>
        <v>11</v>
      </c>
      <c r="D16" s="28">
        <f t="shared" si="3"/>
        <v>8</v>
      </c>
      <c r="E16" s="28" t="s">
        <v>32</v>
      </c>
      <c r="F16" s="38" t="s">
        <v>8</v>
      </c>
      <c r="G16" s="38">
        <v>246</v>
      </c>
      <c r="H16" s="39" t="s">
        <v>368</v>
      </c>
      <c r="I16" s="40" t="s">
        <v>1476</v>
      </c>
      <c r="J16" s="38" t="s">
        <v>34</v>
      </c>
      <c r="K16" s="38" t="s">
        <v>1477</v>
      </c>
      <c r="L16" s="38" t="s">
        <v>440</v>
      </c>
      <c r="M16" s="41" t="s">
        <v>421</v>
      </c>
      <c r="N16" s="38" t="s">
        <v>1476</v>
      </c>
      <c r="O16" s="38" t="s">
        <v>474</v>
      </c>
      <c r="P16" s="42" t="s">
        <v>475</v>
      </c>
      <c r="Q16" s="42" t="s">
        <v>455</v>
      </c>
      <c r="R16" s="38" t="s">
        <v>456</v>
      </c>
      <c r="S16" s="38" t="s">
        <v>159</v>
      </c>
      <c r="T16" s="38"/>
      <c r="U16" s="38"/>
      <c r="V16" s="38"/>
      <c r="W16" s="42" t="s">
        <v>1483</v>
      </c>
      <c r="X16" s="42" t="s">
        <v>474</v>
      </c>
      <c r="Y16" s="38" t="s">
        <v>45</v>
      </c>
      <c r="Z16" s="38" t="s">
        <v>46</v>
      </c>
      <c r="AA16" s="38" t="s">
        <v>459</v>
      </c>
      <c r="AB16" s="38" t="s">
        <v>476</v>
      </c>
      <c r="AC16" s="28" t="str">
        <f>SUBSTITUTE(Table610119[[#This Row],[field name]],"field: ","")</f>
        <v>"IDATN6"</v>
      </c>
      <c r="AD16" s="28" t="str">
        <f>SUBSTITUTE((CLEAN(TRIM(Table610119[[#This Row],[field id]]))&amp;": "&amp;CHAR(34)&amp;Table610119[[#This Row],[&lt;&lt;NOLA_Exchange&gt;&gt;
Booking]]&amp;CHAR(34)&amp;CHAR(44)),"/nola:BookingExchange","")</f>
        <v>"IDATN6": "/j:Booking/j:Arrest/j:ArrestCharge[6]/nola-ext:ChargeAugmentation/nola-ext:StatewideArrestTrackingNumber",</v>
      </c>
      <c r="AE16" s="32" t="str">
        <f>_xlfn.XLOOKUP(Table610119[[#This Row],[&lt;&lt;NOLA_Exchange&gt;&gt;
Booking]],Table26[XPATHS],Table26['#],"DNE")</f>
        <v>319book_xpath</v>
      </c>
      <c r="AF16" s="32" t="str">
        <f>CLEAN(TRIM(SUBSTITUTE(Table610119[[#This Row],[field id]],CHAR(34),"")))</f>
        <v>IDATN6</v>
      </c>
    </row>
    <row r="17" spans="1:32" ht="30" customHeight="1" x14ac:dyDescent="0.3">
      <c r="A17" s="28" t="str">
        <f t="shared" si="0"/>
        <v>16expanded_IMARRD_sorted</v>
      </c>
      <c r="B17" s="28">
        <f t="shared" si="1"/>
        <v>2</v>
      </c>
      <c r="C17" s="28">
        <f t="shared" si="2"/>
        <v>12</v>
      </c>
      <c r="D17" s="28">
        <f t="shared" si="3"/>
        <v>9</v>
      </c>
      <c r="E17" s="28" t="s">
        <v>32</v>
      </c>
      <c r="F17" s="38" t="s">
        <v>8</v>
      </c>
      <c r="G17" s="38">
        <v>247</v>
      </c>
      <c r="H17" s="39" t="s">
        <v>368</v>
      </c>
      <c r="I17" s="40" t="s">
        <v>1494</v>
      </c>
      <c r="J17" s="38" t="s">
        <v>370</v>
      </c>
      <c r="K17" s="38" t="s">
        <v>1495</v>
      </c>
      <c r="L17" s="38" t="s">
        <v>440</v>
      </c>
      <c r="M17" s="41" t="s">
        <v>57</v>
      </c>
      <c r="N17" s="38" t="s">
        <v>1494</v>
      </c>
      <c r="O17" s="38" t="s">
        <v>1513</v>
      </c>
      <c r="P17" s="42" t="s">
        <v>1514</v>
      </c>
      <c r="Q17" s="42" t="s">
        <v>1498</v>
      </c>
      <c r="R17" s="38" t="s">
        <v>1499</v>
      </c>
      <c r="S17" s="38" t="s">
        <v>159</v>
      </c>
      <c r="T17" s="38"/>
      <c r="U17" s="38"/>
      <c r="V17" s="38"/>
      <c r="W17" s="42" t="s">
        <v>1500</v>
      </c>
      <c r="X17" s="42" t="s">
        <v>1513</v>
      </c>
      <c r="Y17" s="38" t="s">
        <v>45</v>
      </c>
      <c r="Z17" s="38" t="s">
        <v>46</v>
      </c>
      <c r="AA17" s="38" t="s">
        <v>1502</v>
      </c>
      <c r="AB17" s="38" t="s">
        <v>1515</v>
      </c>
      <c r="AC17" s="28" t="str">
        <f>SUBSTITUTE(Table610119[[#This Row],[field name]],"field: ","")</f>
        <v>"IDATS1"</v>
      </c>
      <c r="AD17" s="28" t="str">
        <f>SUBSTITUTE((CLEAN(TRIM(Table610119[[#This Row],[field id]]))&amp;": "&amp;CHAR(34)&amp;Table610119[[#This Row],[&lt;&lt;NOLA_Exchange&gt;&gt;
Booking]]&amp;CHAR(34)&amp;CHAR(44)),"/nola:BookingExchange","")</f>
        <v>"IDATS1": "/j:Booking/j:Arrest/j:ArrestCharge[1]/nola-ext:ChargeAugmentation/nola-ext:StatewideATNChargeSequenceID",</v>
      </c>
      <c r="AE17" s="32" t="str">
        <f>_xlfn.XLOOKUP(Table610119[[#This Row],[&lt;&lt;NOLA_Exchange&gt;&gt;
Booking]],Table26[XPATHS],Table26['#],"DNE")</f>
        <v>236book_xpath</v>
      </c>
      <c r="AF17" s="32" t="str">
        <f>CLEAN(TRIM(SUBSTITUTE(Table610119[[#This Row],[field id]],CHAR(34),"")))</f>
        <v>IDATS1</v>
      </c>
    </row>
    <row r="18" spans="1:32" ht="30" customHeight="1" x14ac:dyDescent="0.3">
      <c r="A18" s="28" t="str">
        <f t="shared" si="0"/>
        <v>17expanded_IMARRD_sorted</v>
      </c>
      <c r="B18" s="28">
        <f t="shared" si="1"/>
        <v>2</v>
      </c>
      <c r="C18" s="28">
        <f t="shared" si="2"/>
        <v>12</v>
      </c>
      <c r="D18" s="28">
        <f t="shared" si="3"/>
        <v>10</v>
      </c>
      <c r="E18" s="28" t="s">
        <v>32</v>
      </c>
      <c r="F18" s="38" t="s">
        <v>8</v>
      </c>
      <c r="G18" s="38">
        <v>247</v>
      </c>
      <c r="H18" s="39" t="s">
        <v>368</v>
      </c>
      <c r="I18" s="40" t="s">
        <v>1494</v>
      </c>
      <c r="J18" s="38" t="s">
        <v>370</v>
      </c>
      <c r="K18" s="38" t="s">
        <v>1495</v>
      </c>
      <c r="L18" s="38" t="s">
        <v>440</v>
      </c>
      <c r="M18" s="41" t="s">
        <v>49</v>
      </c>
      <c r="N18" s="38" t="s">
        <v>1494</v>
      </c>
      <c r="O18" s="38" t="s">
        <v>1516</v>
      </c>
      <c r="P18" s="42" t="s">
        <v>1517</v>
      </c>
      <c r="Q18" s="42" t="s">
        <v>1498</v>
      </c>
      <c r="R18" s="38" t="s">
        <v>1499</v>
      </c>
      <c r="S18" s="38" t="s">
        <v>159</v>
      </c>
      <c r="T18" s="38"/>
      <c r="U18" s="38"/>
      <c r="V18" s="38"/>
      <c r="W18" s="42" t="s">
        <v>1504</v>
      </c>
      <c r="X18" s="42" t="s">
        <v>1516</v>
      </c>
      <c r="Y18" s="38" t="s">
        <v>45</v>
      </c>
      <c r="Z18" s="38" t="s">
        <v>46</v>
      </c>
      <c r="AA18" s="38" t="s">
        <v>1502</v>
      </c>
      <c r="AB18" s="38" t="s">
        <v>1518</v>
      </c>
      <c r="AC18" s="28" t="str">
        <f>SUBSTITUTE(Table610119[[#This Row],[field name]],"field: ","")</f>
        <v>"IDATS2"</v>
      </c>
      <c r="AD18" s="28" t="str">
        <f>SUBSTITUTE((CLEAN(TRIM(Table610119[[#This Row],[field id]]))&amp;": "&amp;CHAR(34)&amp;Table610119[[#This Row],[&lt;&lt;NOLA_Exchange&gt;&gt;
Booking]]&amp;CHAR(34)&amp;CHAR(44)),"/nola:BookingExchange","")</f>
        <v>"IDATS2": "/j:Booking/j:Arrest/j:ArrestCharge[2]/nola-ext:ChargeAugmentation/nola-ext:StatewideATNChargeSequenceID",</v>
      </c>
      <c r="AE18" s="32" t="str">
        <f>_xlfn.XLOOKUP(Table610119[[#This Row],[&lt;&lt;NOLA_Exchange&gt;&gt;
Booking]],Table26[XPATHS],Table26['#],"DNE")</f>
        <v>256book_xpath</v>
      </c>
      <c r="AF18" s="32" t="str">
        <f>CLEAN(TRIM(SUBSTITUTE(Table610119[[#This Row],[field id]],CHAR(34),"")))</f>
        <v>IDATS2</v>
      </c>
    </row>
    <row r="19" spans="1:32" ht="30" customHeight="1" x14ac:dyDescent="0.3">
      <c r="A19" s="28" t="str">
        <f t="shared" si="0"/>
        <v>18expanded_IMARRD_sorted</v>
      </c>
      <c r="B19" s="28">
        <f t="shared" si="1"/>
        <v>2</v>
      </c>
      <c r="C19" s="28">
        <f t="shared" si="2"/>
        <v>12</v>
      </c>
      <c r="D19" s="28">
        <f t="shared" si="3"/>
        <v>11</v>
      </c>
      <c r="E19" s="28" t="s">
        <v>32</v>
      </c>
      <c r="F19" s="38" t="s">
        <v>8</v>
      </c>
      <c r="G19" s="38">
        <v>247</v>
      </c>
      <c r="H19" s="39" t="s">
        <v>368</v>
      </c>
      <c r="I19" s="40" t="s">
        <v>1494</v>
      </c>
      <c r="J19" s="38" t="s">
        <v>370</v>
      </c>
      <c r="K19" s="38" t="s">
        <v>1495</v>
      </c>
      <c r="L19" s="38" t="s">
        <v>440</v>
      </c>
      <c r="M19" s="41" t="s">
        <v>87</v>
      </c>
      <c r="N19" s="38" t="s">
        <v>1494</v>
      </c>
      <c r="O19" s="38" t="s">
        <v>1519</v>
      </c>
      <c r="P19" s="42" t="s">
        <v>1520</v>
      </c>
      <c r="Q19" s="42" t="s">
        <v>1498</v>
      </c>
      <c r="R19" s="38" t="s">
        <v>1499</v>
      </c>
      <c r="S19" s="38" t="s">
        <v>159</v>
      </c>
      <c r="T19" s="38"/>
      <c r="U19" s="38"/>
      <c r="V19" s="38"/>
      <c r="W19" s="42" t="s">
        <v>1505</v>
      </c>
      <c r="X19" s="42" t="s">
        <v>1519</v>
      </c>
      <c r="Y19" s="38" t="s">
        <v>45</v>
      </c>
      <c r="Z19" s="38" t="s">
        <v>46</v>
      </c>
      <c r="AA19" s="38" t="s">
        <v>1521</v>
      </c>
      <c r="AB19" s="38" t="s">
        <v>1522</v>
      </c>
      <c r="AC19" s="28" t="str">
        <f>SUBSTITUTE(Table610119[[#This Row],[field name]],"field: ","")</f>
        <v>"IDATS3"</v>
      </c>
      <c r="AD19" s="28" t="str">
        <f>SUBSTITUTE((CLEAN(TRIM(Table610119[[#This Row],[field id]]))&amp;": "&amp;CHAR(34)&amp;Table610119[[#This Row],[&lt;&lt;NOLA_Exchange&gt;&gt;
Booking]]&amp;CHAR(34)&amp;CHAR(44)),"/nola:BookingExchange","")</f>
        <v>"IDATS3": "/j:Booking/j:Arrest/j:ArrestCharge[3]/nola-ext:ChargeAugmentation/nola-ext:StatewideATNChargeSequenceID",</v>
      </c>
      <c r="AE19" s="32" t="str">
        <f>_xlfn.XLOOKUP(Table610119[[#This Row],[&lt;&lt;NOLA_Exchange&gt;&gt;
Booking]],Table26[XPATHS],Table26['#],"DNE")</f>
        <v>272book_xpath</v>
      </c>
      <c r="AF19" s="32" t="str">
        <f>CLEAN(TRIM(SUBSTITUTE(Table610119[[#This Row],[field id]],CHAR(34),"")))</f>
        <v>IDATS3</v>
      </c>
    </row>
    <row r="20" spans="1:32" ht="30" customHeight="1" x14ac:dyDescent="0.3">
      <c r="A20" s="28" t="str">
        <f t="shared" si="0"/>
        <v>19expanded_IMARRD_sorted</v>
      </c>
      <c r="B20" s="28">
        <f t="shared" si="1"/>
        <v>2</v>
      </c>
      <c r="C20" s="28">
        <f t="shared" si="2"/>
        <v>12</v>
      </c>
      <c r="D20" s="28">
        <f t="shared" si="3"/>
        <v>12</v>
      </c>
      <c r="E20" s="28" t="s">
        <v>32</v>
      </c>
      <c r="F20" s="38" t="s">
        <v>8</v>
      </c>
      <c r="G20" s="38">
        <v>247</v>
      </c>
      <c r="H20" s="39" t="s">
        <v>368</v>
      </c>
      <c r="I20" s="40" t="s">
        <v>1494</v>
      </c>
      <c r="J20" s="38" t="s">
        <v>370</v>
      </c>
      <c r="K20" s="38" t="s">
        <v>1495</v>
      </c>
      <c r="L20" s="38" t="s">
        <v>440</v>
      </c>
      <c r="M20" s="41" t="s">
        <v>421</v>
      </c>
      <c r="N20" s="38" t="s">
        <v>1494</v>
      </c>
      <c r="O20" s="38" t="s">
        <v>1523</v>
      </c>
      <c r="P20" s="42" t="s">
        <v>1524</v>
      </c>
      <c r="Q20" s="42" t="s">
        <v>1498</v>
      </c>
      <c r="R20" s="38" t="s">
        <v>1499</v>
      </c>
      <c r="S20" s="38" t="s">
        <v>159</v>
      </c>
      <c r="T20" s="38"/>
      <c r="U20" s="38"/>
      <c r="V20" s="38"/>
      <c r="W20" s="42" t="s">
        <v>1506</v>
      </c>
      <c r="X20" s="42" t="s">
        <v>1523</v>
      </c>
      <c r="Y20" s="38" t="s">
        <v>45</v>
      </c>
      <c r="Z20" s="38" t="s">
        <v>46</v>
      </c>
      <c r="AA20" s="38" t="s">
        <v>1502</v>
      </c>
      <c r="AB20" s="38" t="s">
        <v>1525</v>
      </c>
      <c r="AC20" s="28" t="str">
        <f>SUBSTITUTE(Table610119[[#This Row],[field name]],"field: ","")</f>
        <v>"IDATS4"</v>
      </c>
      <c r="AD20" s="28" t="str">
        <f>SUBSTITUTE((CLEAN(TRIM(Table610119[[#This Row],[field id]]))&amp;": "&amp;CHAR(34)&amp;Table610119[[#This Row],[&lt;&lt;NOLA_Exchange&gt;&gt;
Booking]]&amp;CHAR(34)&amp;CHAR(44)),"/nola:BookingExchange","")</f>
        <v>"IDATS4": "/j:Booking/j:Arrest/j:ArrestCharge[4]/nola-ext:ChargeAugmentation/nola-ext:StatewideATNChargeSequenceID",</v>
      </c>
      <c r="AE20" s="32" t="str">
        <f>_xlfn.XLOOKUP(Table610119[[#This Row],[&lt;&lt;NOLA_Exchange&gt;&gt;
Booking]],Table26[XPATHS],Table26['#],"DNE")</f>
        <v>288book_xpath</v>
      </c>
      <c r="AF20" s="32" t="str">
        <f>CLEAN(TRIM(SUBSTITUTE(Table610119[[#This Row],[field id]],CHAR(34),"")))</f>
        <v>IDATS4</v>
      </c>
    </row>
    <row r="21" spans="1:32" ht="30" customHeight="1" x14ac:dyDescent="0.3">
      <c r="A21" s="28" t="str">
        <f t="shared" si="0"/>
        <v>20expanded_IMARRD_sorted</v>
      </c>
      <c r="B21" s="28">
        <f t="shared" si="1"/>
        <v>2</v>
      </c>
      <c r="C21" s="28">
        <f t="shared" si="2"/>
        <v>12</v>
      </c>
      <c r="D21" s="28">
        <f t="shared" si="3"/>
        <v>13</v>
      </c>
      <c r="E21" s="28" t="s">
        <v>32</v>
      </c>
      <c r="F21" s="38" t="s">
        <v>8</v>
      </c>
      <c r="G21" s="38">
        <v>247</v>
      </c>
      <c r="H21" s="39" t="s">
        <v>368</v>
      </c>
      <c r="I21" s="40" t="s">
        <v>1494</v>
      </c>
      <c r="J21" s="38" t="s">
        <v>370</v>
      </c>
      <c r="K21" s="38" t="s">
        <v>1495</v>
      </c>
      <c r="L21" s="38" t="s">
        <v>440</v>
      </c>
      <c r="M21" s="41" t="s">
        <v>182</v>
      </c>
      <c r="N21" s="38" t="s">
        <v>1494</v>
      </c>
      <c r="O21" s="38" t="s">
        <v>1526</v>
      </c>
      <c r="P21" s="42" t="s">
        <v>1527</v>
      </c>
      <c r="Q21" s="42" t="s">
        <v>1498</v>
      </c>
      <c r="R21" s="38" t="s">
        <v>1499</v>
      </c>
      <c r="S21" s="38" t="s">
        <v>159</v>
      </c>
      <c r="T21" s="38"/>
      <c r="U21" s="38"/>
      <c r="V21" s="38"/>
      <c r="W21" s="42" t="s">
        <v>1507</v>
      </c>
      <c r="X21" s="42" t="s">
        <v>1526</v>
      </c>
      <c r="Y21" s="38" t="s">
        <v>45</v>
      </c>
      <c r="Z21" s="38" t="s">
        <v>46</v>
      </c>
      <c r="AA21" s="38" t="s">
        <v>1521</v>
      </c>
      <c r="AB21" s="38" t="s">
        <v>1528</v>
      </c>
      <c r="AC21" s="28" t="str">
        <f>SUBSTITUTE(Table610119[[#This Row],[field name]],"field: ","")</f>
        <v>"IDATS5"</v>
      </c>
      <c r="AD21" s="28" t="str">
        <f>SUBSTITUTE((CLEAN(TRIM(Table610119[[#This Row],[field id]]))&amp;": "&amp;CHAR(34)&amp;Table610119[[#This Row],[&lt;&lt;NOLA_Exchange&gt;&gt;
Booking]]&amp;CHAR(34)&amp;CHAR(44)),"/nola:BookingExchange","")</f>
        <v>"IDATS5": "/j:Booking/j:Arrest/j:ArrestCharge[5]/nola-ext:ChargeAugmentation/nola-ext:StatewideATNChargeSequenceID",</v>
      </c>
      <c r="AE21" s="32" t="str">
        <f>_xlfn.XLOOKUP(Table610119[[#This Row],[&lt;&lt;NOLA_Exchange&gt;&gt;
Booking]],Table26[XPATHS],Table26['#],"DNE")</f>
        <v>304book_xpath</v>
      </c>
      <c r="AF21" s="32" t="str">
        <f>CLEAN(TRIM(SUBSTITUTE(Table610119[[#This Row],[field id]],CHAR(34),"")))</f>
        <v>IDATS5</v>
      </c>
    </row>
    <row r="22" spans="1:32" ht="30" customHeight="1" x14ac:dyDescent="0.3">
      <c r="A22" s="28" t="str">
        <f t="shared" si="0"/>
        <v>21expanded_IMARRD_sorted</v>
      </c>
      <c r="B22" s="28">
        <f t="shared" si="1"/>
        <v>2</v>
      </c>
      <c r="C22" s="28">
        <f t="shared" si="2"/>
        <v>12</v>
      </c>
      <c r="D22" s="28">
        <f t="shared" si="3"/>
        <v>14</v>
      </c>
      <c r="E22" s="28" t="s">
        <v>32</v>
      </c>
      <c r="F22" s="38" t="s">
        <v>8</v>
      </c>
      <c r="G22" s="38">
        <v>247</v>
      </c>
      <c r="H22" s="39" t="s">
        <v>368</v>
      </c>
      <c r="I22" s="40" t="s">
        <v>1494</v>
      </c>
      <c r="J22" s="38" t="s">
        <v>370</v>
      </c>
      <c r="K22" s="38" t="s">
        <v>1495</v>
      </c>
      <c r="L22" s="38" t="s">
        <v>440</v>
      </c>
      <c r="M22" s="41" t="s">
        <v>1242</v>
      </c>
      <c r="N22" s="38" t="s">
        <v>1494</v>
      </c>
      <c r="O22" s="38" t="s">
        <v>1529</v>
      </c>
      <c r="P22" s="42" t="s">
        <v>1530</v>
      </c>
      <c r="Q22" s="42" t="s">
        <v>1498</v>
      </c>
      <c r="R22" s="38" t="s">
        <v>1499</v>
      </c>
      <c r="S22" s="38" t="s">
        <v>159</v>
      </c>
      <c r="T22" s="38"/>
      <c r="U22" s="38"/>
      <c r="V22" s="38"/>
      <c r="W22" s="42" t="s">
        <v>1508</v>
      </c>
      <c r="X22" s="42" t="s">
        <v>1529</v>
      </c>
      <c r="Y22" s="38" t="s">
        <v>45</v>
      </c>
      <c r="Z22" s="38" t="s">
        <v>46</v>
      </c>
      <c r="AA22" s="38" t="s">
        <v>1502</v>
      </c>
      <c r="AB22" s="38" t="s">
        <v>1531</v>
      </c>
      <c r="AC22" s="28" t="str">
        <f>SUBSTITUTE(Table610119[[#This Row],[field name]],"field: ","")</f>
        <v>"IDATS6"</v>
      </c>
      <c r="AD22" s="28" t="str">
        <f>SUBSTITUTE((CLEAN(TRIM(Table610119[[#This Row],[field id]]))&amp;": "&amp;CHAR(34)&amp;Table610119[[#This Row],[&lt;&lt;NOLA_Exchange&gt;&gt;
Booking]]&amp;CHAR(34)&amp;CHAR(44)),"/nola:BookingExchange","")</f>
        <v>"IDATS6": "/j:Booking/j:Arrest/j:ArrestCharge[6]/nola-ext:ChargeAugmentation/nola-ext:StatewideATNChargeSequenceID",</v>
      </c>
      <c r="AE22" s="32" t="str">
        <f>_xlfn.XLOOKUP(Table610119[[#This Row],[&lt;&lt;NOLA_Exchange&gt;&gt;
Booking]],Table26[XPATHS],Table26['#],"DNE")</f>
        <v>320book_xpath</v>
      </c>
      <c r="AF22" s="32" t="str">
        <f>CLEAN(TRIM(SUBSTITUTE(Table610119[[#This Row],[field id]],CHAR(34),"")))</f>
        <v>IDATS6</v>
      </c>
    </row>
    <row r="23" spans="1:32" ht="30" customHeight="1" x14ac:dyDescent="0.3">
      <c r="A23" s="28" t="str">
        <f t="shared" si="0"/>
        <v>22expanded_IMARRD_sorted</v>
      </c>
      <c r="B23" s="28">
        <f t="shared" si="1"/>
        <v>2</v>
      </c>
      <c r="C23" s="28">
        <f t="shared" si="2"/>
        <v>13</v>
      </c>
      <c r="D23" s="28">
        <f t="shared" si="3"/>
        <v>15</v>
      </c>
      <c r="E23" s="28" t="s">
        <v>32</v>
      </c>
      <c r="F23" s="38" t="s">
        <v>8</v>
      </c>
      <c r="G23" s="38">
        <v>245</v>
      </c>
      <c r="H23" s="39" t="s">
        <v>368</v>
      </c>
      <c r="I23" s="40" t="s">
        <v>369</v>
      </c>
      <c r="J23" s="38" t="s">
        <v>34</v>
      </c>
      <c r="K23" s="38" t="s">
        <v>371</v>
      </c>
      <c r="L23" s="38" t="s">
        <v>36</v>
      </c>
      <c r="M23" s="41" t="s">
        <v>37</v>
      </c>
      <c r="N23" s="38" t="s">
        <v>369</v>
      </c>
      <c r="O23" s="38" t="s">
        <v>372</v>
      </c>
      <c r="P23" s="42" t="s">
        <v>373</v>
      </c>
      <c r="Q23" s="42" t="s">
        <v>374</v>
      </c>
      <c r="R23" s="38" t="s">
        <v>1551</v>
      </c>
      <c r="S23" s="38" t="s">
        <v>1552</v>
      </c>
      <c r="T23" s="38"/>
      <c r="U23" s="38"/>
      <c r="V23" s="38"/>
      <c r="W23" s="42" t="s">
        <v>377</v>
      </c>
      <c r="X23" s="42" t="s">
        <v>372</v>
      </c>
      <c r="Y23" s="38" t="s">
        <v>45</v>
      </c>
      <c r="Z23" s="38" t="s">
        <v>46</v>
      </c>
      <c r="AA23" s="38" t="s">
        <v>378</v>
      </c>
      <c r="AB23" s="38" t="s">
        <v>379</v>
      </c>
      <c r="AC23" s="38" t="str">
        <f>SUBSTITUTE(Table610119[[#This Row],[field name]],"field: ","")</f>
        <v>"IDFLDR"</v>
      </c>
      <c r="AD23" s="38" t="str">
        <f>SUBSTITUTE((CLEAN(TRIM(Table610119[[#This Row],[field id]]))&amp;": "&amp;CHAR(34)&amp;Table610119[[#This Row],[&lt;&lt;NOLA_Exchange&gt;&gt;
Booking]]&amp;CHAR(34)&amp;CHAR(44)),"/nola:BookingExchange","")</f>
        <v>"IDFLDR": "/j:Booking/j:BookingDocumentControlIdentification/IdentificationID",</v>
      </c>
      <c r="AE23" s="32" t="str">
        <f>_xlfn.XLOOKUP(Table610119[[#This Row],[&lt;&lt;NOLA_Exchange&gt;&gt;
Booking]],Table26[XPATHS],Table26['#],"DNE")</f>
        <v>12book_xpath</v>
      </c>
      <c r="AF23" s="32" t="str">
        <f>CLEAN(TRIM(SUBSTITUTE(Table610119[[#This Row],[field id]],CHAR(34),"")))</f>
        <v>IDFLDR</v>
      </c>
    </row>
    <row r="24" spans="1:32" ht="30" customHeight="1" x14ac:dyDescent="0.3">
      <c r="A24" s="28" t="str">
        <f t="shared" si="0"/>
        <v>23expanded_IMARRD_sorted</v>
      </c>
      <c r="B24" s="28">
        <f t="shared" si="1"/>
        <v>3</v>
      </c>
      <c r="C24" s="28">
        <f t="shared" si="2"/>
        <v>14</v>
      </c>
      <c r="D24" s="28">
        <f t="shared" si="3"/>
        <v>15</v>
      </c>
      <c r="E24" s="28" t="s">
        <v>32</v>
      </c>
      <c r="F24" s="38" t="s">
        <v>8</v>
      </c>
      <c r="G24" s="38">
        <v>308</v>
      </c>
      <c r="H24" s="39" t="s">
        <v>384</v>
      </c>
      <c r="I24" s="40" t="s">
        <v>385</v>
      </c>
      <c r="J24" s="38" t="s">
        <v>386</v>
      </c>
      <c r="K24" s="38" t="s">
        <v>387</v>
      </c>
      <c r="L24" s="38" t="s">
        <v>36</v>
      </c>
      <c r="M24" s="41" t="s">
        <v>37</v>
      </c>
      <c r="N24" s="38" t="s">
        <v>385</v>
      </c>
      <c r="O24" s="38" t="s">
        <v>388</v>
      </c>
      <c r="P24" s="42" t="s">
        <v>389</v>
      </c>
      <c r="Q24" s="42" t="s">
        <v>390</v>
      </c>
      <c r="R24" s="38" t="s">
        <v>391</v>
      </c>
      <c r="S24" s="38" t="s">
        <v>392</v>
      </c>
      <c r="T24" s="38"/>
      <c r="U24" s="38"/>
      <c r="V24" s="38"/>
      <c r="W24" s="42" t="s">
        <v>1596</v>
      </c>
      <c r="X24" s="42" t="s">
        <v>388</v>
      </c>
      <c r="Y24" s="38" t="s">
        <v>45</v>
      </c>
      <c r="Z24" s="38" t="s">
        <v>46</v>
      </c>
      <c r="AA24" s="38" t="s">
        <v>395</v>
      </c>
      <c r="AB24" s="38" t="s">
        <v>396</v>
      </c>
      <c r="AC24" s="38" t="str">
        <f>SUBSTITUTE(Table610119[[#This Row],[field name]],"field: ","")</f>
        <v>"IDBOND"</v>
      </c>
      <c r="AD24" s="38" t="str">
        <f>SUBSTITUTE((CLEAN(TRIM(Table610119[[#This Row],[field id]]))&amp;": "&amp;CHAR(34)&amp;Table610119[[#This Row],[&lt;&lt;NOLA_Exchange&gt;&gt;
Booking]]&amp;CHAR(34)&amp;CHAR(44)),"/nola:BookingExchange","")</f>
        <v>"IDBOND": "/j:Booking/j:Arrest/j:ArrestCharge[1]/hs:ChargeAugmentation/j:BailBond/j:BailBondAmount/Amount",</v>
      </c>
      <c r="AE24" s="32" t="str">
        <f>_xlfn.XLOOKUP(Table610119[[#This Row],[&lt;&lt;NOLA_Exchange&gt;&gt;
Booking]],Table26[XPATHS],Table26['#],"DNE")</f>
        <v>241book_xpath</v>
      </c>
      <c r="AF24" s="32" t="str">
        <f>CLEAN(TRIM(SUBSTITUTE(Table610119[[#This Row],[field id]],CHAR(34),"")))</f>
        <v>IDBOND</v>
      </c>
    </row>
    <row r="25" spans="1:32" ht="30" customHeight="1" x14ac:dyDescent="0.3">
      <c r="A25" s="28" t="str">
        <f t="shared" si="0"/>
        <v>24expanded_IMARRD_sorted</v>
      </c>
      <c r="B25" s="28">
        <f t="shared" si="1"/>
        <v>4</v>
      </c>
      <c r="C25" s="28">
        <f t="shared" si="2"/>
        <v>15</v>
      </c>
      <c r="D25" s="28">
        <f t="shared" si="3"/>
        <v>15</v>
      </c>
      <c r="E25" s="28" t="s">
        <v>32</v>
      </c>
      <c r="F25" s="38" t="s">
        <v>8</v>
      </c>
      <c r="G25" s="38">
        <v>296</v>
      </c>
      <c r="H25" s="39" t="s">
        <v>397</v>
      </c>
      <c r="I25" s="40" t="s">
        <v>398</v>
      </c>
      <c r="J25" s="38" t="s">
        <v>399</v>
      </c>
      <c r="K25" s="38" t="s">
        <v>400</v>
      </c>
      <c r="L25" s="38" t="s">
        <v>36</v>
      </c>
      <c r="M25" s="41" t="s">
        <v>37</v>
      </c>
      <c r="N25" s="38" t="s">
        <v>398</v>
      </c>
      <c r="O25" s="38" t="s">
        <v>401</v>
      </c>
      <c r="P25" s="42" t="s">
        <v>402</v>
      </c>
      <c r="Q25" s="42" t="s">
        <v>403</v>
      </c>
      <c r="R25" s="43" t="s">
        <v>404</v>
      </c>
      <c r="S25" s="38" t="s">
        <v>405</v>
      </c>
      <c r="T25" s="38"/>
      <c r="U25" s="38"/>
      <c r="V25" s="38"/>
      <c r="W25" s="42" t="s">
        <v>407</v>
      </c>
      <c r="X25" s="42" t="s">
        <v>401</v>
      </c>
      <c r="Y25" s="38" t="s">
        <v>45</v>
      </c>
      <c r="Z25" s="38" t="s">
        <v>46</v>
      </c>
      <c r="AA25" s="38" t="s">
        <v>408</v>
      </c>
      <c r="AB25" s="38" t="s">
        <v>409</v>
      </c>
      <c r="AC25" s="38" t="str">
        <f>SUBSTITUTE(Table610119[[#This Row],[field name]],"field: ","")</f>
        <v>"IDBDTE"</v>
      </c>
      <c r="AD25" s="38" t="str">
        <f>SUBSTITUTE((CLEAN(TRIM(Table610119[[#This Row],[field id]]))&amp;": "&amp;CHAR(34)&amp;Table610119[[#This Row],[&lt;&lt;NOLA_Exchange&gt;&gt;
Booking]]&amp;CHAR(34)&amp;CHAR(44)),"/nola:BookingExchange","")</f>
        <v>"IDBDTE": "/j:Booking/ActivityDate/DateTime",</v>
      </c>
      <c r="AE25" s="32" t="str">
        <f>_xlfn.XLOOKUP(Table610119[[#This Row],[&lt;&lt;NOLA_Exchange&gt;&gt;
Booking]],Table26[XPATHS],Table26['#],"DNE")</f>
        <v>3book_xpath</v>
      </c>
      <c r="AF25" s="32" t="str">
        <f>CLEAN(TRIM(SUBSTITUTE(Table610119[[#This Row],[field id]],CHAR(34),"")))</f>
        <v>IDBDTE</v>
      </c>
    </row>
    <row r="26" spans="1:32" ht="30" customHeight="1" x14ac:dyDescent="0.3">
      <c r="A26" s="28" t="str">
        <f t="shared" si="0"/>
        <v>25expanded_IMARRD_sorted</v>
      </c>
      <c r="B26" s="28">
        <f t="shared" si="1"/>
        <v>4</v>
      </c>
      <c r="C26" s="28">
        <f t="shared" si="2"/>
        <v>15</v>
      </c>
      <c r="D26" s="28">
        <f t="shared" si="3"/>
        <v>16</v>
      </c>
      <c r="E26" s="28" t="s">
        <v>32</v>
      </c>
      <c r="F26" s="38" t="s">
        <v>8</v>
      </c>
      <c r="G26" s="38">
        <v>296</v>
      </c>
      <c r="H26" s="39" t="s">
        <v>397</v>
      </c>
      <c r="I26" s="40" t="s">
        <v>398</v>
      </c>
      <c r="J26" s="38" t="s">
        <v>399</v>
      </c>
      <c r="K26" s="38" t="s">
        <v>400</v>
      </c>
      <c r="L26" s="38" t="s">
        <v>36</v>
      </c>
      <c r="M26" s="41" t="s">
        <v>52</v>
      </c>
      <c r="N26" s="38" t="s">
        <v>398</v>
      </c>
      <c r="O26" s="38" t="s">
        <v>410</v>
      </c>
      <c r="P26" s="42" t="s">
        <v>411</v>
      </c>
      <c r="Q26" s="42" t="s">
        <v>403</v>
      </c>
      <c r="R26" s="43" t="s">
        <v>404</v>
      </c>
      <c r="S26" s="38" t="s">
        <v>405</v>
      </c>
      <c r="T26" s="38"/>
      <c r="U26" s="38"/>
      <c r="V26" s="38"/>
      <c r="W26" s="42" t="s">
        <v>407</v>
      </c>
      <c r="X26" s="42" t="s">
        <v>410</v>
      </c>
      <c r="Y26" s="38" t="s">
        <v>45</v>
      </c>
      <c r="Z26" s="38" t="s">
        <v>46</v>
      </c>
      <c r="AA26" s="38" t="s">
        <v>412</v>
      </c>
      <c r="AB26" s="38" t="s">
        <v>413</v>
      </c>
      <c r="AC26" s="38" t="str">
        <f>SUBSTITUTE(Table610119[[#This Row],[field name]],"field: ","")</f>
        <v>"IDBTIM"</v>
      </c>
      <c r="AD26" s="38" t="str">
        <f>SUBSTITUTE((CLEAN(TRIM(Table610119[[#This Row],[field id]]))&amp;": "&amp;CHAR(34)&amp;Table610119[[#This Row],[&lt;&lt;NOLA_Exchange&gt;&gt;
Booking]]&amp;CHAR(34)&amp;CHAR(44)),"/nola:BookingExchange","")</f>
        <v>"IDBTIM": "/j:Booking/ActivityDate/DateTime",</v>
      </c>
      <c r="AE26" s="32" t="str">
        <f>_xlfn.XLOOKUP(Table610119[[#This Row],[&lt;&lt;NOLA_Exchange&gt;&gt;
Booking]],Table26[XPATHS],Table26['#],"DNE")</f>
        <v>3book_xpath</v>
      </c>
      <c r="AF26" s="32" t="str">
        <f>CLEAN(TRIM(SUBSTITUTE(Table610119[[#This Row],[field id]],CHAR(34),"")))</f>
        <v>IDBTIM</v>
      </c>
    </row>
    <row r="27" spans="1:32" ht="30" customHeight="1" x14ac:dyDescent="0.3">
      <c r="A27" s="28" t="str">
        <f t="shared" si="0"/>
        <v>26expanded_IMARRD_sorted</v>
      </c>
      <c r="B27" s="28">
        <f t="shared" si="1"/>
        <v>4</v>
      </c>
      <c r="C27" s="28">
        <f t="shared" si="2"/>
        <v>15</v>
      </c>
      <c r="D27" s="28">
        <f t="shared" si="3"/>
        <v>17</v>
      </c>
      <c r="E27" s="28" t="s">
        <v>32</v>
      </c>
      <c r="F27" s="38" t="s">
        <v>8</v>
      </c>
      <c r="G27" s="38">
        <v>296</v>
      </c>
      <c r="H27" s="39" t="s">
        <v>397</v>
      </c>
      <c r="I27" s="40" t="s">
        <v>398</v>
      </c>
      <c r="J27" s="38" t="s">
        <v>399</v>
      </c>
      <c r="K27" s="38" t="s">
        <v>400</v>
      </c>
      <c r="L27" s="38" t="s">
        <v>36</v>
      </c>
      <c r="M27" s="41" t="s">
        <v>57</v>
      </c>
      <c r="N27" s="38" t="s">
        <v>398</v>
      </c>
      <c r="O27" s="38" t="s">
        <v>414</v>
      </c>
      <c r="P27" s="42" t="s">
        <v>415</v>
      </c>
      <c r="Q27" s="42" t="s">
        <v>403</v>
      </c>
      <c r="R27" s="43" t="s">
        <v>404</v>
      </c>
      <c r="S27" s="38" t="s">
        <v>405</v>
      </c>
      <c r="T27" s="38"/>
      <c r="U27" s="38"/>
      <c r="V27" s="38"/>
      <c r="W27" s="42" t="s">
        <v>407</v>
      </c>
      <c r="X27" s="42" t="s">
        <v>414</v>
      </c>
      <c r="Y27" s="38" t="s">
        <v>45</v>
      </c>
      <c r="Z27" s="38" t="s">
        <v>46</v>
      </c>
      <c r="AA27" s="38" t="s">
        <v>416</v>
      </c>
      <c r="AB27" s="38" t="s">
        <v>417</v>
      </c>
      <c r="AC27" s="38" t="str">
        <f>SUBSTITUTE(Table610119[[#This Row],[field name]],"field: ","")</f>
        <v>"IDBTFL"</v>
      </c>
      <c r="AD27" s="38" t="str">
        <f>SUBSTITUTE((CLEAN(TRIM(Table610119[[#This Row],[field id]]))&amp;": "&amp;CHAR(34)&amp;Table610119[[#This Row],[&lt;&lt;NOLA_Exchange&gt;&gt;
Booking]]&amp;CHAR(34)&amp;CHAR(44)),"/nola:BookingExchange","")</f>
        <v>"IDBTFL": "/j:Booking/ActivityDate/DateTime",</v>
      </c>
      <c r="AE27" s="32" t="str">
        <f>_xlfn.XLOOKUP(Table610119[[#This Row],[&lt;&lt;NOLA_Exchange&gt;&gt;
Booking]],Table26[XPATHS],Table26['#],"DNE")</f>
        <v>3book_xpath</v>
      </c>
      <c r="AF27" s="32" t="str">
        <f>CLEAN(TRIM(SUBSTITUTE(Table610119[[#This Row],[field id]],CHAR(34),"")))</f>
        <v>IDBTFL</v>
      </c>
    </row>
    <row r="28" spans="1:32" ht="30" customHeight="1" x14ac:dyDescent="0.3">
      <c r="A28" s="28" t="str">
        <f t="shared" si="0"/>
        <v>27expanded_IMARRD_sorted</v>
      </c>
      <c r="B28" s="28">
        <f t="shared" si="1"/>
        <v>4</v>
      </c>
      <c r="C28" s="28">
        <f t="shared" si="2"/>
        <v>16</v>
      </c>
      <c r="D28" s="28">
        <f t="shared" si="3"/>
        <v>18</v>
      </c>
      <c r="E28" s="28" t="s">
        <v>32</v>
      </c>
      <c r="F28" s="38" t="s">
        <v>8</v>
      </c>
      <c r="G28" s="38">
        <v>304</v>
      </c>
      <c r="H28" s="39" t="s">
        <v>397</v>
      </c>
      <c r="I28" s="40" t="s">
        <v>438</v>
      </c>
      <c r="J28" s="38" t="s">
        <v>34</v>
      </c>
      <c r="K28" s="38" t="s">
        <v>439</v>
      </c>
      <c r="L28" s="38" t="s">
        <v>440</v>
      </c>
      <c r="M28" s="41" t="s">
        <v>37</v>
      </c>
      <c r="N28" s="38" t="s">
        <v>438</v>
      </c>
      <c r="O28" s="38" t="s">
        <v>441</v>
      </c>
      <c r="P28" s="42" t="s">
        <v>442</v>
      </c>
      <c r="Q28" s="42" t="s">
        <v>443</v>
      </c>
      <c r="R28" s="38" t="s">
        <v>375</v>
      </c>
      <c r="S28" s="38" t="s">
        <v>159</v>
      </c>
      <c r="T28" s="38"/>
      <c r="U28" s="38"/>
      <c r="V28" s="38"/>
      <c r="W28" s="42" t="s">
        <v>445</v>
      </c>
      <c r="X28" s="42" t="s">
        <v>441</v>
      </c>
      <c r="Y28" s="38" t="s">
        <v>45</v>
      </c>
      <c r="Z28" s="38" t="s">
        <v>46</v>
      </c>
      <c r="AA28" s="38" t="s">
        <v>446</v>
      </c>
      <c r="AB28" s="38" t="s">
        <v>447</v>
      </c>
      <c r="AC28" s="38" t="str">
        <f>SUBSTITUTE(Table610119[[#This Row],[field name]],"field: ","")</f>
        <v>"IDSCNO"</v>
      </c>
      <c r="AD28" s="38" t="str">
        <f>SUBSTITUTE((CLEAN(TRIM(Table610119[[#This Row],[field id]]))&amp;": "&amp;CHAR(34)&amp;Table610119[[#This Row],[&lt;&lt;NOLA_Exchange&gt;&gt;
Booking]]&amp;CHAR(34)&amp;CHAR(44)),"/nola:BookingExchange","")</f>
        <v>"IDSCNO": "/j:Booking/j:BookingAgencyRecordIdentification/IdentificationID",</v>
      </c>
      <c r="AE28" s="32" t="str">
        <f>_xlfn.XLOOKUP(Table610119[[#This Row],[&lt;&lt;NOLA_Exchange&gt;&gt;
Booking]],Table26[XPATHS],Table26['#],"DNE")</f>
        <v>10book_xpath</v>
      </c>
      <c r="AF28" s="32" t="str">
        <f>CLEAN(TRIM(SUBSTITUTE(Table610119[[#This Row],[field id]],CHAR(34),"")))</f>
        <v>IDSCNO</v>
      </c>
    </row>
    <row r="29" spans="1:32" ht="30" customHeight="1" x14ac:dyDescent="0.3">
      <c r="A29" s="28" t="str">
        <f t="shared" si="0"/>
        <v>28expanded_IMARRD_sorted</v>
      </c>
      <c r="B29" s="28">
        <f t="shared" si="1"/>
        <v>5</v>
      </c>
      <c r="C29" s="28">
        <f t="shared" si="2"/>
        <v>17</v>
      </c>
      <c r="D29" s="28">
        <f t="shared" si="3"/>
        <v>18</v>
      </c>
      <c r="E29" s="28" t="s">
        <v>32</v>
      </c>
      <c r="F29" s="38" t="s">
        <v>8</v>
      </c>
      <c r="G29" s="38">
        <v>82</v>
      </c>
      <c r="H29" s="39" t="s">
        <v>477</v>
      </c>
      <c r="I29" s="40" t="s">
        <v>1733</v>
      </c>
      <c r="J29" s="38" t="s">
        <v>34</v>
      </c>
      <c r="K29" s="38" t="s">
        <v>1734</v>
      </c>
      <c r="L29" s="38" t="s">
        <v>440</v>
      </c>
      <c r="M29" s="41" t="s">
        <v>37</v>
      </c>
      <c r="N29" s="38" t="s">
        <v>1733</v>
      </c>
      <c r="O29" s="38" t="s">
        <v>1735</v>
      </c>
      <c r="P29" s="42" t="s">
        <v>1736</v>
      </c>
      <c r="Q29" s="42" t="s">
        <v>1737</v>
      </c>
      <c r="R29" s="38" t="s">
        <v>1738</v>
      </c>
      <c r="S29" s="38" t="s">
        <v>42</v>
      </c>
      <c r="T29" s="38"/>
      <c r="U29" s="38"/>
      <c r="V29" s="38"/>
      <c r="W29" s="42" t="s">
        <v>1739</v>
      </c>
      <c r="X29" s="42" t="s">
        <v>1735</v>
      </c>
      <c r="Y29" s="38" t="s">
        <v>45</v>
      </c>
      <c r="Z29" s="38" t="s">
        <v>46</v>
      </c>
      <c r="AA29" s="38" t="s">
        <v>1740</v>
      </c>
      <c r="AB29" s="38" t="s">
        <v>1741</v>
      </c>
      <c r="AC29" s="38" t="str">
        <f>SUBSTITUTE(Table610119[[#This Row],[field name]],"field: ","")</f>
        <v>"IDCHD1"</v>
      </c>
      <c r="AD29" s="38" t="str">
        <f>SUBSTITUTE((CLEAN(TRIM(Table610119[[#This Row],[field id]]))&amp;": "&amp;CHAR(34)&amp;Table610119[[#This Row],[&lt;&lt;NOLA_Exchange&gt;&gt;
Booking]]&amp;CHAR(34)&amp;CHAR(44)),"/nola:BookingExchange","")</f>
        <v>"IDCHD1": "/j:Booking/j:Arrest/j:ArrestCharge[1]/j:ChargeCategoryDescriptionText",</v>
      </c>
      <c r="AE29" s="32" t="str">
        <f>_xlfn.XLOOKUP(Table610119[[#This Row],[&lt;&lt;NOLA_Exchange&gt;&gt;
Booking]],Table26[XPATHS],Table26['#],"DNE")</f>
        <v>217book_xpath</v>
      </c>
      <c r="AF29" s="32" t="str">
        <f>CLEAN(TRIM(SUBSTITUTE(Table610119[[#This Row],[field id]],CHAR(34),"")))</f>
        <v>IDCHD1</v>
      </c>
    </row>
    <row r="30" spans="1:32" ht="30" customHeight="1" x14ac:dyDescent="0.3">
      <c r="A30" s="28" t="str">
        <f t="shared" si="0"/>
        <v>29expanded_IMARRD_sorted</v>
      </c>
      <c r="B30" s="28">
        <f t="shared" si="1"/>
        <v>5</v>
      </c>
      <c r="C30" s="28">
        <f t="shared" si="2"/>
        <v>17</v>
      </c>
      <c r="D30" s="28">
        <f t="shared" si="3"/>
        <v>19</v>
      </c>
      <c r="E30" s="28" t="s">
        <v>32</v>
      </c>
      <c r="F30" s="38" t="s">
        <v>8</v>
      </c>
      <c r="G30" s="38">
        <v>82</v>
      </c>
      <c r="H30" s="39" t="s">
        <v>477</v>
      </c>
      <c r="I30" s="40" t="s">
        <v>1733</v>
      </c>
      <c r="J30" s="38" t="s">
        <v>34</v>
      </c>
      <c r="K30" s="38" t="s">
        <v>1734</v>
      </c>
      <c r="L30" s="38" t="s">
        <v>440</v>
      </c>
      <c r="M30" s="41" t="s">
        <v>52</v>
      </c>
      <c r="N30" s="38" t="s">
        <v>1733</v>
      </c>
      <c r="O30" s="38" t="s">
        <v>1747</v>
      </c>
      <c r="P30" s="42" t="s">
        <v>1748</v>
      </c>
      <c r="Q30" s="42" t="s">
        <v>1737</v>
      </c>
      <c r="R30" s="38" t="s">
        <v>1738</v>
      </c>
      <c r="S30" s="38" t="s">
        <v>42</v>
      </c>
      <c r="T30" s="38"/>
      <c r="U30" s="38"/>
      <c r="V30" s="38"/>
      <c r="W30" s="42" t="s">
        <v>1742</v>
      </c>
      <c r="X30" s="42" t="s">
        <v>1747</v>
      </c>
      <c r="Y30" s="38" t="s">
        <v>45</v>
      </c>
      <c r="Z30" s="38" t="s">
        <v>46</v>
      </c>
      <c r="AA30" s="38" t="s">
        <v>1740</v>
      </c>
      <c r="AB30" s="38" t="s">
        <v>1749</v>
      </c>
      <c r="AC30" s="38" t="str">
        <f>SUBSTITUTE(Table610119[[#This Row],[field name]],"field: ","")</f>
        <v>"IDCHD2"</v>
      </c>
      <c r="AD30" s="38" t="str">
        <f>SUBSTITUTE((CLEAN(TRIM(Table610119[[#This Row],[field id]]))&amp;": "&amp;CHAR(34)&amp;Table610119[[#This Row],[&lt;&lt;NOLA_Exchange&gt;&gt;
Booking]]&amp;CHAR(34)&amp;CHAR(44)),"/nola:BookingExchange","")</f>
        <v>"IDCHD2": "/j:Booking/j:Arrest/j:ArrestCharge[2]/j:ChargeCategoryDescriptionText",</v>
      </c>
      <c r="AE30" s="32" t="str">
        <f>_xlfn.XLOOKUP(Table610119[[#This Row],[&lt;&lt;NOLA_Exchange&gt;&gt;
Booking]],Table26[XPATHS],Table26['#],"DNE")</f>
        <v>243book_xpath</v>
      </c>
      <c r="AF30" s="32" t="str">
        <f>CLEAN(TRIM(SUBSTITUTE(Table610119[[#This Row],[field id]],CHAR(34),"")))</f>
        <v>IDCHD2</v>
      </c>
    </row>
    <row r="31" spans="1:32" ht="30" customHeight="1" x14ac:dyDescent="0.3">
      <c r="A31" s="28" t="str">
        <f t="shared" si="0"/>
        <v>30expanded_IMARRD_sorted</v>
      </c>
      <c r="B31" s="28">
        <f t="shared" si="1"/>
        <v>5</v>
      </c>
      <c r="C31" s="28">
        <f t="shared" si="2"/>
        <v>17</v>
      </c>
      <c r="D31" s="28">
        <f t="shared" si="3"/>
        <v>20</v>
      </c>
      <c r="E31" s="28" t="s">
        <v>32</v>
      </c>
      <c r="F31" s="38" t="s">
        <v>8</v>
      </c>
      <c r="G31" s="38">
        <v>82</v>
      </c>
      <c r="H31" s="39" t="s">
        <v>477</v>
      </c>
      <c r="I31" s="40" t="s">
        <v>1733</v>
      </c>
      <c r="J31" s="38" t="s">
        <v>34</v>
      </c>
      <c r="K31" s="38" t="s">
        <v>1734</v>
      </c>
      <c r="L31" s="38" t="s">
        <v>440</v>
      </c>
      <c r="M31" s="41" t="s">
        <v>57</v>
      </c>
      <c r="N31" s="38" t="s">
        <v>1733</v>
      </c>
      <c r="O31" s="38" t="s">
        <v>1750</v>
      </c>
      <c r="P31" s="42" t="s">
        <v>1751</v>
      </c>
      <c r="Q31" s="42" t="s">
        <v>1737</v>
      </c>
      <c r="R31" s="38" t="s">
        <v>1738</v>
      </c>
      <c r="S31" s="38" t="s">
        <v>42</v>
      </c>
      <c r="T31" s="38"/>
      <c r="U31" s="38"/>
      <c r="V31" s="38"/>
      <c r="W31" s="42" t="s">
        <v>1743</v>
      </c>
      <c r="X31" s="42" t="s">
        <v>1750</v>
      </c>
      <c r="Y31" s="38" t="s">
        <v>45</v>
      </c>
      <c r="Z31" s="38" t="s">
        <v>46</v>
      </c>
      <c r="AA31" s="38" t="s">
        <v>1740</v>
      </c>
      <c r="AB31" s="38" t="s">
        <v>1752</v>
      </c>
      <c r="AC31" s="38" t="str">
        <f>SUBSTITUTE(Table610119[[#This Row],[field name]],"field: ","")</f>
        <v>"IDCHD3"</v>
      </c>
      <c r="AD31" s="38" t="str">
        <f>SUBSTITUTE((CLEAN(TRIM(Table610119[[#This Row],[field id]]))&amp;": "&amp;CHAR(34)&amp;Table610119[[#This Row],[&lt;&lt;NOLA_Exchange&gt;&gt;
Booking]]&amp;CHAR(34)&amp;CHAR(44)),"/nola:BookingExchange","")</f>
        <v>"IDCHD3": "/j:Booking/j:Arrest/j:ArrestCharge[3]/j:ChargeCategoryDescriptionText",</v>
      </c>
      <c r="AE31" s="32" t="str">
        <f>_xlfn.XLOOKUP(Table610119[[#This Row],[&lt;&lt;NOLA_Exchange&gt;&gt;
Booking]],Table26[XPATHS],Table26['#],"DNE")</f>
        <v>259book_xpath</v>
      </c>
      <c r="AF31" s="32" t="str">
        <f>CLEAN(TRIM(SUBSTITUTE(Table610119[[#This Row],[field id]],CHAR(34),"")))</f>
        <v>IDCHD3</v>
      </c>
    </row>
    <row r="32" spans="1:32" ht="30" customHeight="1" x14ac:dyDescent="0.3">
      <c r="A32" s="28" t="str">
        <f t="shared" si="0"/>
        <v>31expanded_IMARRD_sorted</v>
      </c>
      <c r="B32" s="28">
        <f t="shared" si="1"/>
        <v>5</v>
      </c>
      <c r="C32" s="28">
        <f t="shared" si="2"/>
        <v>17</v>
      </c>
      <c r="D32" s="28">
        <f t="shared" si="3"/>
        <v>21</v>
      </c>
      <c r="E32" s="28" t="s">
        <v>32</v>
      </c>
      <c r="F32" s="38" t="s">
        <v>8</v>
      </c>
      <c r="G32" s="38">
        <v>82</v>
      </c>
      <c r="H32" s="39" t="s">
        <v>477</v>
      </c>
      <c r="I32" s="40" t="s">
        <v>1733</v>
      </c>
      <c r="J32" s="38" t="s">
        <v>34</v>
      </c>
      <c r="K32" s="38" t="s">
        <v>1734</v>
      </c>
      <c r="L32" s="38" t="s">
        <v>440</v>
      </c>
      <c r="M32" s="41" t="s">
        <v>49</v>
      </c>
      <c r="N32" s="38" t="s">
        <v>1733</v>
      </c>
      <c r="O32" s="38" t="s">
        <v>1753</v>
      </c>
      <c r="P32" s="42" t="s">
        <v>1754</v>
      </c>
      <c r="Q32" s="42" t="s">
        <v>1737</v>
      </c>
      <c r="R32" s="38" t="s">
        <v>1738</v>
      </c>
      <c r="S32" s="38" t="s">
        <v>42</v>
      </c>
      <c r="T32" s="38"/>
      <c r="U32" s="38"/>
      <c r="V32" s="38"/>
      <c r="W32" s="42" t="s">
        <v>1744</v>
      </c>
      <c r="X32" s="42" t="s">
        <v>1753</v>
      </c>
      <c r="Y32" s="38" t="s">
        <v>45</v>
      </c>
      <c r="Z32" s="38" t="s">
        <v>46</v>
      </c>
      <c r="AA32" s="38" t="s">
        <v>1740</v>
      </c>
      <c r="AB32" s="38" t="s">
        <v>1755</v>
      </c>
      <c r="AC32" s="38" t="str">
        <f>SUBSTITUTE(Table610119[[#This Row],[field name]],"field: ","")</f>
        <v>"IDCHD4"</v>
      </c>
      <c r="AD32" s="38" t="str">
        <f>SUBSTITUTE((CLEAN(TRIM(Table610119[[#This Row],[field id]]))&amp;": "&amp;CHAR(34)&amp;Table610119[[#This Row],[&lt;&lt;NOLA_Exchange&gt;&gt;
Booking]]&amp;CHAR(34)&amp;CHAR(44)),"/nola:BookingExchange","")</f>
        <v>"IDCHD4": "/j:Booking/j:Arrest/j:ArrestCharge[4]/j:ChargeCategoryDescriptionText",</v>
      </c>
      <c r="AE32" s="32" t="str">
        <f>_xlfn.XLOOKUP(Table610119[[#This Row],[&lt;&lt;NOLA_Exchange&gt;&gt;
Booking]],Table26[XPATHS],Table26['#],"DNE")</f>
        <v>275book_xpath</v>
      </c>
      <c r="AF32" s="32" t="str">
        <f>CLEAN(TRIM(SUBSTITUTE(Table610119[[#This Row],[field id]],CHAR(34),"")))</f>
        <v>IDCHD4</v>
      </c>
    </row>
    <row r="33" spans="1:32" ht="30" customHeight="1" x14ac:dyDescent="0.3">
      <c r="A33" s="28" t="str">
        <f t="shared" si="0"/>
        <v>32expanded_IMARRD_sorted</v>
      </c>
      <c r="B33" s="28">
        <f t="shared" si="1"/>
        <v>5</v>
      </c>
      <c r="C33" s="28">
        <f t="shared" si="2"/>
        <v>17</v>
      </c>
      <c r="D33" s="28">
        <f t="shared" si="3"/>
        <v>22</v>
      </c>
      <c r="E33" s="28" t="s">
        <v>32</v>
      </c>
      <c r="F33" s="38" t="s">
        <v>8</v>
      </c>
      <c r="G33" s="38">
        <v>82</v>
      </c>
      <c r="H33" s="39" t="s">
        <v>477</v>
      </c>
      <c r="I33" s="40" t="s">
        <v>1733</v>
      </c>
      <c r="J33" s="38" t="s">
        <v>34</v>
      </c>
      <c r="K33" s="38" t="s">
        <v>1734</v>
      </c>
      <c r="L33" s="38" t="s">
        <v>440</v>
      </c>
      <c r="M33" s="41" t="s">
        <v>87</v>
      </c>
      <c r="N33" s="38" t="s">
        <v>1733</v>
      </c>
      <c r="O33" s="38" t="s">
        <v>1756</v>
      </c>
      <c r="P33" s="42" t="s">
        <v>1757</v>
      </c>
      <c r="Q33" s="42" t="s">
        <v>1737</v>
      </c>
      <c r="R33" s="38" t="s">
        <v>1738</v>
      </c>
      <c r="S33" s="38" t="s">
        <v>42</v>
      </c>
      <c r="T33" s="38"/>
      <c r="U33" s="38"/>
      <c r="V33" s="38"/>
      <c r="W33" s="42" t="s">
        <v>1745</v>
      </c>
      <c r="X33" s="42" t="s">
        <v>1756</v>
      </c>
      <c r="Y33" s="38" t="s">
        <v>45</v>
      </c>
      <c r="Z33" s="38" t="s">
        <v>46</v>
      </c>
      <c r="AA33" s="38" t="s">
        <v>1740</v>
      </c>
      <c r="AB33" s="38" t="s">
        <v>1758</v>
      </c>
      <c r="AC33" s="38" t="str">
        <f>SUBSTITUTE(Table610119[[#This Row],[field name]],"field: ","")</f>
        <v>"IDCHD5"</v>
      </c>
      <c r="AD33" s="38" t="str">
        <f>SUBSTITUTE((CLEAN(TRIM(Table610119[[#This Row],[field id]]))&amp;": "&amp;CHAR(34)&amp;Table610119[[#This Row],[&lt;&lt;NOLA_Exchange&gt;&gt;
Booking]]&amp;CHAR(34)&amp;CHAR(44)),"/nola:BookingExchange","")</f>
        <v>"IDCHD5": "/j:Booking/j:Arrest/j:ArrestCharge[5]/j:ChargeCategoryDescriptionText",</v>
      </c>
      <c r="AE33" s="32" t="str">
        <f>_xlfn.XLOOKUP(Table610119[[#This Row],[&lt;&lt;NOLA_Exchange&gt;&gt;
Booking]],Table26[XPATHS],Table26['#],"DNE")</f>
        <v>291book_xpath</v>
      </c>
      <c r="AF33" s="32" t="str">
        <f>CLEAN(TRIM(SUBSTITUTE(Table610119[[#This Row],[field id]],CHAR(34),"")))</f>
        <v>IDCHD5</v>
      </c>
    </row>
    <row r="34" spans="1:32" ht="30" customHeight="1" x14ac:dyDescent="0.3">
      <c r="A34" s="28" t="str">
        <f t="shared" si="0"/>
        <v>33expanded_IMARRD_sorted</v>
      </c>
      <c r="B34" s="28">
        <f t="shared" si="1"/>
        <v>5</v>
      </c>
      <c r="C34" s="28">
        <f t="shared" si="2"/>
        <v>17</v>
      </c>
      <c r="D34" s="28">
        <f t="shared" si="3"/>
        <v>23</v>
      </c>
      <c r="E34" s="28" t="s">
        <v>32</v>
      </c>
      <c r="F34" s="38" t="s">
        <v>8</v>
      </c>
      <c r="G34" s="38">
        <v>82</v>
      </c>
      <c r="H34" s="39" t="s">
        <v>477</v>
      </c>
      <c r="I34" s="40" t="s">
        <v>1733</v>
      </c>
      <c r="J34" s="38" t="s">
        <v>34</v>
      </c>
      <c r="K34" s="38" t="s">
        <v>1734</v>
      </c>
      <c r="L34" s="38" t="s">
        <v>440</v>
      </c>
      <c r="M34" s="41" t="s">
        <v>421</v>
      </c>
      <c r="N34" s="38" t="s">
        <v>1733</v>
      </c>
      <c r="O34" s="38" t="s">
        <v>1759</v>
      </c>
      <c r="P34" s="42" t="s">
        <v>1760</v>
      </c>
      <c r="Q34" s="42" t="s">
        <v>1737</v>
      </c>
      <c r="R34" s="38" t="s">
        <v>1738</v>
      </c>
      <c r="S34" s="38" t="s">
        <v>42</v>
      </c>
      <c r="T34" s="38"/>
      <c r="U34" s="38"/>
      <c r="V34" s="38"/>
      <c r="W34" s="42" t="s">
        <v>1746</v>
      </c>
      <c r="X34" s="42" t="s">
        <v>1759</v>
      </c>
      <c r="Y34" s="38" t="s">
        <v>45</v>
      </c>
      <c r="Z34" s="38" t="s">
        <v>46</v>
      </c>
      <c r="AA34" s="38" t="s">
        <v>1740</v>
      </c>
      <c r="AB34" s="38" t="s">
        <v>1761</v>
      </c>
      <c r="AC34" s="38" t="str">
        <f>SUBSTITUTE(Table610119[[#This Row],[field name]],"field: ","")</f>
        <v>"IDCHD6"</v>
      </c>
      <c r="AD34" s="38" t="str">
        <f>SUBSTITUTE((CLEAN(TRIM(Table610119[[#This Row],[field id]]))&amp;": "&amp;CHAR(34)&amp;Table610119[[#This Row],[&lt;&lt;NOLA_Exchange&gt;&gt;
Booking]]&amp;CHAR(34)&amp;CHAR(44)),"/nola:BookingExchange","")</f>
        <v>"IDCHD6": "/j:Booking/j:Arrest/j:ArrestCharge[6]/j:ChargeCategoryDescriptionText",</v>
      </c>
      <c r="AE34" s="32" t="str">
        <f>_xlfn.XLOOKUP(Table610119[[#This Row],[&lt;&lt;NOLA_Exchange&gt;&gt;
Booking]],Table26[XPATHS],Table26['#],"DNE")</f>
        <v>307book_xpath</v>
      </c>
      <c r="AF34" s="32" t="str">
        <f>CLEAN(TRIM(SUBSTITUTE(Table610119[[#This Row],[field id]],CHAR(34),"")))</f>
        <v>IDCHD6</v>
      </c>
    </row>
    <row r="35" spans="1:32" ht="30" customHeight="1" x14ac:dyDescent="0.3">
      <c r="A35" s="28" t="str">
        <f t="shared" si="0"/>
        <v>34expanded_IMARRD_sorted</v>
      </c>
      <c r="B35" s="28">
        <f t="shared" si="1"/>
        <v>5</v>
      </c>
      <c r="C35" s="28">
        <f t="shared" si="2"/>
        <v>18</v>
      </c>
      <c r="D35" s="28">
        <f t="shared" si="3"/>
        <v>24</v>
      </c>
      <c r="E35" s="28" t="s">
        <v>32</v>
      </c>
      <c r="F35" s="38" t="s">
        <v>8</v>
      </c>
      <c r="G35" s="38">
        <v>84</v>
      </c>
      <c r="H35" s="39" t="s">
        <v>477</v>
      </c>
      <c r="I35" s="40" t="s">
        <v>478</v>
      </c>
      <c r="J35" s="38" t="s">
        <v>34</v>
      </c>
      <c r="K35" s="38" t="s">
        <v>479</v>
      </c>
      <c r="L35" s="38" t="s">
        <v>36</v>
      </c>
      <c r="M35" s="41" t="s">
        <v>37</v>
      </c>
      <c r="N35" s="38" t="s">
        <v>478</v>
      </c>
      <c r="O35" s="38" t="s">
        <v>480</v>
      </c>
      <c r="P35" s="42" t="s">
        <v>481</v>
      </c>
      <c r="Q35" s="42" t="s">
        <v>482</v>
      </c>
      <c r="R35" s="38" t="s">
        <v>483</v>
      </c>
      <c r="S35" s="38" t="s">
        <v>159</v>
      </c>
      <c r="T35" s="38"/>
      <c r="U35" s="38"/>
      <c r="V35" s="38"/>
      <c r="W35" s="42" t="s">
        <v>1815</v>
      </c>
      <c r="X35" s="42" t="s">
        <v>480</v>
      </c>
      <c r="Y35" s="38" t="s">
        <v>45</v>
      </c>
      <c r="Z35" s="38" t="s">
        <v>46</v>
      </c>
      <c r="AA35" s="38" t="s">
        <v>486</v>
      </c>
      <c r="AB35" s="38" t="s">
        <v>487</v>
      </c>
      <c r="AC35" s="38" t="str">
        <f>SUBSTITUTE(Table610119[[#This Row],[field name]],"field: ","")</f>
        <v>"IDCHK1"</v>
      </c>
      <c r="AD35" s="38" t="str">
        <f>SUBSTITUTE((CLEAN(TRIM(Table610119[[#This Row],[field id]]))&amp;": "&amp;CHAR(34)&amp;Table610119[[#This Row],[&lt;&lt;NOLA_Exchange&gt;&gt;
Booking]]&amp;CHAR(34)&amp;CHAR(44)),"/nola:BookingExchange","")</f>
        <v>"IDCHK1": "/j:Booking/j:Arrest/j:ArrestCharge[1]/nola-ext:ChargeAugmentation/nola-ext:ChargeKey",</v>
      </c>
      <c r="AE35" s="32" t="str">
        <f>_xlfn.XLOOKUP(Table610119[[#This Row],[&lt;&lt;NOLA_Exchange&gt;&gt;
Booking]],Table26[XPATHS],Table26['#],"DNE")</f>
        <v>234book_xpath</v>
      </c>
      <c r="AF35" s="32" t="str">
        <f>CLEAN(TRIM(SUBSTITUTE(Table610119[[#This Row],[field id]],CHAR(34),"")))</f>
        <v>IDCHK1</v>
      </c>
    </row>
    <row r="36" spans="1:32" ht="30" customHeight="1" x14ac:dyDescent="0.3">
      <c r="A36" s="28" t="str">
        <f t="shared" si="0"/>
        <v>35expanded_IMARRD_sorted</v>
      </c>
      <c r="B36" s="28">
        <f t="shared" si="1"/>
        <v>5</v>
      </c>
      <c r="C36" s="28">
        <f t="shared" si="2"/>
        <v>18</v>
      </c>
      <c r="D36" s="28">
        <f t="shared" si="3"/>
        <v>25</v>
      </c>
      <c r="E36" s="28" t="s">
        <v>32</v>
      </c>
      <c r="F36" s="38" t="s">
        <v>8</v>
      </c>
      <c r="G36" s="38">
        <v>84</v>
      </c>
      <c r="H36" s="39" t="s">
        <v>477</v>
      </c>
      <c r="I36" s="40" t="s">
        <v>478</v>
      </c>
      <c r="J36" s="38" t="s">
        <v>34</v>
      </c>
      <c r="K36" s="38" t="s">
        <v>479</v>
      </c>
      <c r="L36" s="38" t="s">
        <v>36</v>
      </c>
      <c r="M36" s="41" t="s">
        <v>52</v>
      </c>
      <c r="N36" s="38" t="s">
        <v>478</v>
      </c>
      <c r="O36" s="38" t="s">
        <v>488</v>
      </c>
      <c r="P36" s="42" t="s">
        <v>489</v>
      </c>
      <c r="Q36" s="42" t="s">
        <v>482</v>
      </c>
      <c r="R36" s="38" t="s">
        <v>483</v>
      </c>
      <c r="S36" s="38" t="s">
        <v>159</v>
      </c>
      <c r="T36" s="38"/>
      <c r="U36" s="38"/>
      <c r="V36" s="38"/>
      <c r="W36" s="42" t="s">
        <v>1816</v>
      </c>
      <c r="X36" s="42" t="s">
        <v>488</v>
      </c>
      <c r="Y36" s="38" t="s">
        <v>45</v>
      </c>
      <c r="Z36" s="38" t="s">
        <v>46</v>
      </c>
      <c r="AA36" s="38" t="s">
        <v>486</v>
      </c>
      <c r="AB36" s="38" t="s">
        <v>490</v>
      </c>
      <c r="AC36" s="38" t="str">
        <f>SUBSTITUTE(Table610119[[#This Row],[field name]],"field: ","")</f>
        <v>"IDCHK2"</v>
      </c>
      <c r="AD36" s="38" t="str">
        <f>SUBSTITUTE((CLEAN(TRIM(Table610119[[#This Row],[field id]]))&amp;": "&amp;CHAR(34)&amp;Table610119[[#This Row],[&lt;&lt;NOLA_Exchange&gt;&gt;
Booking]]&amp;CHAR(34)&amp;CHAR(44)),"/nola:BookingExchange","")</f>
        <v>"IDCHK2": "/j:Booking/j:Arrest/j:ArrestCharge[2]/nola-ext:ChargeAugmentation/nola-ext:ChargeKey",</v>
      </c>
      <c r="AE36" s="32" t="str">
        <f>_xlfn.XLOOKUP(Table610119[[#This Row],[&lt;&lt;NOLA_Exchange&gt;&gt;
Booking]],Table26[XPATHS],Table26['#],"DNE")</f>
        <v>254book_xpath</v>
      </c>
      <c r="AF36" s="32" t="str">
        <f>CLEAN(TRIM(SUBSTITUTE(Table610119[[#This Row],[field id]],CHAR(34),"")))</f>
        <v>IDCHK2</v>
      </c>
    </row>
    <row r="37" spans="1:32" ht="30" customHeight="1" x14ac:dyDescent="0.3">
      <c r="A37" s="28" t="str">
        <f t="shared" si="0"/>
        <v>36expanded_IMARRD_sorted</v>
      </c>
      <c r="B37" s="28">
        <f t="shared" si="1"/>
        <v>5</v>
      </c>
      <c r="C37" s="28">
        <f t="shared" si="2"/>
        <v>18</v>
      </c>
      <c r="D37" s="28">
        <f t="shared" si="3"/>
        <v>26</v>
      </c>
      <c r="E37" s="28" t="s">
        <v>32</v>
      </c>
      <c r="F37" s="38" t="s">
        <v>8</v>
      </c>
      <c r="G37" s="38">
        <v>84</v>
      </c>
      <c r="H37" s="39" t="s">
        <v>477</v>
      </c>
      <c r="I37" s="40" t="s">
        <v>478</v>
      </c>
      <c r="J37" s="38" t="s">
        <v>34</v>
      </c>
      <c r="K37" s="38" t="s">
        <v>479</v>
      </c>
      <c r="L37" s="38" t="s">
        <v>36</v>
      </c>
      <c r="M37" s="41" t="s">
        <v>57</v>
      </c>
      <c r="N37" s="38" t="s">
        <v>478</v>
      </c>
      <c r="O37" s="38" t="s">
        <v>491</v>
      </c>
      <c r="P37" s="42" t="s">
        <v>492</v>
      </c>
      <c r="Q37" s="42" t="s">
        <v>482</v>
      </c>
      <c r="R37" s="38" t="s">
        <v>483</v>
      </c>
      <c r="S37" s="38" t="s">
        <v>159</v>
      </c>
      <c r="T37" s="38"/>
      <c r="U37" s="38"/>
      <c r="V37" s="38"/>
      <c r="W37" s="42" t="s">
        <v>1817</v>
      </c>
      <c r="X37" s="42" t="s">
        <v>491</v>
      </c>
      <c r="Y37" s="38" t="s">
        <v>45</v>
      </c>
      <c r="Z37" s="38" t="s">
        <v>46</v>
      </c>
      <c r="AA37" s="38" t="s">
        <v>486</v>
      </c>
      <c r="AB37" s="38" t="s">
        <v>493</v>
      </c>
      <c r="AC37" s="38" t="str">
        <f>SUBSTITUTE(Table610119[[#This Row],[field name]],"field: ","")</f>
        <v>"IDCHK3"</v>
      </c>
      <c r="AD37" s="38" t="str">
        <f>SUBSTITUTE((CLEAN(TRIM(Table610119[[#This Row],[field id]]))&amp;": "&amp;CHAR(34)&amp;Table610119[[#This Row],[&lt;&lt;NOLA_Exchange&gt;&gt;
Booking]]&amp;CHAR(34)&amp;CHAR(44)),"/nola:BookingExchange","")</f>
        <v>"IDCHK3": "/j:Booking/j:Arrest/j:ArrestCharge[3]/nola-ext:ChargeAugmentation/nola-ext:ChargeKey",</v>
      </c>
      <c r="AE37" s="32" t="str">
        <f>_xlfn.XLOOKUP(Table610119[[#This Row],[&lt;&lt;NOLA_Exchange&gt;&gt;
Booking]],Table26[XPATHS],Table26['#],"DNE")</f>
        <v>270book_xpath</v>
      </c>
      <c r="AF37" s="32" t="str">
        <f>CLEAN(TRIM(SUBSTITUTE(Table610119[[#This Row],[field id]],CHAR(34),"")))</f>
        <v>IDCHK3</v>
      </c>
    </row>
    <row r="38" spans="1:32" ht="30" customHeight="1" x14ac:dyDescent="0.3">
      <c r="A38" s="28" t="str">
        <f t="shared" si="0"/>
        <v>37expanded_IMARRD_sorted</v>
      </c>
      <c r="B38" s="28">
        <f t="shared" si="1"/>
        <v>5</v>
      </c>
      <c r="C38" s="28">
        <f t="shared" si="2"/>
        <v>18</v>
      </c>
      <c r="D38" s="28">
        <f t="shared" si="3"/>
        <v>27</v>
      </c>
      <c r="E38" s="28" t="s">
        <v>32</v>
      </c>
      <c r="F38" s="38" t="s">
        <v>8</v>
      </c>
      <c r="G38" s="38">
        <v>84</v>
      </c>
      <c r="H38" s="39" t="s">
        <v>477</v>
      </c>
      <c r="I38" s="40" t="s">
        <v>478</v>
      </c>
      <c r="J38" s="38" t="s">
        <v>34</v>
      </c>
      <c r="K38" s="38" t="s">
        <v>479</v>
      </c>
      <c r="L38" s="38" t="s">
        <v>36</v>
      </c>
      <c r="M38" s="41" t="s">
        <v>49</v>
      </c>
      <c r="N38" s="38" t="s">
        <v>478</v>
      </c>
      <c r="O38" s="38" t="s">
        <v>494</v>
      </c>
      <c r="P38" s="42" t="s">
        <v>495</v>
      </c>
      <c r="Q38" s="42" t="s">
        <v>482</v>
      </c>
      <c r="R38" s="38" t="s">
        <v>483</v>
      </c>
      <c r="S38" s="38" t="s">
        <v>159</v>
      </c>
      <c r="T38" s="38"/>
      <c r="U38" s="38"/>
      <c r="V38" s="38"/>
      <c r="W38" s="42" t="s">
        <v>1818</v>
      </c>
      <c r="X38" s="42" t="s">
        <v>494</v>
      </c>
      <c r="Y38" s="38" t="s">
        <v>45</v>
      </c>
      <c r="Z38" s="38" t="s">
        <v>46</v>
      </c>
      <c r="AA38" s="38" t="s">
        <v>486</v>
      </c>
      <c r="AB38" s="38" t="s">
        <v>496</v>
      </c>
      <c r="AC38" s="38" t="str">
        <f>SUBSTITUTE(Table610119[[#This Row],[field name]],"field: ","")</f>
        <v>"IDCHK4"</v>
      </c>
      <c r="AD38" s="38" t="str">
        <f>SUBSTITUTE((CLEAN(TRIM(Table610119[[#This Row],[field id]]))&amp;": "&amp;CHAR(34)&amp;Table610119[[#This Row],[&lt;&lt;NOLA_Exchange&gt;&gt;
Booking]]&amp;CHAR(34)&amp;CHAR(44)),"/nola:BookingExchange","")</f>
        <v>"IDCHK4": "/j:Booking/j:Arrest/j:ArrestCharge[4]/nola-ext:ChargeAugmentation/nola-ext:ChargeKey",</v>
      </c>
      <c r="AE38" s="32" t="str">
        <f>_xlfn.XLOOKUP(Table610119[[#This Row],[&lt;&lt;NOLA_Exchange&gt;&gt;
Booking]],Table26[XPATHS],Table26['#],"DNE")</f>
        <v>286book_xpath</v>
      </c>
      <c r="AF38" s="32" t="str">
        <f>CLEAN(TRIM(SUBSTITUTE(Table610119[[#This Row],[field id]],CHAR(34),"")))</f>
        <v>IDCHK4</v>
      </c>
    </row>
    <row r="39" spans="1:32" ht="30" customHeight="1" x14ac:dyDescent="0.3">
      <c r="A39" s="28" t="str">
        <f t="shared" si="0"/>
        <v>38expanded_IMARRD_sorted</v>
      </c>
      <c r="B39" s="28">
        <f t="shared" si="1"/>
        <v>5</v>
      </c>
      <c r="C39" s="28">
        <f t="shared" si="2"/>
        <v>18</v>
      </c>
      <c r="D39" s="28">
        <f t="shared" si="3"/>
        <v>28</v>
      </c>
      <c r="E39" s="28" t="s">
        <v>32</v>
      </c>
      <c r="F39" s="38" t="s">
        <v>8</v>
      </c>
      <c r="G39" s="38">
        <v>84</v>
      </c>
      <c r="H39" s="39" t="s">
        <v>477</v>
      </c>
      <c r="I39" s="40" t="s">
        <v>478</v>
      </c>
      <c r="J39" s="38" t="s">
        <v>34</v>
      </c>
      <c r="K39" s="38" t="s">
        <v>479</v>
      </c>
      <c r="L39" s="38" t="s">
        <v>36</v>
      </c>
      <c r="M39" s="41" t="s">
        <v>87</v>
      </c>
      <c r="N39" s="38" t="s">
        <v>478</v>
      </c>
      <c r="O39" s="38" t="s">
        <v>497</v>
      </c>
      <c r="P39" s="42" t="s">
        <v>498</v>
      </c>
      <c r="Q39" s="42" t="s">
        <v>482</v>
      </c>
      <c r="R39" s="38" t="s">
        <v>483</v>
      </c>
      <c r="S39" s="38" t="s">
        <v>159</v>
      </c>
      <c r="T39" s="38"/>
      <c r="U39" s="38"/>
      <c r="V39" s="38"/>
      <c r="W39" s="42" t="s">
        <v>1819</v>
      </c>
      <c r="X39" s="42" t="s">
        <v>497</v>
      </c>
      <c r="Y39" s="38" t="s">
        <v>45</v>
      </c>
      <c r="Z39" s="38" t="s">
        <v>46</v>
      </c>
      <c r="AA39" s="38" t="s">
        <v>486</v>
      </c>
      <c r="AB39" s="38" t="s">
        <v>499</v>
      </c>
      <c r="AC39" s="38" t="str">
        <f>SUBSTITUTE(Table610119[[#This Row],[field name]],"field: ","")</f>
        <v>"IDCHK5"</v>
      </c>
      <c r="AD39" s="38" t="str">
        <f>SUBSTITUTE((CLEAN(TRIM(Table610119[[#This Row],[field id]]))&amp;": "&amp;CHAR(34)&amp;Table610119[[#This Row],[&lt;&lt;NOLA_Exchange&gt;&gt;
Booking]]&amp;CHAR(34)&amp;CHAR(44)),"/nola:BookingExchange","")</f>
        <v>"IDCHK5": "/j:Booking/j:Arrest/j:ArrestCharge[5]/nola-ext:ChargeAugmentation/nola-ext:ChargeKey",</v>
      </c>
      <c r="AE39" s="32" t="str">
        <f>_xlfn.XLOOKUP(Table610119[[#This Row],[&lt;&lt;NOLA_Exchange&gt;&gt;
Booking]],Table26[XPATHS],Table26['#],"DNE")</f>
        <v>302book_xpath</v>
      </c>
      <c r="AF39" s="32" t="str">
        <f>CLEAN(TRIM(SUBSTITUTE(Table610119[[#This Row],[field id]],CHAR(34),"")))</f>
        <v>IDCHK5</v>
      </c>
    </row>
    <row r="40" spans="1:32" ht="30" customHeight="1" x14ac:dyDescent="0.3">
      <c r="A40" s="28" t="str">
        <f t="shared" si="0"/>
        <v>39expanded_IMARRD_sorted</v>
      </c>
      <c r="B40" s="28">
        <f t="shared" si="1"/>
        <v>5</v>
      </c>
      <c r="C40" s="28">
        <f t="shared" si="2"/>
        <v>18</v>
      </c>
      <c r="D40" s="28">
        <f t="shared" si="3"/>
        <v>29</v>
      </c>
      <c r="E40" s="28" t="s">
        <v>32</v>
      </c>
      <c r="F40" s="38" t="s">
        <v>8</v>
      </c>
      <c r="G40" s="38">
        <v>84</v>
      </c>
      <c r="H40" s="39" t="s">
        <v>477</v>
      </c>
      <c r="I40" s="40" t="s">
        <v>478</v>
      </c>
      <c r="J40" s="38" t="s">
        <v>34</v>
      </c>
      <c r="K40" s="38" t="s">
        <v>479</v>
      </c>
      <c r="L40" s="38" t="s">
        <v>36</v>
      </c>
      <c r="M40" s="41" t="s">
        <v>421</v>
      </c>
      <c r="N40" s="38" t="s">
        <v>478</v>
      </c>
      <c r="O40" s="38" t="s">
        <v>500</v>
      </c>
      <c r="P40" s="42" t="s">
        <v>501</v>
      </c>
      <c r="Q40" s="42" t="s">
        <v>482</v>
      </c>
      <c r="R40" s="38" t="s">
        <v>483</v>
      </c>
      <c r="S40" s="38" t="s">
        <v>159</v>
      </c>
      <c r="T40" s="38"/>
      <c r="U40" s="38"/>
      <c r="V40" s="38"/>
      <c r="W40" s="42" t="s">
        <v>1820</v>
      </c>
      <c r="X40" s="42" t="s">
        <v>500</v>
      </c>
      <c r="Y40" s="38" t="s">
        <v>45</v>
      </c>
      <c r="Z40" s="38" t="s">
        <v>46</v>
      </c>
      <c r="AA40" s="38" t="s">
        <v>486</v>
      </c>
      <c r="AB40" s="38" t="s">
        <v>502</v>
      </c>
      <c r="AC40" s="38" t="str">
        <f>SUBSTITUTE(Table610119[[#This Row],[field name]],"field: ","")</f>
        <v>"IDCHK6"</v>
      </c>
      <c r="AD40" s="38" t="str">
        <f>SUBSTITUTE((CLEAN(TRIM(Table610119[[#This Row],[field id]]))&amp;": "&amp;CHAR(34)&amp;Table610119[[#This Row],[&lt;&lt;NOLA_Exchange&gt;&gt;
Booking]]&amp;CHAR(34)&amp;CHAR(44)),"/nola:BookingExchange","")</f>
        <v>"IDCHK6": "/j:Booking/j:Arrest/j:ArrestCharge[6]/nola-ext:ChargeAugmentation/nola-ext:ChargeKey",</v>
      </c>
      <c r="AE40" s="32" t="str">
        <f>_xlfn.XLOOKUP(Table610119[[#This Row],[&lt;&lt;NOLA_Exchange&gt;&gt;
Booking]],Table26[XPATHS],Table26['#],"DNE")</f>
        <v>318book_xpath</v>
      </c>
      <c r="AF40" s="32" t="str">
        <f>CLEAN(TRIM(SUBSTITUTE(Table610119[[#This Row],[field id]],CHAR(34),"")))</f>
        <v>IDCHK6</v>
      </c>
    </row>
    <row r="41" spans="1:32" ht="30" customHeight="1" x14ac:dyDescent="0.3">
      <c r="A41" s="28" t="str">
        <f t="shared" si="0"/>
        <v>40expanded_IMARRD_sorted</v>
      </c>
      <c r="B41" s="28">
        <f t="shared" si="1"/>
        <v>5</v>
      </c>
      <c r="C41" s="28">
        <f t="shared" si="2"/>
        <v>19</v>
      </c>
      <c r="D41" s="28">
        <f t="shared" si="3"/>
        <v>30</v>
      </c>
      <c r="E41" s="28" t="s">
        <v>32</v>
      </c>
      <c r="F41" s="38" t="s">
        <v>8</v>
      </c>
      <c r="G41" s="38">
        <v>85</v>
      </c>
      <c r="H41" s="39" t="s">
        <v>477</v>
      </c>
      <c r="I41" s="40" t="s">
        <v>503</v>
      </c>
      <c r="J41" s="38" t="s">
        <v>34</v>
      </c>
      <c r="K41" s="38" t="s">
        <v>505</v>
      </c>
      <c r="L41" s="38" t="s">
        <v>440</v>
      </c>
      <c r="M41" s="41" t="s">
        <v>37</v>
      </c>
      <c r="N41" s="38" t="s">
        <v>503</v>
      </c>
      <c r="O41" s="38" t="s">
        <v>507</v>
      </c>
      <c r="P41" s="42" t="s">
        <v>508</v>
      </c>
      <c r="Q41" s="42" t="s">
        <v>509</v>
      </c>
      <c r="R41" s="38" t="s">
        <v>510</v>
      </c>
      <c r="S41" s="38" t="s">
        <v>159</v>
      </c>
      <c r="T41" s="38"/>
      <c r="U41" s="38"/>
      <c r="V41" s="38"/>
      <c r="W41" s="42" t="s">
        <v>1842</v>
      </c>
      <c r="X41" s="42" t="s">
        <v>507</v>
      </c>
      <c r="Y41" s="38" t="s">
        <v>45</v>
      </c>
      <c r="Z41" s="38" t="s">
        <v>46</v>
      </c>
      <c r="AA41" s="38" t="s">
        <v>513</v>
      </c>
      <c r="AB41" s="38" t="s">
        <v>514</v>
      </c>
      <c r="AC41" s="38" t="str">
        <f>SUBSTITUTE(Table610119[[#This Row],[field name]],"field: ","")</f>
        <v>"IDLBR1"</v>
      </c>
      <c r="AD41" s="38" t="str">
        <f>SUBSTITUTE((CLEAN(TRIM(Table610119[[#This Row],[field id]]))&amp;": "&amp;CHAR(34)&amp;Table610119[[#This Row],[&lt;&lt;NOLA_Exchange&gt;&gt;
Booking]]&amp;CHAR(34)&amp;CHAR(44)),"/nola:BookingExchange","")</f>
        <v>"IDLBR1": "/j:Booking/j:Arrest/j:ArrestCharge[1]/nola-ext:ChargeAugmentation/nola-ext:ChargeLIBRSCode",</v>
      </c>
      <c r="AE41" s="32" t="str">
        <f>_xlfn.XLOOKUP(Table610119[[#This Row],[&lt;&lt;NOLA_Exchange&gt;&gt;
Booking]],Table26[XPATHS],Table26['#],"DNE")</f>
        <v>233book_xpath</v>
      </c>
      <c r="AF41" s="32" t="str">
        <f>CLEAN(TRIM(SUBSTITUTE(Table610119[[#This Row],[field id]],CHAR(34),"")))</f>
        <v>IDLBR1</v>
      </c>
    </row>
    <row r="42" spans="1:32" ht="30" customHeight="1" x14ac:dyDescent="0.3">
      <c r="A42" s="28" t="str">
        <f t="shared" si="0"/>
        <v>41expanded_IMARRD_sorted</v>
      </c>
      <c r="B42" s="28">
        <f t="shared" si="1"/>
        <v>5</v>
      </c>
      <c r="C42" s="28">
        <f t="shared" si="2"/>
        <v>19</v>
      </c>
      <c r="D42" s="28">
        <f t="shared" si="3"/>
        <v>31</v>
      </c>
      <c r="E42" s="28" t="s">
        <v>32</v>
      </c>
      <c r="F42" s="38" t="s">
        <v>8</v>
      </c>
      <c r="G42" s="38">
        <v>85</v>
      </c>
      <c r="H42" s="39" t="s">
        <v>477</v>
      </c>
      <c r="I42" s="40" t="s">
        <v>503</v>
      </c>
      <c r="J42" s="38" t="s">
        <v>34</v>
      </c>
      <c r="K42" s="38" t="s">
        <v>505</v>
      </c>
      <c r="L42" s="38" t="s">
        <v>440</v>
      </c>
      <c r="M42" s="41" t="s">
        <v>52</v>
      </c>
      <c r="N42" s="38" t="s">
        <v>503</v>
      </c>
      <c r="O42" s="38" t="s">
        <v>515</v>
      </c>
      <c r="P42" s="42" t="s">
        <v>516</v>
      </c>
      <c r="Q42" s="42" t="s">
        <v>509</v>
      </c>
      <c r="R42" s="38" t="s">
        <v>510</v>
      </c>
      <c r="S42" s="38" t="s">
        <v>159</v>
      </c>
      <c r="T42" s="38"/>
      <c r="U42" s="38"/>
      <c r="V42" s="38"/>
      <c r="W42" s="42" t="s">
        <v>1843</v>
      </c>
      <c r="X42" s="42" t="s">
        <v>515</v>
      </c>
      <c r="Y42" s="38" t="s">
        <v>45</v>
      </c>
      <c r="Z42" s="38" t="s">
        <v>46</v>
      </c>
      <c r="AA42" s="38" t="s">
        <v>513</v>
      </c>
      <c r="AB42" s="38" t="s">
        <v>517</v>
      </c>
      <c r="AC42" s="38" t="str">
        <f>SUBSTITUTE(Table610119[[#This Row],[field name]],"field: ","")</f>
        <v>"IDLBR2"</v>
      </c>
      <c r="AD42" s="38" t="str">
        <f>SUBSTITUTE((CLEAN(TRIM(Table610119[[#This Row],[field id]]))&amp;": "&amp;CHAR(34)&amp;Table610119[[#This Row],[&lt;&lt;NOLA_Exchange&gt;&gt;
Booking]]&amp;CHAR(34)&amp;CHAR(44)),"/nola:BookingExchange","")</f>
        <v>"IDLBR2": "/j:Booking/j:Arrest/j:ArrestCharge[2]/nola-ext:ChargeAugmentation/nola-ext:ChargeLIBRSCode",</v>
      </c>
      <c r="AE42" s="32" t="str">
        <f>_xlfn.XLOOKUP(Table610119[[#This Row],[&lt;&lt;NOLA_Exchange&gt;&gt;
Booking]],Table26[XPATHS],Table26['#],"DNE")</f>
        <v>253book_xpath</v>
      </c>
      <c r="AF42" s="32" t="str">
        <f>CLEAN(TRIM(SUBSTITUTE(Table610119[[#This Row],[field id]],CHAR(34),"")))</f>
        <v>IDLBR2</v>
      </c>
    </row>
    <row r="43" spans="1:32" ht="30" customHeight="1" x14ac:dyDescent="0.3">
      <c r="A43" s="28" t="str">
        <f t="shared" si="0"/>
        <v>42expanded_IMARRD_sorted</v>
      </c>
      <c r="B43" s="28">
        <f t="shared" si="1"/>
        <v>5</v>
      </c>
      <c r="C43" s="28">
        <f t="shared" si="2"/>
        <v>19</v>
      </c>
      <c r="D43" s="28">
        <f t="shared" si="3"/>
        <v>32</v>
      </c>
      <c r="E43" s="28" t="s">
        <v>32</v>
      </c>
      <c r="F43" s="38" t="s">
        <v>8</v>
      </c>
      <c r="G43" s="38">
        <v>85</v>
      </c>
      <c r="H43" s="39" t="s">
        <v>477</v>
      </c>
      <c r="I43" s="40" t="s">
        <v>503</v>
      </c>
      <c r="J43" s="38" t="s">
        <v>34</v>
      </c>
      <c r="K43" s="38" t="s">
        <v>505</v>
      </c>
      <c r="L43" s="38" t="s">
        <v>440</v>
      </c>
      <c r="M43" s="41" t="s">
        <v>57</v>
      </c>
      <c r="N43" s="38" t="s">
        <v>503</v>
      </c>
      <c r="O43" s="38" t="s">
        <v>518</v>
      </c>
      <c r="P43" s="42" t="s">
        <v>519</v>
      </c>
      <c r="Q43" s="42" t="s">
        <v>509</v>
      </c>
      <c r="R43" s="38" t="s">
        <v>510</v>
      </c>
      <c r="S43" s="38" t="s">
        <v>159</v>
      </c>
      <c r="T43" s="38"/>
      <c r="U43" s="38"/>
      <c r="V43" s="38"/>
      <c r="W43" s="42" t="s">
        <v>1844</v>
      </c>
      <c r="X43" s="42" t="s">
        <v>518</v>
      </c>
      <c r="Y43" s="38" t="s">
        <v>45</v>
      </c>
      <c r="Z43" s="38" t="s">
        <v>46</v>
      </c>
      <c r="AA43" s="38" t="s">
        <v>513</v>
      </c>
      <c r="AB43" s="38" t="s">
        <v>520</v>
      </c>
      <c r="AC43" s="38" t="str">
        <f>SUBSTITUTE(Table610119[[#This Row],[field name]],"field: ","")</f>
        <v>"IDLBR3"</v>
      </c>
      <c r="AD43" s="38" t="str">
        <f>SUBSTITUTE((CLEAN(TRIM(Table610119[[#This Row],[field id]]))&amp;": "&amp;CHAR(34)&amp;Table610119[[#This Row],[&lt;&lt;NOLA_Exchange&gt;&gt;
Booking]]&amp;CHAR(34)&amp;CHAR(44)),"/nola:BookingExchange","")</f>
        <v>"IDLBR3": "/j:Booking/j:Arrest/j:ArrestCharge[3]/nola-ext:ChargeAugmentation/nola-ext:ChargeLIBRSCode",</v>
      </c>
      <c r="AE43" s="32" t="str">
        <f>_xlfn.XLOOKUP(Table610119[[#This Row],[&lt;&lt;NOLA_Exchange&gt;&gt;
Booking]],Table26[XPATHS],Table26['#],"DNE")</f>
        <v>269book_xpath</v>
      </c>
      <c r="AF43" s="32" t="str">
        <f>CLEAN(TRIM(SUBSTITUTE(Table610119[[#This Row],[field id]],CHAR(34),"")))</f>
        <v>IDLBR3</v>
      </c>
    </row>
    <row r="44" spans="1:32" ht="30" customHeight="1" x14ac:dyDescent="0.3">
      <c r="A44" s="28" t="str">
        <f t="shared" si="0"/>
        <v>43expanded_IMARRD_sorted</v>
      </c>
      <c r="B44" s="28">
        <f t="shared" si="1"/>
        <v>5</v>
      </c>
      <c r="C44" s="28">
        <f t="shared" si="2"/>
        <v>19</v>
      </c>
      <c r="D44" s="28">
        <f t="shared" si="3"/>
        <v>33</v>
      </c>
      <c r="E44" s="28" t="s">
        <v>32</v>
      </c>
      <c r="F44" s="38" t="s">
        <v>8</v>
      </c>
      <c r="G44" s="38">
        <v>85</v>
      </c>
      <c r="H44" s="39" t="s">
        <v>477</v>
      </c>
      <c r="I44" s="40" t="s">
        <v>503</v>
      </c>
      <c r="J44" s="38" t="s">
        <v>34</v>
      </c>
      <c r="K44" s="38" t="s">
        <v>505</v>
      </c>
      <c r="L44" s="38" t="s">
        <v>440</v>
      </c>
      <c r="M44" s="41" t="s">
        <v>49</v>
      </c>
      <c r="N44" s="38" t="s">
        <v>503</v>
      </c>
      <c r="O44" s="38" t="s">
        <v>521</v>
      </c>
      <c r="P44" s="42" t="s">
        <v>522</v>
      </c>
      <c r="Q44" s="42" t="s">
        <v>509</v>
      </c>
      <c r="R44" s="38" t="s">
        <v>510</v>
      </c>
      <c r="S44" s="38" t="s">
        <v>159</v>
      </c>
      <c r="T44" s="38"/>
      <c r="U44" s="38"/>
      <c r="V44" s="38"/>
      <c r="W44" s="42" t="s">
        <v>1845</v>
      </c>
      <c r="X44" s="42" t="s">
        <v>521</v>
      </c>
      <c r="Y44" s="38" t="s">
        <v>45</v>
      </c>
      <c r="Z44" s="38" t="s">
        <v>46</v>
      </c>
      <c r="AA44" s="38" t="s">
        <v>513</v>
      </c>
      <c r="AB44" s="38" t="s">
        <v>523</v>
      </c>
      <c r="AC44" s="38" t="str">
        <f>SUBSTITUTE(Table610119[[#This Row],[field name]],"field: ","")</f>
        <v>"IDLBR4"</v>
      </c>
      <c r="AD44" s="38" t="str">
        <f>SUBSTITUTE((CLEAN(TRIM(Table610119[[#This Row],[field id]]))&amp;": "&amp;CHAR(34)&amp;Table610119[[#This Row],[&lt;&lt;NOLA_Exchange&gt;&gt;
Booking]]&amp;CHAR(34)&amp;CHAR(44)),"/nola:BookingExchange","")</f>
        <v>"IDLBR4": "/j:Booking/j:Arrest/j:ArrestCharge[4]/nola-ext:ChargeAugmentation/nola-ext:ChargeLIBRSCode",</v>
      </c>
      <c r="AE44" s="32" t="str">
        <f>_xlfn.XLOOKUP(Table610119[[#This Row],[&lt;&lt;NOLA_Exchange&gt;&gt;
Booking]],Table26[XPATHS],Table26['#],"DNE")</f>
        <v>285book_xpath</v>
      </c>
      <c r="AF44" s="32" t="str">
        <f>CLEAN(TRIM(SUBSTITUTE(Table610119[[#This Row],[field id]],CHAR(34),"")))</f>
        <v>IDLBR4</v>
      </c>
    </row>
    <row r="45" spans="1:32" ht="30" customHeight="1" x14ac:dyDescent="0.3">
      <c r="A45" s="28" t="str">
        <f t="shared" si="0"/>
        <v>44expanded_IMARRD_sorted</v>
      </c>
      <c r="B45" s="28">
        <f t="shared" si="1"/>
        <v>5</v>
      </c>
      <c r="C45" s="28">
        <f t="shared" si="2"/>
        <v>19</v>
      </c>
      <c r="D45" s="28">
        <f t="shared" si="3"/>
        <v>34</v>
      </c>
      <c r="E45" s="28" t="s">
        <v>32</v>
      </c>
      <c r="F45" s="38" t="s">
        <v>8</v>
      </c>
      <c r="G45" s="38">
        <v>85</v>
      </c>
      <c r="H45" s="39" t="s">
        <v>477</v>
      </c>
      <c r="I45" s="40" t="s">
        <v>503</v>
      </c>
      <c r="J45" s="38" t="s">
        <v>34</v>
      </c>
      <c r="K45" s="38" t="s">
        <v>505</v>
      </c>
      <c r="L45" s="38" t="s">
        <v>440</v>
      </c>
      <c r="M45" s="41" t="s">
        <v>87</v>
      </c>
      <c r="N45" s="38" t="s">
        <v>503</v>
      </c>
      <c r="O45" s="38" t="s">
        <v>524</v>
      </c>
      <c r="P45" s="42" t="s">
        <v>525</v>
      </c>
      <c r="Q45" s="42" t="s">
        <v>509</v>
      </c>
      <c r="R45" s="38" t="s">
        <v>510</v>
      </c>
      <c r="S45" s="38" t="s">
        <v>159</v>
      </c>
      <c r="T45" s="38"/>
      <c r="U45" s="38"/>
      <c r="V45" s="38"/>
      <c r="W45" s="42" t="s">
        <v>1846</v>
      </c>
      <c r="X45" s="42" t="s">
        <v>524</v>
      </c>
      <c r="Y45" s="38" t="s">
        <v>45</v>
      </c>
      <c r="Z45" s="38" t="s">
        <v>46</v>
      </c>
      <c r="AA45" s="38" t="s">
        <v>513</v>
      </c>
      <c r="AB45" s="38" t="s">
        <v>526</v>
      </c>
      <c r="AC45" s="38" t="str">
        <f>SUBSTITUTE(Table610119[[#This Row],[field name]],"field: ","")</f>
        <v>"IDLBR5"</v>
      </c>
      <c r="AD45" s="38" t="str">
        <f>SUBSTITUTE((CLEAN(TRIM(Table610119[[#This Row],[field id]]))&amp;": "&amp;CHAR(34)&amp;Table610119[[#This Row],[&lt;&lt;NOLA_Exchange&gt;&gt;
Booking]]&amp;CHAR(34)&amp;CHAR(44)),"/nola:BookingExchange","")</f>
        <v>"IDLBR5": "/j:Booking/j:Arrest/j:ArrestCharge[5]/nola-ext:ChargeAugmentation/nola-ext:ChargeLIBRSCode",</v>
      </c>
      <c r="AE45" s="32" t="str">
        <f>_xlfn.XLOOKUP(Table610119[[#This Row],[&lt;&lt;NOLA_Exchange&gt;&gt;
Booking]],Table26[XPATHS],Table26['#],"DNE")</f>
        <v>301book_xpath</v>
      </c>
      <c r="AF45" s="32" t="str">
        <f>CLEAN(TRIM(SUBSTITUTE(Table610119[[#This Row],[field id]],CHAR(34),"")))</f>
        <v>IDLBR5</v>
      </c>
    </row>
    <row r="46" spans="1:32" ht="30" customHeight="1" x14ac:dyDescent="0.3">
      <c r="A46" s="28" t="str">
        <f t="shared" si="0"/>
        <v>45expanded_IMARRD_sorted</v>
      </c>
      <c r="B46" s="28">
        <f t="shared" si="1"/>
        <v>5</v>
      </c>
      <c r="C46" s="28">
        <f t="shared" si="2"/>
        <v>19</v>
      </c>
      <c r="D46" s="28">
        <f t="shared" si="3"/>
        <v>35</v>
      </c>
      <c r="E46" s="28" t="s">
        <v>32</v>
      </c>
      <c r="F46" s="38" t="s">
        <v>8</v>
      </c>
      <c r="G46" s="38">
        <v>85</v>
      </c>
      <c r="H46" s="39" t="s">
        <v>477</v>
      </c>
      <c r="I46" s="40" t="s">
        <v>503</v>
      </c>
      <c r="J46" s="38" t="s">
        <v>34</v>
      </c>
      <c r="K46" s="38" t="s">
        <v>505</v>
      </c>
      <c r="L46" s="38" t="s">
        <v>440</v>
      </c>
      <c r="M46" s="41" t="s">
        <v>421</v>
      </c>
      <c r="N46" s="38" t="s">
        <v>503</v>
      </c>
      <c r="O46" s="38" t="s">
        <v>527</v>
      </c>
      <c r="P46" s="42" t="s">
        <v>528</v>
      </c>
      <c r="Q46" s="42" t="s">
        <v>509</v>
      </c>
      <c r="R46" s="38" t="s">
        <v>510</v>
      </c>
      <c r="S46" s="38" t="s">
        <v>159</v>
      </c>
      <c r="T46" s="38"/>
      <c r="U46" s="38"/>
      <c r="V46" s="38"/>
      <c r="W46" s="42" t="s">
        <v>1847</v>
      </c>
      <c r="X46" s="42" t="s">
        <v>527</v>
      </c>
      <c r="Y46" s="38" t="s">
        <v>45</v>
      </c>
      <c r="Z46" s="38" t="s">
        <v>46</v>
      </c>
      <c r="AA46" s="38" t="s">
        <v>513</v>
      </c>
      <c r="AB46" s="38" t="s">
        <v>529</v>
      </c>
      <c r="AC46" s="38" t="str">
        <f>SUBSTITUTE(Table610119[[#This Row],[field name]],"field: ","")</f>
        <v>"IDLBR6"</v>
      </c>
      <c r="AD46" s="38" t="str">
        <f>SUBSTITUTE((CLEAN(TRIM(Table610119[[#This Row],[field id]]))&amp;": "&amp;CHAR(34)&amp;Table610119[[#This Row],[&lt;&lt;NOLA_Exchange&gt;&gt;
Booking]]&amp;CHAR(34)&amp;CHAR(44)),"/nola:BookingExchange","")</f>
        <v>"IDLBR6": "/j:Booking/j:Arrest/j:ArrestCharge[6]/nola-ext:ChargeAugmentation/nola-ext:ChargeLIBRSCode",</v>
      </c>
      <c r="AE46" s="32" t="str">
        <f>_xlfn.XLOOKUP(Table610119[[#This Row],[&lt;&lt;NOLA_Exchange&gt;&gt;
Booking]],Table26[XPATHS],Table26['#],"DNE")</f>
        <v>317book_xpath</v>
      </c>
      <c r="AF46" s="32" t="str">
        <f>CLEAN(TRIM(SUBSTITUTE(Table610119[[#This Row],[field id]],CHAR(34),"")))</f>
        <v>IDLBR6</v>
      </c>
    </row>
    <row r="47" spans="1:32" ht="30" customHeight="1" x14ac:dyDescent="0.3">
      <c r="A47" s="28" t="str">
        <f t="shared" si="0"/>
        <v>46expanded_IMARRD_sorted</v>
      </c>
      <c r="B47" s="28">
        <f t="shared" si="1"/>
        <v>5</v>
      </c>
      <c r="C47" s="28">
        <f t="shared" si="2"/>
        <v>20</v>
      </c>
      <c r="D47" s="28">
        <f t="shared" si="3"/>
        <v>36</v>
      </c>
      <c r="E47" s="28" t="s">
        <v>32</v>
      </c>
      <c r="F47" s="38" t="s">
        <v>8</v>
      </c>
      <c r="G47" s="38">
        <v>96</v>
      </c>
      <c r="H47" s="39" t="s">
        <v>477</v>
      </c>
      <c r="I47" s="40" t="s">
        <v>1855</v>
      </c>
      <c r="J47" s="38" t="s">
        <v>34</v>
      </c>
      <c r="K47" s="38" t="s">
        <v>1856</v>
      </c>
      <c r="L47" s="38" t="s">
        <v>440</v>
      </c>
      <c r="M47" s="41" t="s">
        <v>37</v>
      </c>
      <c r="N47" s="38" t="s">
        <v>1855</v>
      </c>
      <c r="O47" s="38" t="s">
        <v>1857</v>
      </c>
      <c r="P47" s="42" t="s">
        <v>1858</v>
      </c>
      <c r="Q47" s="42" t="s">
        <v>1859</v>
      </c>
      <c r="R47" s="38" t="s">
        <v>1860</v>
      </c>
      <c r="S47" s="38" t="s">
        <v>1861</v>
      </c>
      <c r="T47" s="38"/>
      <c r="U47" s="38"/>
      <c r="V47" s="38"/>
      <c r="W47" s="42" t="s">
        <v>1862</v>
      </c>
      <c r="X47" s="42" t="s">
        <v>1857</v>
      </c>
      <c r="Y47" s="38" t="s">
        <v>45</v>
      </c>
      <c r="Z47" s="38" t="s">
        <v>46</v>
      </c>
      <c r="AA47" s="38" t="s">
        <v>1863</v>
      </c>
      <c r="AB47" s="38" t="s">
        <v>1864</v>
      </c>
      <c r="AC47" s="38" t="str">
        <f>SUBSTITUTE(Table610119[[#This Row],[field name]],"field: ","")</f>
        <v>"IDCHN1"</v>
      </c>
      <c r="AD47" s="38" t="str">
        <f>SUBSTITUTE((CLEAN(TRIM(Table610119[[#This Row],[field id]]))&amp;": "&amp;CHAR(34)&amp;Table610119[[#This Row],[&lt;&lt;NOLA_Exchange&gt;&gt;
Booking]]&amp;CHAR(34)&amp;CHAR(44)),"/nola:BookingExchange","")</f>
        <v>"IDCHN1": "/j:Booking/j:Arrest/j:ArrestCharge[1]/nola-ext:ChargeAugmentation/nola-ext:JMSChargeNumber",</v>
      </c>
      <c r="AE47" s="32" t="str">
        <f>_xlfn.XLOOKUP(Table610119[[#This Row],[&lt;&lt;NOLA_Exchange&gt;&gt;
Booking]],Table26[XPATHS],Table26['#],"DNE")</f>
        <v>237book_xpath</v>
      </c>
      <c r="AF47" s="32" t="str">
        <f>CLEAN(TRIM(SUBSTITUTE(Table610119[[#This Row],[field id]],CHAR(34),"")))</f>
        <v>IDCHN1</v>
      </c>
    </row>
    <row r="48" spans="1:32" ht="30" customHeight="1" x14ac:dyDescent="0.3">
      <c r="A48" s="28" t="str">
        <f t="shared" si="0"/>
        <v>47expanded_IMARRD_sorted</v>
      </c>
      <c r="B48" s="28">
        <f t="shared" si="1"/>
        <v>5</v>
      </c>
      <c r="C48" s="28">
        <f t="shared" si="2"/>
        <v>20</v>
      </c>
      <c r="D48" s="28">
        <f t="shared" si="3"/>
        <v>37</v>
      </c>
      <c r="E48" s="28" t="s">
        <v>32</v>
      </c>
      <c r="F48" s="38" t="s">
        <v>8</v>
      </c>
      <c r="G48" s="38">
        <v>96</v>
      </c>
      <c r="H48" s="39" t="s">
        <v>477</v>
      </c>
      <c r="I48" s="40" t="s">
        <v>1855</v>
      </c>
      <c r="J48" s="38" t="s">
        <v>34</v>
      </c>
      <c r="K48" s="38" t="s">
        <v>1856</v>
      </c>
      <c r="L48" s="38" t="s">
        <v>440</v>
      </c>
      <c r="M48" s="41" t="s">
        <v>52</v>
      </c>
      <c r="N48" s="38" t="s">
        <v>1855</v>
      </c>
      <c r="O48" s="38" t="s">
        <v>1870</v>
      </c>
      <c r="P48" s="42" t="s">
        <v>1871</v>
      </c>
      <c r="Q48" s="42" t="s">
        <v>1859</v>
      </c>
      <c r="R48" s="38" t="s">
        <v>1860</v>
      </c>
      <c r="S48" s="38" t="s">
        <v>1861</v>
      </c>
      <c r="T48" s="38"/>
      <c r="U48" s="38"/>
      <c r="V48" s="38"/>
      <c r="W48" s="42" t="s">
        <v>1865</v>
      </c>
      <c r="X48" s="42" t="s">
        <v>1870</v>
      </c>
      <c r="Y48" s="38" t="s">
        <v>45</v>
      </c>
      <c r="Z48" s="38" t="s">
        <v>46</v>
      </c>
      <c r="AA48" s="38" t="s">
        <v>1863</v>
      </c>
      <c r="AB48" s="38" t="s">
        <v>1872</v>
      </c>
      <c r="AC48" s="38" t="str">
        <f>SUBSTITUTE(Table610119[[#This Row],[field name]],"field: ","")</f>
        <v>"IDCHN2"</v>
      </c>
      <c r="AD48" s="38" t="str">
        <f>SUBSTITUTE((CLEAN(TRIM(Table610119[[#This Row],[field id]]))&amp;": "&amp;CHAR(34)&amp;Table610119[[#This Row],[&lt;&lt;NOLA_Exchange&gt;&gt;
Booking]]&amp;CHAR(34)&amp;CHAR(44)),"/nola:BookingExchange","")</f>
        <v>"IDCHN2": "/j:Booking/j:Arrest/j:ArrestCharge[2]/nola-ext:ChargeAugmentation/nola-ext:JMSChargeNumber",</v>
      </c>
      <c r="AE48" s="32" t="str">
        <f>_xlfn.XLOOKUP(Table610119[[#This Row],[&lt;&lt;NOLA_Exchange&gt;&gt;
Booking]],Table26[XPATHS],Table26['#],"DNE")</f>
        <v>257book_xpath</v>
      </c>
      <c r="AF48" s="32" t="str">
        <f>CLEAN(TRIM(SUBSTITUTE(Table610119[[#This Row],[field id]],CHAR(34),"")))</f>
        <v>IDCHN2</v>
      </c>
    </row>
    <row r="49" spans="1:32" ht="30" customHeight="1" x14ac:dyDescent="0.3">
      <c r="A49" s="28" t="str">
        <f t="shared" si="0"/>
        <v>48expanded_IMARRD_sorted</v>
      </c>
      <c r="B49" s="28">
        <f t="shared" si="1"/>
        <v>5</v>
      </c>
      <c r="C49" s="28">
        <f t="shared" si="2"/>
        <v>20</v>
      </c>
      <c r="D49" s="28">
        <f t="shared" si="3"/>
        <v>38</v>
      </c>
      <c r="E49" s="28" t="s">
        <v>32</v>
      </c>
      <c r="F49" s="38" t="s">
        <v>8</v>
      </c>
      <c r="G49" s="38">
        <v>96</v>
      </c>
      <c r="H49" s="39" t="s">
        <v>477</v>
      </c>
      <c r="I49" s="40" t="s">
        <v>1855</v>
      </c>
      <c r="J49" s="38" t="s">
        <v>34</v>
      </c>
      <c r="K49" s="38" t="s">
        <v>1856</v>
      </c>
      <c r="L49" s="38" t="s">
        <v>440</v>
      </c>
      <c r="M49" s="41" t="s">
        <v>57</v>
      </c>
      <c r="N49" s="38" t="s">
        <v>1855</v>
      </c>
      <c r="O49" s="38" t="s">
        <v>1873</v>
      </c>
      <c r="P49" s="42" t="s">
        <v>1874</v>
      </c>
      <c r="Q49" s="42" t="s">
        <v>1859</v>
      </c>
      <c r="R49" s="38" t="s">
        <v>1860</v>
      </c>
      <c r="S49" s="38" t="s">
        <v>1861</v>
      </c>
      <c r="T49" s="38"/>
      <c r="U49" s="38"/>
      <c r="V49" s="38"/>
      <c r="W49" s="42" t="s">
        <v>1866</v>
      </c>
      <c r="X49" s="42" t="s">
        <v>1873</v>
      </c>
      <c r="Y49" s="38" t="s">
        <v>45</v>
      </c>
      <c r="Z49" s="38" t="s">
        <v>46</v>
      </c>
      <c r="AA49" s="38" t="s">
        <v>1863</v>
      </c>
      <c r="AB49" s="38" t="s">
        <v>1875</v>
      </c>
      <c r="AC49" s="38" t="str">
        <f>SUBSTITUTE(Table610119[[#This Row],[field name]],"field: ","")</f>
        <v>"IDCHN3"</v>
      </c>
      <c r="AD49" s="38" t="str">
        <f>SUBSTITUTE((CLEAN(TRIM(Table610119[[#This Row],[field id]]))&amp;": "&amp;CHAR(34)&amp;Table610119[[#This Row],[&lt;&lt;NOLA_Exchange&gt;&gt;
Booking]]&amp;CHAR(34)&amp;CHAR(44)),"/nola:BookingExchange","")</f>
        <v>"IDCHN3": "/j:Booking/j:Arrest/j:ArrestCharge[3]/nola-ext:ChargeAugmentation/nola-ext:JMSChargeNumber",</v>
      </c>
      <c r="AE49" s="32" t="str">
        <f>_xlfn.XLOOKUP(Table610119[[#This Row],[&lt;&lt;NOLA_Exchange&gt;&gt;
Booking]],Table26[XPATHS],Table26['#],"DNE")</f>
        <v>273book_xpath</v>
      </c>
      <c r="AF49" s="32" t="str">
        <f>CLEAN(TRIM(SUBSTITUTE(Table610119[[#This Row],[field id]],CHAR(34),"")))</f>
        <v>IDCHN3</v>
      </c>
    </row>
    <row r="50" spans="1:32" ht="30" customHeight="1" x14ac:dyDescent="0.3">
      <c r="A50" s="28" t="str">
        <f t="shared" si="0"/>
        <v>49expanded_IMARRD_sorted</v>
      </c>
      <c r="B50" s="28">
        <f t="shared" si="1"/>
        <v>5</v>
      </c>
      <c r="C50" s="28">
        <f t="shared" si="2"/>
        <v>20</v>
      </c>
      <c r="D50" s="28">
        <f t="shared" si="3"/>
        <v>39</v>
      </c>
      <c r="E50" s="28" t="s">
        <v>32</v>
      </c>
      <c r="F50" s="38" t="s">
        <v>8</v>
      </c>
      <c r="G50" s="38">
        <v>96</v>
      </c>
      <c r="H50" s="39" t="s">
        <v>477</v>
      </c>
      <c r="I50" s="40" t="s">
        <v>1855</v>
      </c>
      <c r="J50" s="38" t="s">
        <v>34</v>
      </c>
      <c r="K50" s="38" t="s">
        <v>1856</v>
      </c>
      <c r="L50" s="38" t="s">
        <v>440</v>
      </c>
      <c r="M50" s="41" t="s">
        <v>49</v>
      </c>
      <c r="N50" s="38" t="s">
        <v>1855</v>
      </c>
      <c r="O50" s="38" t="s">
        <v>1876</v>
      </c>
      <c r="P50" s="42" t="s">
        <v>1877</v>
      </c>
      <c r="Q50" s="42" t="s">
        <v>1859</v>
      </c>
      <c r="R50" s="38" t="s">
        <v>1860</v>
      </c>
      <c r="S50" s="38" t="s">
        <v>1861</v>
      </c>
      <c r="T50" s="38"/>
      <c r="U50" s="38"/>
      <c r="V50" s="38"/>
      <c r="W50" s="42" t="s">
        <v>1867</v>
      </c>
      <c r="X50" s="42" t="s">
        <v>1876</v>
      </c>
      <c r="Y50" s="38" t="s">
        <v>45</v>
      </c>
      <c r="Z50" s="38" t="s">
        <v>46</v>
      </c>
      <c r="AA50" s="38" t="s">
        <v>1863</v>
      </c>
      <c r="AB50" s="38" t="s">
        <v>1878</v>
      </c>
      <c r="AC50" s="38" t="str">
        <f>SUBSTITUTE(Table610119[[#This Row],[field name]],"field: ","")</f>
        <v>"IDCHN4"</v>
      </c>
      <c r="AD50" s="38" t="str">
        <f>SUBSTITUTE((CLEAN(TRIM(Table610119[[#This Row],[field id]]))&amp;": "&amp;CHAR(34)&amp;Table610119[[#This Row],[&lt;&lt;NOLA_Exchange&gt;&gt;
Booking]]&amp;CHAR(34)&amp;CHAR(44)),"/nola:BookingExchange","")</f>
        <v>"IDCHN4": "/j:Booking/j:Arrest/j:ArrestCharge[4]/nola-ext:ChargeAugmentation/nola-ext:JMSChargeNumber",</v>
      </c>
      <c r="AE50" s="32" t="str">
        <f>_xlfn.XLOOKUP(Table610119[[#This Row],[&lt;&lt;NOLA_Exchange&gt;&gt;
Booking]],Table26[XPATHS],Table26['#],"DNE")</f>
        <v>289book_xpath</v>
      </c>
      <c r="AF50" s="32" t="str">
        <f>CLEAN(TRIM(SUBSTITUTE(Table610119[[#This Row],[field id]],CHAR(34),"")))</f>
        <v>IDCHN4</v>
      </c>
    </row>
    <row r="51" spans="1:32" ht="30" customHeight="1" x14ac:dyDescent="0.3">
      <c r="A51" s="28" t="str">
        <f t="shared" si="0"/>
        <v>50expanded_IMARRD_sorted</v>
      </c>
      <c r="B51" s="28">
        <f t="shared" si="1"/>
        <v>5</v>
      </c>
      <c r="C51" s="28">
        <f t="shared" si="2"/>
        <v>20</v>
      </c>
      <c r="D51" s="28">
        <f t="shared" si="3"/>
        <v>40</v>
      </c>
      <c r="E51" s="28" t="s">
        <v>32</v>
      </c>
      <c r="F51" s="38" t="s">
        <v>8</v>
      </c>
      <c r="G51" s="38">
        <v>96</v>
      </c>
      <c r="H51" s="39" t="s">
        <v>477</v>
      </c>
      <c r="I51" s="40" t="s">
        <v>1855</v>
      </c>
      <c r="J51" s="38" t="s">
        <v>34</v>
      </c>
      <c r="K51" s="38" t="s">
        <v>1856</v>
      </c>
      <c r="L51" s="38" t="s">
        <v>440</v>
      </c>
      <c r="M51" s="41" t="s">
        <v>87</v>
      </c>
      <c r="N51" s="38" t="s">
        <v>1855</v>
      </c>
      <c r="O51" s="38" t="s">
        <v>1879</v>
      </c>
      <c r="P51" s="42" t="s">
        <v>1880</v>
      </c>
      <c r="Q51" s="42" t="s">
        <v>1859</v>
      </c>
      <c r="R51" s="38" t="s">
        <v>1860</v>
      </c>
      <c r="S51" s="38" t="s">
        <v>1861</v>
      </c>
      <c r="T51" s="38"/>
      <c r="U51" s="38"/>
      <c r="V51" s="38"/>
      <c r="W51" s="42" t="s">
        <v>1868</v>
      </c>
      <c r="X51" s="42" t="s">
        <v>1879</v>
      </c>
      <c r="Y51" s="38" t="s">
        <v>45</v>
      </c>
      <c r="Z51" s="38" t="s">
        <v>46</v>
      </c>
      <c r="AA51" s="38" t="s">
        <v>1863</v>
      </c>
      <c r="AB51" s="38" t="s">
        <v>1881</v>
      </c>
      <c r="AC51" s="38" t="str">
        <f>SUBSTITUTE(Table610119[[#This Row],[field name]],"field: ","")</f>
        <v>"IDCHN5"</v>
      </c>
      <c r="AD51" s="38" t="str">
        <f>SUBSTITUTE((CLEAN(TRIM(Table610119[[#This Row],[field id]]))&amp;": "&amp;CHAR(34)&amp;Table610119[[#This Row],[&lt;&lt;NOLA_Exchange&gt;&gt;
Booking]]&amp;CHAR(34)&amp;CHAR(44)),"/nola:BookingExchange","")</f>
        <v>"IDCHN5": "/j:Booking/j:Arrest/j:ArrestCharge[5]/nola-ext:ChargeAugmentation/nola-ext:JMSChargeNumber",</v>
      </c>
      <c r="AE51" s="32" t="str">
        <f>_xlfn.XLOOKUP(Table610119[[#This Row],[&lt;&lt;NOLA_Exchange&gt;&gt;
Booking]],Table26[XPATHS],Table26['#],"DNE")</f>
        <v>305book_xpath</v>
      </c>
      <c r="AF51" s="32" t="str">
        <f>CLEAN(TRIM(SUBSTITUTE(Table610119[[#This Row],[field id]],CHAR(34),"")))</f>
        <v>IDCHN5</v>
      </c>
    </row>
    <row r="52" spans="1:32" ht="30" customHeight="1" x14ac:dyDescent="0.3">
      <c r="A52" s="28" t="str">
        <f t="shared" si="0"/>
        <v>51expanded_IMARRD_sorted</v>
      </c>
      <c r="B52" s="28">
        <f t="shared" si="1"/>
        <v>5</v>
      </c>
      <c r="C52" s="28">
        <f t="shared" si="2"/>
        <v>20</v>
      </c>
      <c r="D52" s="28">
        <f t="shared" si="3"/>
        <v>41</v>
      </c>
      <c r="E52" s="28" t="s">
        <v>32</v>
      </c>
      <c r="F52" s="38" t="s">
        <v>8</v>
      </c>
      <c r="G52" s="38">
        <v>96</v>
      </c>
      <c r="H52" s="39" t="s">
        <v>477</v>
      </c>
      <c r="I52" s="40" t="s">
        <v>1855</v>
      </c>
      <c r="J52" s="38" t="s">
        <v>34</v>
      </c>
      <c r="K52" s="38" t="s">
        <v>1856</v>
      </c>
      <c r="L52" s="38" t="s">
        <v>440</v>
      </c>
      <c r="M52" s="41" t="s">
        <v>421</v>
      </c>
      <c r="N52" s="38" t="s">
        <v>1855</v>
      </c>
      <c r="O52" s="38" t="s">
        <v>1882</v>
      </c>
      <c r="P52" s="42" t="s">
        <v>1883</v>
      </c>
      <c r="Q52" s="42" t="s">
        <v>1859</v>
      </c>
      <c r="R52" s="38" t="s">
        <v>1860</v>
      </c>
      <c r="S52" s="38" t="s">
        <v>1861</v>
      </c>
      <c r="T52" s="38"/>
      <c r="U52" s="38"/>
      <c r="V52" s="38"/>
      <c r="W52" s="42" t="s">
        <v>1869</v>
      </c>
      <c r="X52" s="42" t="s">
        <v>1882</v>
      </c>
      <c r="Y52" s="38" t="s">
        <v>45</v>
      </c>
      <c r="Z52" s="38" t="s">
        <v>46</v>
      </c>
      <c r="AA52" s="38" t="s">
        <v>1863</v>
      </c>
      <c r="AB52" s="38" t="s">
        <v>1884</v>
      </c>
      <c r="AC52" s="38" t="str">
        <f>SUBSTITUTE(Table610119[[#This Row],[field name]],"field: ","")</f>
        <v>"IDCHN6"</v>
      </c>
      <c r="AD52" s="38" t="str">
        <f>SUBSTITUTE((CLEAN(TRIM(Table610119[[#This Row],[field id]]))&amp;": "&amp;CHAR(34)&amp;Table610119[[#This Row],[&lt;&lt;NOLA_Exchange&gt;&gt;
Booking]]&amp;CHAR(34)&amp;CHAR(44)),"/nola:BookingExchange","")</f>
        <v>"IDCHN6": "/j:Booking/j:Arrest/j:ArrestCharge[6]/nola-ext:ChargeAugmentation/nola-ext:JMSChargeNumber",</v>
      </c>
      <c r="AE52" s="32" t="str">
        <f>_xlfn.XLOOKUP(Table610119[[#This Row],[&lt;&lt;NOLA_Exchange&gt;&gt;
Booking]],Table26[XPATHS],Table26['#],"DNE")</f>
        <v>321book_xpath</v>
      </c>
      <c r="AF52" s="32" t="str">
        <f>CLEAN(TRIM(SUBSTITUTE(Table610119[[#This Row],[field id]],CHAR(34),"")))</f>
        <v>IDCHN6</v>
      </c>
    </row>
    <row r="53" spans="1:32" ht="30" customHeight="1" x14ac:dyDescent="0.3">
      <c r="A53" s="28" t="str">
        <f t="shared" si="0"/>
        <v>52expanded_IMARRD_sorted</v>
      </c>
      <c r="B53" s="28">
        <f t="shared" si="1"/>
        <v>6</v>
      </c>
      <c r="C53" s="28">
        <f t="shared" si="2"/>
        <v>21</v>
      </c>
      <c r="D53" s="28">
        <f t="shared" si="3"/>
        <v>42</v>
      </c>
      <c r="E53" s="28" t="s">
        <v>32</v>
      </c>
      <c r="F53" s="38" t="s">
        <v>8</v>
      </c>
      <c r="G53" s="38">
        <v>154</v>
      </c>
      <c r="H53" s="39" t="s">
        <v>554</v>
      </c>
      <c r="I53" s="40" t="s">
        <v>2014</v>
      </c>
      <c r="J53" s="38" t="s">
        <v>34</v>
      </c>
      <c r="K53" s="38" t="s">
        <v>2015</v>
      </c>
      <c r="L53" s="38" t="s">
        <v>36</v>
      </c>
      <c r="M53" s="41" t="s">
        <v>37</v>
      </c>
      <c r="N53" s="38" t="s">
        <v>2014</v>
      </c>
      <c r="O53" s="38" t="s">
        <v>557</v>
      </c>
      <c r="P53" s="42" t="s">
        <v>558</v>
      </c>
      <c r="Q53" s="42" t="s">
        <v>2016</v>
      </c>
      <c r="R53" s="38" t="s">
        <v>2017</v>
      </c>
      <c r="S53" s="38" t="s">
        <v>42</v>
      </c>
      <c r="T53" s="38"/>
      <c r="U53" s="38"/>
      <c r="V53" s="38"/>
      <c r="W53" s="42" t="s">
        <v>2018</v>
      </c>
      <c r="X53" s="42" t="s">
        <v>557</v>
      </c>
      <c r="Y53" s="38" t="s">
        <v>45</v>
      </c>
      <c r="Z53" s="38" t="s">
        <v>46</v>
      </c>
      <c r="AA53" s="38" t="s">
        <v>564</v>
      </c>
      <c r="AB53" s="38" t="s">
        <v>565</v>
      </c>
      <c r="AC53" s="38" t="str">
        <f>SUBSTITUTE(Table610119[[#This Row],[field name]],"field: ","")</f>
        <v>"IDCSEC"</v>
      </c>
      <c r="AD53" s="38" t="str">
        <f>SUBSTITUTE((CLEAN(TRIM(Table610119[[#This Row],[field id]]))&amp;": "&amp;CHAR(34)&amp;Table610119[[#This Row],[&lt;&lt;NOLA_Exchange&gt;&gt;
Booking]]&amp;CHAR(34)&amp;CHAR(44)),"/nola:BookingExchange","")</f>
        <v>"IDCSEC": "/Case/j:CaseAugmentation/j:CaseCourt/OrganizationLocation/LocationPart/LocationRoomText",</v>
      </c>
      <c r="AE53" s="32" t="str">
        <f>_xlfn.XLOOKUP(Table610119[[#This Row],[&lt;&lt;NOLA_Exchange&gt;&gt;
Booking]],Table26[XPATHS],Table26['#],"DNE")</f>
        <v>383book_xpath</v>
      </c>
      <c r="AF53" s="32" t="str">
        <f>CLEAN(TRIM(SUBSTITUTE(Table610119[[#This Row],[field id]],CHAR(34),"")))</f>
        <v>IDCSEC</v>
      </c>
    </row>
    <row r="54" spans="1:32" ht="30" customHeight="1" x14ac:dyDescent="0.3">
      <c r="A54" s="28" t="str">
        <f t="shared" si="0"/>
        <v>53expanded_IMARRD_sorted</v>
      </c>
      <c r="B54" s="28">
        <f t="shared" si="1"/>
        <v>6</v>
      </c>
      <c r="C54" s="28">
        <f t="shared" si="2"/>
        <v>22</v>
      </c>
      <c r="D54" s="28">
        <f t="shared" si="3"/>
        <v>43</v>
      </c>
      <c r="E54" s="28" t="s">
        <v>32</v>
      </c>
      <c r="F54" s="38" t="s">
        <v>8</v>
      </c>
      <c r="G54" s="38">
        <v>158</v>
      </c>
      <c r="H54" s="39" t="s">
        <v>554</v>
      </c>
      <c r="I54" s="40" t="s">
        <v>566</v>
      </c>
      <c r="J54" s="38" t="s">
        <v>153</v>
      </c>
      <c r="K54" s="38" t="s">
        <v>567</v>
      </c>
      <c r="L54" s="38" t="s">
        <v>36</v>
      </c>
      <c r="M54" s="41" t="s">
        <v>52</v>
      </c>
      <c r="N54" s="38" t="s">
        <v>566</v>
      </c>
      <c r="O54" s="38" t="s">
        <v>568</v>
      </c>
      <c r="P54" s="42" t="s">
        <v>569</v>
      </c>
      <c r="Q54" s="42" t="s">
        <v>570</v>
      </c>
      <c r="R54" s="38" t="s">
        <v>571</v>
      </c>
      <c r="S54" s="38" t="s">
        <v>572</v>
      </c>
      <c r="T54" s="38"/>
      <c r="U54" s="38"/>
      <c r="V54" s="38"/>
      <c r="W54" s="42" t="s">
        <v>574</v>
      </c>
      <c r="X54" s="42" t="s">
        <v>568</v>
      </c>
      <c r="Y54" s="38" t="s">
        <v>45</v>
      </c>
      <c r="Z54" s="38" t="s">
        <v>46</v>
      </c>
      <c r="AA54" s="38" t="s">
        <v>575</v>
      </c>
      <c r="AB54" s="38" t="s">
        <v>576</v>
      </c>
      <c r="AC54" s="38" t="str">
        <f>SUBSTITUTE(Table610119[[#This Row],[field name]],"field: ","")</f>
        <v>"IDCTYP"</v>
      </c>
      <c r="AD54" s="38" t="str">
        <f>SUBSTITUTE((CLEAN(TRIM(Table610119[[#This Row],[field id]]))&amp;": "&amp;CHAR(34)&amp;Table610119[[#This Row],[&lt;&lt;NOLA_Exchange&gt;&gt;
Booking]]&amp;CHAR(34)&amp;CHAR(44)),"/nola:BookingExchange","")</f>
        <v>"IDCTYP": "/Case/j:CaseAugmentation/j:CaseCourt/j:CourtCategoryCode",</v>
      </c>
      <c r="AE54" s="32" t="str">
        <f>_xlfn.XLOOKUP(Table610119[[#This Row],[&lt;&lt;NOLA_Exchange&gt;&gt;
Booking]],Table26[XPATHS],Table26['#],"DNE")</f>
        <v>390book_xpath</v>
      </c>
      <c r="AF54" s="32" t="str">
        <f>CLEAN(TRIM(SUBSTITUTE(Table610119[[#This Row],[field id]],CHAR(34),"")))</f>
        <v>IDCTYP</v>
      </c>
    </row>
    <row r="55" spans="1:32" ht="30" customHeight="1" x14ac:dyDescent="0.3">
      <c r="A55" s="28" t="str">
        <f t="shared" si="0"/>
        <v>54expanded_IMARRD_sorted</v>
      </c>
      <c r="B55" s="28">
        <f t="shared" si="1"/>
        <v>7</v>
      </c>
      <c r="C55" s="28">
        <f t="shared" si="2"/>
        <v>23</v>
      </c>
      <c r="D55" s="28">
        <f t="shared" si="3"/>
        <v>44</v>
      </c>
      <c r="E55" s="28" t="s">
        <v>32</v>
      </c>
      <c r="F55" s="38" t="s">
        <v>8</v>
      </c>
      <c r="G55" s="38">
        <v>43</v>
      </c>
      <c r="H55" s="39" t="s">
        <v>2079</v>
      </c>
      <c r="I55" s="40" t="s">
        <v>2080</v>
      </c>
      <c r="J55" s="38" t="s">
        <v>399</v>
      </c>
      <c r="K55" s="38" t="s">
        <v>2081</v>
      </c>
      <c r="L55" s="38" t="s">
        <v>36</v>
      </c>
      <c r="M55" s="41" t="s">
        <v>37</v>
      </c>
      <c r="N55" s="38" t="s">
        <v>2080</v>
      </c>
      <c r="O55" s="38" t="s">
        <v>3079</v>
      </c>
      <c r="P55" s="42"/>
      <c r="Q55" s="42"/>
      <c r="R55" s="43" t="s">
        <v>2085</v>
      </c>
      <c r="S55" s="38" t="s">
        <v>405</v>
      </c>
      <c r="T55" s="38"/>
      <c r="U55" s="38"/>
      <c r="V55" s="38"/>
      <c r="W55" s="42" t="s">
        <v>2086</v>
      </c>
      <c r="X55" s="42"/>
      <c r="Y55" s="38" t="s">
        <v>45</v>
      </c>
      <c r="Z55" s="38" t="s">
        <v>3080</v>
      </c>
      <c r="AA55" s="38" t="s">
        <v>3081</v>
      </c>
      <c r="AB55" s="38" t="s">
        <v>3082</v>
      </c>
      <c r="AC55" s="38" t="str">
        <f>SUBSTITUTE(Table610119[[#This Row],[field name]],"field: ","")</f>
        <v>"IDCDTE"</v>
      </c>
      <c r="AD55" s="38" t="str">
        <f>SUBSTITUTE((CLEAN(TRIM(Table610119[[#This Row],[field id]]))&amp;": "&amp;CHAR(34)&amp;Table610119[[#This Row],[&lt;&lt;NOLA_Exchange&gt;&gt;
Booking]]&amp;CHAR(34)&amp;CHAR(44)),"/nola:BookingExchange","")</f>
        <v>"IDCDTE": "/Case/j:CaseAugmentation/j:CaseCourtEvent/ActivityDate/DateTime",</v>
      </c>
      <c r="AE55" s="32" t="str">
        <f>_xlfn.XLOOKUP(Table610119[[#This Row],[&lt;&lt;NOLA_Exchange&gt;&gt;
Booking]],Table26[XPATHS],Table26['#],"DNE")</f>
        <v>395book_xpath</v>
      </c>
      <c r="AF55" s="32" t="str">
        <f>CLEAN(TRIM(SUBSTITUTE(Table610119[[#This Row],[field id]],CHAR(34),"")))</f>
        <v>IDCDTE</v>
      </c>
    </row>
    <row r="56" spans="1:32" ht="30" customHeight="1" x14ac:dyDescent="0.3">
      <c r="A56" s="28" t="str">
        <f t="shared" si="0"/>
        <v>55expanded_IMARRD_sorted</v>
      </c>
      <c r="B56" s="28">
        <f t="shared" si="1"/>
        <v>7</v>
      </c>
      <c r="C56" s="28">
        <f t="shared" si="2"/>
        <v>23</v>
      </c>
      <c r="D56" s="28">
        <f t="shared" si="3"/>
        <v>44</v>
      </c>
      <c r="E56" s="28" t="s">
        <v>32</v>
      </c>
      <c r="F56" s="38" t="s">
        <v>8</v>
      </c>
      <c r="G56" s="38">
        <v>43</v>
      </c>
      <c r="H56" s="39" t="s">
        <v>2079</v>
      </c>
      <c r="I56" s="40" t="s">
        <v>2080</v>
      </c>
      <c r="J56" s="38" t="s">
        <v>399</v>
      </c>
      <c r="K56" s="38" t="s">
        <v>2081</v>
      </c>
      <c r="L56" s="38" t="s">
        <v>36</v>
      </c>
      <c r="M56" s="41" t="s">
        <v>37</v>
      </c>
      <c r="N56" s="38" t="s">
        <v>2080</v>
      </c>
      <c r="O56" s="38" t="s">
        <v>3083</v>
      </c>
      <c r="P56" s="42"/>
      <c r="Q56" s="42"/>
      <c r="R56" s="43" t="s">
        <v>2085</v>
      </c>
      <c r="S56" s="38" t="s">
        <v>405</v>
      </c>
      <c r="T56" s="38"/>
      <c r="U56" s="38"/>
      <c r="V56" s="38"/>
      <c r="W56" s="42" t="s">
        <v>2086</v>
      </c>
      <c r="X56" s="42"/>
      <c r="Y56" s="38" t="s">
        <v>45</v>
      </c>
      <c r="Z56" s="38" t="s">
        <v>3080</v>
      </c>
      <c r="AA56" s="38" t="s">
        <v>3084</v>
      </c>
      <c r="AB56" s="38" t="s">
        <v>3085</v>
      </c>
      <c r="AC56" s="38" t="str">
        <f>SUBSTITUTE(Table610119[[#This Row],[field name]],"field: ","")</f>
        <v>"IDCTIM"</v>
      </c>
      <c r="AD56" s="38" t="str">
        <f>SUBSTITUTE((CLEAN(TRIM(Table610119[[#This Row],[field id]]))&amp;": "&amp;CHAR(34)&amp;Table610119[[#This Row],[&lt;&lt;NOLA_Exchange&gt;&gt;
Booking]]&amp;CHAR(34)&amp;CHAR(44)),"/nola:BookingExchange","")</f>
        <v>"IDCTIM": "/Case/j:CaseAugmentation/j:CaseCourtEvent/ActivityDate/DateTime",</v>
      </c>
      <c r="AE56" s="32" t="str">
        <f>_xlfn.XLOOKUP(Table610119[[#This Row],[&lt;&lt;NOLA_Exchange&gt;&gt;
Booking]],Table26[XPATHS],Table26['#],"DNE")</f>
        <v>395book_xpath</v>
      </c>
      <c r="AF56" s="32" t="str">
        <f>CLEAN(TRIM(SUBSTITUTE(Table610119[[#This Row],[field id]],CHAR(34),"")))</f>
        <v>IDCTIM</v>
      </c>
    </row>
    <row r="57" spans="1:32" ht="30" customHeight="1" x14ac:dyDescent="0.3">
      <c r="A57" s="28" t="str">
        <f t="shared" si="0"/>
        <v>56expanded_IMARRD_sorted</v>
      </c>
      <c r="B57" s="28">
        <f t="shared" si="1"/>
        <v>7</v>
      </c>
      <c r="C57" s="28">
        <f t="shared" si="2"/>
        <v>23</v>
      </c>
      <c r="D57" s="28">
        <f t="shared" si="3"/>
        <v>44</v>
      </c>
      <c r="E57" s="28" t="s">
        <v>32</v>
      </c>
      <c r="F57" s="38" t="s">
        <v>8</v>
      </c>
      <c r="G57" s="38">
        <v>43</v>
      </c>
      <c r="H57" s="39" t="s">
        <v>2079</v>
      </c>
      <c r="I57" s="40" t="s">
        <v>2080</v>
      </c>
      <c r="J57" s="38" t="s">
        <v>399</v>
      </c>
      <c r="K57" s="38" t="s">
        <v>2081</v>
      </c>
      <c r="L57" s="38" t="s">
        <v>36</v>
      </c>
      <c r="M57" s="41" t="s">
        <v>37</v>
      </c>
      <c r="N57" s="38" t="s">
        <v>2080</v>
      </c>
      <c r="O57" s="38" t="s">
        <v>3086</v>
      </c>
      <c r="P57" s="42"/>
      <c r="Q57" s="42"/>
      <c r="R57" s="43" t="s">
        <v>2085</v>
      </c>
      <c r="S57" s="38" t="s">
        <v>405</v>
      </c>
      <c r="T57" s="38"/>
      <c r="U57" s="38"/>
      <c r="V57" s="38"/>
      <c r="W57" s="42" t="s">
        <v>2086</v>
      </c>
      <c r="X57" s="42"/>
      <c r="Y57" s="38" t="s">
        <v>45</v>
      </c>
      <c r="Z57" s="38" t="s">
        <v>3080</v>
      </c>
      <c r="AA57" s="38" t="s">
        <v>3087</v>
      </c>
      <c r="AB57" s="38" t="s">
        <v>3088</v>
      </c>
      <c r="AC57" s="38" t="str">
        <f>SUBSTITUTE(Table610119[[#This Row],[field name]],"field: ","")</f>
        <v>"IDCTFL"</v>
      </c>
      <c r="AD57" s="38" t="str">
        <f>SUBSTITUTE((CLEAN(TRIM(Table610119[[#This Row],[field id]]))&amp;": "&amp;CHAR(34)&amp;Table610119[[#This Row],[&lt;&lt;NOLA_Exchange&gt;&gt;
Booking]]&amp;CHAR(34)&amp;CHAR(44)),"/nola:BookingExchange","")</f>
        <v>"IDCTFL": "/Case/j:CaseAugmentation/j:CaseCourtEvent/ActivityDate/DateTime",</v>
      </c>
      <c r="AE57" s="32" t="str">
        <f>_xlfn.XLOOKUP(Table610119[[#This Row],[&lt;&lt;NOLA_Exchange&gt;&gt;
Booking]],Table26[XPATHS],Table26['#],"DNE")</f>
        <v>395book_xpath</v>
      </c>
      <c r="AF57" s="32" t="str">
        <f>CLEAN(TRIM(SUBSTITUTE(Table610119[[#This Row],[field id]],CHAR(34),"")))</f>
        <v>IDCTFL</v>
      </c>
    </row>
    <row r="58" spans="1:32" ht="30" customHeight="1" x14ac:dyDescent="0.3">
      <c r="A58" s="28" t="str">
        <f t="shared" si="0"/>
        <v>57expanded_IMARRD_sorted</v>
      </c>
      <c r="B58" s="28">
        <f t="shared" si="1"/>
        <v>8</v>
      </c>
      <c r="C58" s="28">
        <f t="shared" si="2"/>
        <v>24</v>
      </c>
      <c r="D58" s="28">
        <f t="shared" si="3"/>
        <v>44</v>
      </c>
      <c r="E58" s="28" t="s">
        <v>32</v>
      </c>
      <c r="F58" s="38" t="s">
        <v>8</v>
      </c>
      <c r="G58" s="38">
        <v>258</v>
      </c>
      <c r="H58" s="39" t="s">
        <v>577</v>
      </c>
      <c r="I58" s="40" t="s">
        <v>578</v>
      </c>
      <c r="J58" s="38" t="s">
        <v>34</v>
      </c>
      <c r="K58" s="38" t="s">
        <v>579</v>
      </c>
      <c r="L58" s="38" t="s">
        <v>36</v>
      </c>
      <c r="M58" s="41" t="s">
        <v>37</v>
      </c>
      <c r="N58" s="38" t="s">
        <v>578</v>
      </c>
      <c r="O58" s="38" t="s">
        <v>580</v>
      </c>
      <c r="P58" s="42" t="s">
        <v>581</v>
      </c>
      <c r="Q58" s="42" t="s">
        <v>582</v>
      </c>
      <c r="R58" s="38" t="s">
        <v>375</v>
      </c>
      <c r="S58" s="38" t="s">
        <v>159</v>
      </c>
      <c r="T58" s="38"/>
      <c r="U58" s="38"/>
      <c r="V58" s="38"/>
      <c r="W58" s="42" t="s">
        <v>584</v>
      </c>
      <c r="X58" s="42" t="s">
        <v>580</v>
      </c>
      <c r="Y58" s="38" t="s">
        <v>45</v>
      </c>
      <c r="Z58" s="38" t="s">
        <v>46</v>
      </c>
      <c r="AA58" s="38" t="s">
        <v>585</v>
      </c>
      <c r="AB58" s="38" t="s">
        <v>586</v>
      </c>
      <c r="AC58" s="38" t="str">
        <f>SUBSTITUTE(Table610119[[#This Row],[field name]],"field: ","")</f>
        <v>"IDLICN"</v>
      </c>
      <c r="AD58" s="38" t="str">
        <f>SUBSTITUTE((CLEAN(TRIM(Table610119[[#This Row],[field id]]))&amp;": "&amp;CHAR(34)&amp;Table610119[[#This Row],[&lt;&lt;NOLA_Exchange&gt;&gt;
Booking]]&amp;CHAR(34)&amp;CHAR(44)),"/nola:BookingExchange","")</f>
        <v>"IDLICN": "/j:Booking/j:BookingSubject/RoleOfPerson/j:PersonAugmentation/j:DriverLicense/j:DriverLicenseCardIdentification/IdentificationID",</v>
      </c>
      <c r="AE58" s="32" t="str">
        <f>_xlfn.XLOOKUP(Table610119[[#This Row],[&lt;&lt;NOLA_Exchange&gt;&gt;
Booking]],Table26[XPATHS],Table26['#],"DNE")</f>
        <v>160book_xpath</v>
      </c>
      <c r="AF58" s="32" t="str">
        <f>CLEAN(TRIM(SUBSTITUTE(Table610119[[#This Row],[field id]],CHAR(34),"")))</f>
        <v>IDLICN</v>
      </c>
    </row>
    <row r="59" spans="1:32" ht="30" customHeight="1" x14ac:dyDescent="0.3">
      <c r="A59" s="28" t="str">
        <f t="shared" si="0"/>
        <v>58expanded_IMARRD_sorted</v>
      </c>
      <c r="B59" s="28">
        <f t="shared" si="1"/>
        <v>8</v>
      </c>
      <c r="C59" s="28">
        <f t="shared" si="2"/>
        <v>25</v>
      </c>
      <c r="D59" s="28">
        <f t="shared" si="3"/>
        <v>44</v>
      </c>
      <c r="E59" s="28" t="s">
        <v>32</v>
      </c>
      <c r="F59" s="38" t="s">
        <v>8</v>
      </c>
      <c r="G59" s="38">
        <v>259</v>
      </c>
      <c r="H59" s="39" t="s">
        <v>577</v>
      </c>
      <c r="I59" s="40" t="s">
        <v>591</v>
      </c>
      <c r="J59" s="38" t="s">
        <v>153</v>
      </c>
      <c r="K59" s="38" t="s">
        <v>592</v>
      </c>
      <c r="L59" s="38" t="s">
        <v>36</v>
      </c>
      <c r="M59" s="41" t="s">
        <v>37</v>
      </c>
      <c r="N59" s="38" t="s">
        <v>591</v>
      </c>
      <c r="O59" s="38" t="s">
        <v>593</v>
      </c>
      <c r="P59" s="42" t="s">
        <v>594</v>
      </c>
      <c r="Q59" s="42" t="s">
        <v>595</v>
      </c>
      <c r="R59" s="38" t="s">
        <v>190</v>
      </c>
      <c r="S59" s="38" t="s">
        <v>596</v>
      </c>
      <c r="T59" s="38"/>
      <c r="U59" s="38"/>
      <c r="V59" s="38"/>
      <c r="W59" s="42" t="s">
        <v>197</v>
      </c>
      <c r="X59" s="42" t="s">
        <v>593</v>
      </c>
      <c r="Y59" s="38" t="s">
        <v>45</v>
      </c>
      <c r="Z59" s="38" t="s">
        <v>46</v>
      </c>
      <c r="AA59" s="38" t="s">
        <v>598</v>
      </c>
      <c r="AB59" s="38" t="s">
        <v>599</v>
      </c>
      <c r="AC59" s="38" t="str">
        <f>SUBSTITUTE(Table610119[[#This Row],[field name]],"field: ","")</f>
        <v>"IDSTCDL"</v>
      </c>
      <c r="AD59" s="38" t="str">
        <f>SUBSTITUTE((CLEAN(TRIM(Table610119[[#This Row],[field id]]))&amp;": "&amp;CHAR(34)&amp;Table610119[[#This Row],[&lt;&lt;NOLA_Exchange&gt;&gt;
Booking]]&amp;CHAR(34)&amp;CHAR(44)),"/nola:BookingExchange","")</f>
        <v>"IDSTCDL": "/j:Booking/j:BookingSubject/RoleOfPerson/j:PersonAugmentation/j:DriverLicense/j:DriverLicenseCardIdentification/IdentificationJurisdiction/JurisdictionLocation/Address/AddressState/ncic:StateUSCode",</v>
      </c>
      <c r="AE59" s="32" t="str">
        <f>_xlfn.XLOOKUP(Table610119[[#This Row],[&lt;&lt;NOLA_Exchange&gt;&gt;
Booking]],Table26[XPATHS],Table26['#],"DNE")</f>
        <v>165book_xpath</v>
      </c>
      <c r="AF59" s="32" t="str">
        <f>CLEAN(TRIM(SUBSTITUTE(Table610119[[#This Row],[field id]],CHAR(34),"")))</f>
        <v>IDSTCDL</v>
      </c>
    </row>
    <row r="60" spans="1:32" ht="30" customHeight="1" x14ac:dyDescent="0.3">
      <c r="A60" s="28" t="str">
        <f t="shared" si="0"/>
        <v>59expanded_IMARRD_sorted</v>
      </c>
      <c r="B60" s="28">
        <f t="shared" si="1"/>
        <v>8</v>
      </c>
      <c r="C60" s="28">
        <f t="shared" si="2"/>
        <v>26</v>
      </c>
      <c r="D60" s="28">
        <f t="shared" si="3"/>
        <v>44</v>
      </c>
      <c r="E60" s="28" t="s">
        <v>32</v>
      </c>
      <c r="F60" s="38" t="s">
        <v>8</v>
      </c>
      <c r="G60" s="38">
        <v>260</v>
      </c>
      <c r="H60" s="39" t="s">
        <v>577</v>
      </c>
      <c r="I60" s="40" t="s">
        <v>604</v>
      </c>
      <c r="J60" s="38" t="s">
        <v>605</v>
      </c>
      <c r="K60" s="38" t="s">
        <v>2234</v>
      </c>
      <c r="L60" s="38" t="s">
        <v>36</v>
      </c>
      <c r="M60" s="41" t="s">
        <v>37</v>
      </c>
      <c r="N60" s="38" t="s">
        <v>604</v>
      </c>
      <c r="O60" s="38" t="s">
        <v>607</v>
      </c>
      <c r="P60" s="42" t="s">
        <v>608</v>
      </c>
      <c r="Q60" s="42" t="s">
        <v>609</v>
      </c>
      <c r="R60" s="43" t="s">
        <v>610</v>
      </c>
      <c r="S60" s="38" t="s">
        <v>611</v>
      </c>
      <c r="T60" s="38"/>
      <c r="U60" s="38"/>
      <c r="V60" s="38"/>
      <c r="W60" s="42" t="s">
        <v>2235</v>
      </c>
      <c r="X60" s="42" t="s">
        <v>607</v>
      </c>
      <c r="Y60" s="38" t="s">
        <v>45</v>
      </c>
      <c r="Z60" s="38" t="s">
        <v>46</v>
      </c>
      <c r="AA60" s="38" t="s">
        <v>614</v>
      </c>
      <c r="AB60" s="38" t="s">
        <v>615</v>
      </c>
      <c r="AC60" s="38" t="str">
        <f>SUBSTITUTE(Table610119[[#This Row],[field name]],"field: ","")</f>
        <v>"IDLICY"</v>
      </c>
      <c r="AD60" s="38" t="str">
        <f>SUBSTITUTE((CLEAN(TRIM(Table610119[[#This Row],[field id]]))&amp;": "&amp;CHAR(34)&amp;Table610119[[#This Row],[&lt;&lt;NOLA_Exchange&gt;&gt;
Booking]]&amp;CHAR(34)&amp;CHAR(44)),"/nola:BookingExchange","")</f>
        <v>"IDLICY": "/j:Booking/j:BookingSubject/RoleOfPerson/j:PersonAugmentation/j:DriverLicense/j:DriverLicenseCardIdentification/IdentificationExpirationDate/YearDate",</v>
      </c>
      <c r="AE60" s="32" t="str">
        <f>_xlfn.XLOOKUP(Table610119[[#This Row],[&lt;&lt;NOLA_Exchange&gt;&gt;
Booking]],Table26[XPATHS],Table26['#],"DNE")</f>
        <v>167book_xpath</v>
      </c>
      <c r="AF60" s="32" t="str">
        <f>CLEAN(TRIM(SUBSTITUTE(Table610119[[#This Row],[field id]],CHAR(34),"")))</f>
        <v>IDLICY</v>
      </c>
    </row>
    <row r="61" spans="1:32" ht="30" customHeight="1" x14ac:dyDescent="0.3">
      <c r="A61" s="28" t="str">
        <f t="shared" si="0"/>
        <v>60expanded_IMARRD_sorted</v>
      </c>
      <c r="B61" s="28">
        <f t="shared" si="1"/>
        <v>9</v>
      </c>
      <c r="C61" s="28">
        <f t="shared" si="2"/>
        <v>27</v>
      </c>
      <c r="D61" s="28">
        <f t="shared" si="3"/>
        <v>45</v>
      </c>
      <c r="E61" s="28" t="s">
        <v>32</v>
      </c>
      <c r="F61" s="38" t="s">
        <v>8</v>
      </c>
      <c r="G61" s="38">
        <v>322</v>
      </c>
      <c r="H61" s="39" t="s">
        <v>620</v>
      </c>
      <c r="I61" s="40" t="s">
        <v>621</v>
      </c>
      <c r="J61" s="38" t="s">
        <v>34</v>
      </c>
      <c r="K61" s="38" t="s">
        <v>622</v>
      </c>
      <c r="L61" s="38" t="s">
        <v>36</v>
      </c>
      <c r="M61" s="41" t="s">
        <v>57</v>
      </c>
      <c r="N61" s="38" t="s">
        <v>621</v>
      </c>
      <c r="O61" s="38" t="s">
        <v>631</v>
      </c>
      <c r="P61" s="42" t="s">
        <v>632</v>
      </c>
      <c r="Q61" s="42" t="s">
        <v>625</v>
      </c>
      <c r="R61" s="38" t="s">
        <v>626</v>
      </c>
      <c r="S61" s="38" t="s">
        <v>42</v>
      </c>
      <c r="T61" s="38"/>
      <c r="U61" s="38"/>
      <c r="V61" s="38"/>
      <c r="W61" s="42" t="s">
        <v>628</v>
      </c>
      <c r="X61" s="42" t="s">
        <v>631</v>
      </c>
      <c r="Y61" s="38" t="s">
        <v>45</v>
      </c>
      <c r="Z61" s="38" t="s">
        <v>46</v>
      </c>
      <c r="AA61" s="38" t="s">
        <v>629</v>
      </c>
      <c r="AB61" s="38" t="s">
        <v>633</v>
      </c>
      <c r="AC61" s="38" t="str">
        <f>SUBSTITUTE(Table610119[[#This Row],[field name]],"field: ","")</f>
        <v>"IDEMPR"</v>
      </c>
      <c r="AD61" s="38" t="str">
        <f>SUBSTITUTE((CLEAN(TRIM(Table610119[[#This Row],[field id]]))&amp;": "&amp;CHAR(34)&amp;Table610119[[#This Row],[&lt;&lt;NOLA_Exchange&gt;&gt;
Booking]]&amp;CHAR(34)&amp;CHAR(44)),"/nola:BookingExchange","")</f>
        <v>"IDEMPR": "/j:Booking/j:BookingSubject/RoleOfPerson/nola-ext:PersonAugmentation/PersonEmploymentAssociation/Employer/hs:EmployerAugmentation/hs:EmployerName",</v>
      </c>
      <c r="AE61" s="32" t="str">
        <f>_xlfn.XLOOKUP(Table610119[[#This Row],[&lt;&lt;NOLA_Exchange&gt;&gt;
Booking]],Table26[XPATHS],Table26['#],"DNE")</f>
        <v>153book_xpath</v>
      </c>
      <c r="AF61" s="32" t="str">
        <f>CLEAN(TRIM(SUBSTITUTE(Table610119[[#This Row],[field id]],CHAR(34),"")))</f>
        <v>IDEMPR</v>
      </c>
    </row>
    <row r="62" spans="1:32" ht="30" customHeight="1" x14ac:dyDescent="0.3">
      <c r="A62" s="28" t="str">
        <f t="shared" si="0"/>
        <v>61expanded_IMARRD_sorted</v>
      </c>
      <c r="B62" s="28">
        <f t="shared" si="1"/>
        <v>9</v>
      </c>
      <c r="C62" s="28">
        <f t="shared" si="2"/>
        <v>28</v>
      </c>
      <c r="D62" s="28">
        <f t="shared" si="3"/>
        <v>46</v>
      </c>
      <c r="E62" s="28" t="s">
        <v>32</v>
      </c>
      <c r="F62" s="38" t="s">
        <v>8</v>
      </c>
      <c r="G62" s="38">
        <v>323</v>
      </c>
      <c r="H62" s="39" t="s">
        <v>620</v>
      </c>
      <c r="I62" s="40" t="s">
        <v>634</v>
      </c>
      <c r="J62" s="38" t="s">
        <v>34</v>
      </c>
      <c r="K62" s="38" t="s">
        <v>635</v>
      </c>
      <c r="L62" s="38" t="s">
        <v>36</v>
      </c>
      <c r="M62" s="41" t="s">
        <v>37</v>
      </c>
      <c r="N62" s="38" t="s">
        <v>634</v>
      </c>
      <c r="O62" s="38" t="s">
        <v>636</v>
      </c>
      <c r="P62" s="42" t="s">
        <v>637</v>
      </c>
      <c r="Q62" s="42" t="s">
        <v>638</v>
      </c>
      <c r="R62" s="38" t="s">
        <v>639</v>
      </c>
      <c r="S62" s="38" t="s">
        <v>42</v>
      </c>
      <c r="T62" s="38"/>
      <c r="U62" s="38"/>
      <c r="V62" s="38"/>
      <c r="W62" s="42" t="s">
        <v>641</v>
      </c>
      <c r="X62" s="42" t="s">
        <v>636</v>
      </c>
      <c r="Y62" s="38" t="s">
        <v>45</v>
      </c>
      <c r="Z62" s="38" t="s">
        <v>46</v>
      </c>
      <c r="AA62" s="38" t="s">
        <v>642</v>
      </c>
      <c r="AB62" s="38" t="s">
        <v>643</v>
      </c>
      <c r="AC62" s="38" t="str">
        <f>SUBSTITUTE(Table610119[[#This Row],[field name]],"field: ","")</f>
        <v>"IDOCUP"</v>
      </c>
      <c r="AD62" s="38" t="str">
        <f>SUBSTITUTE((CLEAN(TRIM(Table610119[[#This Row],[field id]]))&amp;": "&amp;CHAR(34)&amp;Table610119[[#This Row],[&lt;&lt;NOLA_Exchange&gt;&gt;
Booking]]&amp;CHAR(34)&amp;CHAR(44)),"/nola:BookingExchange","")</f>
        <v>"IDOCUP": "/j:Booking/j:BookingSubject/RoleOfPerson/nola-ext:PersonAugmentation/PersonEmploymentAssociation/EmployeeOccupationText",</v>
      </c>
      <c r="AE62" s="32" t="str">
        <f>_xlfn.XLOOKUP(Table610119[[#This Row],[&lt;&lt;NOLA_Exchange&gt;&gt;
Booking]],Table26[XPATHS],Table26['#],"DNE")</f>
        <v>154book_xpath</v>
      </c>
      <c r="AF62" s="32" t="str">
        <f>CLEAN(TRIM(SUBSTITUTE(Table610119[[#This Row],[field id]],CHAR(34),"")))</f>
        <v>IDOCUP</v>
      </c>
    </row>
    <row r="63" spans="1:32" ht="30" customHeight="1" x14ac:dyDescent="0.3">
      <c r="A63" s="28" t="str">
        <f t="shared" si="0"/>
        <v>62expanded_IMARRD_sorted</v>
      </c>
      <c r="B63" s="28">
        <f t="shared" si="1"/>
        <v>10</v>
      </c>
      <c r="C63" s="28">
        <f t="shared" si="2"/>
        <v>29</v>
      </c>
      <c r="D63" s="28">
        <f t="shared" si="3"/>
        <v>46</v>
      </c>
      <c r="E63" s="28" t="s">
        <v>32</v>
      </c>
      <c r="F63" s="38" t="s">
        <v>8</v>
      </c>
      <c r="G63" s="38">
        <v>73</v>
      </c>
      <c r="H63" s="39" t="s">
        <v>648</v>
      </c>
      <c r="I63" s="40" t="s">
        <v>649</v>
      </c>
      <c r="J63" s="38" t="s">
        <v>34</v>
      </c>
      <c r="K63" s="38" t="s">
        <v>650</v>
      </c>
      <c r="L63" s="38" t="s">
        <v>36</v>
      </c>
      <c r="M63" s="41" t="s">
        <v>37</v>
      </c>
      <c r="N63" s="38" t="s">
        <v>649</v>
      </c>
      <c r="O63" s="38" t="s">
        <v>651</v>
      </c>
      <c r="P63" s="42" t="s">
        <v>652</v>
      </c>
      <c r="Q63" s="42" t="s">
        <v>653</v>
      </c>
      <c r="R63" s="38" t="s">
        <v>375</v>
      </c>
      <c r="S63" s="38" t="s">
        <v>159</v>
      </c>
      <c r="T63" s="38"/>
      <c r="U63" s="38"/>
      <c r="V63" s="38"/>
      <c r="W63" s="42" t="s">
        <v>655</v>
      </c>
      <c r="X63" s="42" t="s">
        <v>651</v>
      </c>
      <c r="Y63" s="38" t="s">
        <v>45</v>
      </c>
      <c r="Z63" s="38" t="s">
        <v>46</v>
      </c>
      <c r="AA63" s="38" t="s">
        <v>656</v>
      </c>
      <c r="AB63" s="38" t="s">
        <v>657</v>
      </c>
      <c r="AC63" s="38" t="str">
        <f>SUBSTITUTE(Table610119[[#This Row],[field name]],"field: ","")</f>
        <v>"IDITMN"</v>
      </c>
      <c r="AD63" s="38" t="str">
        <f>SUBSTITUTE((CLEAN(TRIM(Table610119[[#This Row],[field id]]))&amp;": "&amp;CHAR(34)&amp;Table610119[[#This Row],[&lt;&lt;NOLA_Exchange&gt;&gt;
Booking]]&amp;CHAR(34)&amp;CHAR(44)),"/nola:BookingExchange","")</f>
        <v>"IDITMN": "/j:Booking/j:Arrest/nola-ext:ArrestAugmentation/Incident/ActivityIdentification/IdentificationID",</v>
      </c>
      <c r="AE63" s="32" t="str">
        <f>_xlfn.XLOOKUP(Table610119[[#This Row],[&lt;&lt;NOLA_Exchange&gt;&gt;
Booking]],Table26[XPATHS],Table26['#],"DNE")</f>
        <v>375book_xpath</v>
      </c>
      <c r="AF63" s="32" t="str">
        <f>CLEAN(TRIM(SUBSTITUTE(Table610119[[#This Row],[field id]],CHAR(34),"")))</f>
        <v>IDITMN</v>
      </c>
    </row>
    <row r="64" spans="1:32" ht="30" customHeight="1" x14ac:dyDescent="0.3">
      <c r="A64" s="28" t="str">
        <f t="shared" si="0"/>
        <v>63expanded_IMARRD_sorted</v>
      </c>
      <c r="B64" s="28">
        <f t="shared" si="1"/>
        <v>11</v>
      </c>
      <c r="C64" s="28">
        <f t="shared" si="2"/>
        <v>30</v>
      </c>
      <c r="D64" s="28">
        <f t="shared" si="3"/>
        <v>46</v>
      </c>
      <c r="E64" s="28" t="s">
        <v>32</v>
      </c>
      <c r="F64" s="38" t="s">
        <v>8</v>
      </c>
      <c r="G64" s="38">
        <v>173</v>
      </c>
      <c r="H64" s="39" t="s">
        <v>658</v>
      </c>
      <c r="I64" s="40" t="s">
        <v>659</v>
      </c>
      <c r="J64" s="38" t="s">
        <v>34</v>
      </c>
      <c r="K64" s="38" t="s">
        <v>660</v>
      </c>
      <c r="L64" s="38" t="s">
        <v>440</v>
      </c>
      <c r="M64" s="41" t="s">
        <v>37</v>
      </c>
      <c r="N64" s="38" t="s">
        <v>659</v>
      </c>
      <c r="O64" s="38" t="s">
        <v>661</v>
      </c>
      <c r="P64" s="42" t="s">
        <v>662</v>
      </c>
      <c r="Q64" s="42" t="s">
        <v>663</v>
      </c>
      <c r="R64" s="38" t="s">
        <v>375</v>
      </c>
      <c r="S64" s="38" t="s">
        <v>159</v>
      </c>
      <c r="T64" s="38"/>
      <c r="U64" s="38"/>
      <c r="V64" s="38"/>
      <c r="W64" s="42" t="s">
        <v>665</v>
      </c>
      <c r="X64" s="42" t="s">
        <v>661</v>
      </c>
      <c r="Y64" s="38" t="s">
        <v>45</v>
      </c>
      <c r="Z64" s="38" t="s">
        <v>46</v>
      </c>
      <c r="AA64" s="38" t="s">
        <v>666</v>
      </c>
      <c r="AB64" s="38" t="s">
        <v>667</v>
      </c>
      <c r="AC64" s="38" t="str">
        <f>SUBSTITUTE(Table610119[[#This Row],[field name]],"field: ","")</f>
        <v>"IDBADGAO"</v>
      </c>
      <c r="AD64" s="38" t="str">
        <f>SUBSTITUTE((CLEAN(TRIM(Table610119[[#This Row],[field id]]))&amp;": "&amp;CHAR(34)&amp;Table610119[[#This Row],[&lt;&lt;NOLA_Exchange&gt;&gt;
Booking]]&amp;CHAR(34)&amp;CHAR(44)),"/nola:BookingExchange","")</f>
        <v>"IDBADGAO": "/j:Booking/j:Arrest/j:ArrestOfficial[1]/j:EnforcementOfficialBadgeIdentification/IdentificationID",</v>
      </c>
      <c r="AE64" s="32" t="str">
        <f>_xlfn.XLOOKUP(Table610119[[#This Row],[&lt;&lt;NOLA_Exchange&gt;&gt;
Booking]],Table26[XPATHS],Table26['#],"DNE")</f>
        <v>339book_xpath</v>
      </c>
      <c r="AF64" s="32" t="str">
        <f>CLEAN(TRIM(SUBSTITUTE(Table610119[[#This Row],[field id]],CHAR(34),"")))</f>
        <v>IDBADGAO</v>
      </c>
    </row>
    <row r="65" spans="1:32" ht="30" customHeight="1" x14ac:dyDescent="0.3">
      <c r="A65" s="28" t="str">
        <f t="shared" si="0"/>
        <v>64expanded_IMARRD_sorted</v>
      </c>
      <c r="B65" s="28">
        <f t="shared" si="1"/>
        <v>11</v>
      </c>
      <c r="C65" s="28">
        <f t="shared" si="2"/>
        <v>30</v>
      </c>
      <c r="D65" s="28">
        <f t="shared" si="3"/>
        <v>47</v>
      </c>
      <c r="E65" s="28" t="s">
        <v>32</v>
      </c>
      <c r="F65" s="38" t="s">
        <v>8</v>
      </c>
      <c r="G65" s="38">
        <v>173</v>
      </c>
      <c r="H65" s="39" t="s">
        <v>658</v>
      </c>
      <c r="I65" s="40" t="s">
        <v>659</v>
      </c>
      <c r="J65" s="38" t="s">
        <v>34</v>
      </c>
      <c r="K65" s="38" t="s">
        <v>660</v>
      </c>
      <c r="L65" s="38" t="s">
        <v>440</v>
      </c>
      <c r="M65" s="41" t="s">
        <v>52</v>
      </c>
      <c r="N65" s="38" t="s">
        <v>659</v>
      </c>
      <c r="O65" s="38" t="s">
        <v>668</v>
      </c>
      <c r="P65" s="42" t="s">
        <v>669</v>
      </c>
      <c r="Q65" s="42" t="s">
        <v>663</v>
      </c>
      <c r="R65" s="38" t="s">
        <v>375</v>
      </c>
      <c r="S65" s="38" t="s">
        <v>159</v>
      </c>
      <c r="T65" s="38"/>
      <c r="U65" s="38"/>
      <c r="V65" s="38"/>
      <c r="W65" s="42" t="s">
        <v>670</v>
      </c>
      <c r="X65" s="42" t="s">
        <v>668</v>
      </c>
      <c r="Y65" s="38" t="s">
        <v>45</v>
      </c>
      <c r="Z65" s="38" t="s">
        <v>46</v>
      </c>
      <c r="AA65" s="38" t="s">
        <v>671</v>
      </c>
      <c r="AB65" s="38" t="s">
        <v>672</v>
      </c>
      <c r="AC65" s="38" t="str">
        <f>SUBSTITUTE(Table610119[[#This Row],[field name]],"field: ","")</f>
        <v>"IDBADGTO"</v>
      </c>
      <c r="AD65" s="38" t="str">
        <f>SUBSTITUTE((CLEAN(TRIM(Table610119[[#This Row],[field id]]))&amp;": "&amp;CHAR(34)&amp;Table610119[[#This Row],[&lt;&lt;NOLA_Exchange&gt;&gt;
Booking]]&amp;CHAR(34)&amp;CHAR(44)),"/nola:BookingExchange","")</f>
        <v>"IDBADGTO": "/j:Booking/j:Arrest/j:ArrestOfficial[2]/j:EnforcementOfficialBadgeIdentification/IdentificationID",</v>
      </c>
      <c r="AE65" s="32" t="str">
        <f>_xlfn.XLOOKUP(Table610119[[#This Row],[&lt;&lt;NOLA_Exchange&gt;&gt;
Booking]],Table26[XPATHS],Table26['#],"DNE")</f>
        <v>364book_xpath</v>
      </c>
      <c r="AF65" s="32" t="str">
        <f>CLEAN(TRIM(SUBSTITUTE(Table610119[[#This Row],[field id]],CHAR(34),"")))</f>
        <v>IDBADGTO</v>
      </c>
    </row>
    <row r="66" spans="1:32" ht="30" customHeight="1" x14ac:dyDescent="0.3">
      <c r="A66" s="28" t="str">
        <f t="shared" ref="A66:A110" si="4">ROW(A65)&amp;"expanded_IMARRD_sorted"</f>
        <v>65expanded_IMARRD_sorted</v>
      </c>
      <c r="B66" s="28">
        <f t="shared" si="1"/>
        <v>11</v>
      </c>
      <c r="C66" s="28">
        <f t="shared" si="2"/>
        <v>31</v>
      </c>
      <c r="D66" s="28">
        <f t="shared" si="3"/>
        <v>48</v>
      </c>
      <c r="E66" s="28" t="s">
        <v>32</v>
      </c>
      <c r="F66" s="38" t="s">
        <v>8</v>
      </c>
      <c r="G66" s="38">
        <v>182</v>
      </c>
      <c r="H66" s="39" t="s">
        <v>658</v>
      </c>
      <c r="I66" s="40" t="s">
        <v>695</v>
      </c>
      <c r="J66" s="38" t="s">
        <v>34</v>
      </c>
      <c r="K66" s="38" t="s">
        <v>696</v>
      </c>
      <c r="L66" s="38" t="s">
        <v>440</v>
      </c>
      <c r="M66" s="41" t="s">
        <v>37</v>
      </c>
      <c r="N66" s="38" t="s">
        <v>695</v>
      </c>
      <c r="O66" s="38" t="s">
        <v>697</v>
      </c>
      <c r="P66" s="42" t="s">
        <v>698</v>
      </c>
      <c r="Q66" s="42" t="s">
        <v>699</v>
      </c>
      <c r="R66" s="38" t="s">
        <v>700</v>
      </c>
      <c r="S66" s="38" t="s">
        <v>42</v>
      </c>
      <c r="T66" s="38"/>
      <c r="U66" s="38"/>
      <c r="V66" s="38"/>
      <c r="W66" s="42" t="s">
        <v>707</v>
      </c>
      <c r="X66" s="42" t="s">
        <v>697</v>
      </c>
      <c r="Y66" s="38" t="s">
        <v>45</v>
      </c>
      <c r="Z66" s="38" t="s">
        <v>46</v>
      </c>
      <c r="AA66" s="38" t="s">
        <v>703</v>
      </c>
      <c r="AB66" s="38" t="s">
        <v>704</v>
      </c>
      <c r="AC66" s="38" t="str">
        <f>SUBSTITUTE(Table610119[[#This Row],[field name]],"field: ","")</f>
        <v>"IDUNITTO"</v>
      </c>
      <c r="AD66" s="38" t="str">
        <f>SUBSTITUTE((CLEAN(TRIM(Table610119[[#This Row],[field id]]))&amp;": "&amp;CHAR(34)&amp;Table610119[[#This Row],[&lt;&lt;NOLA_Exchange&gt;&gt;
Booking]]&amp;CHAR(34)&amp;CHAR(44)),"/nola:BookingExchange","")</f>
        <v>"IDUNITTO": "/j:Booking/j:Arrest/j:ArrestOfficial[2]/j:EnforcementOfficialUnit/j:EnforcementUnitName",</v>
      </c>
      <c r="AE66" s="32" t="str">
        <f>_xlfn.XLOOKUP(Table610119[[#This Row],[&lt;&lt;NOLA_Exchange&gt;&gt;
Booking]],Table26[XPATHS],Table26['#],"DNE")</f>
        <v>371book_xpath</v>
      </c>
      <c r="AF66" s="32" t="str">
        <f>CLEAN(TRIM(SUBSTITUTE(Table610119[[#This Row],[field id]],CHAR(34),"")))</f>
        <v>IDUNITTO</v>
      </c>
    </row>
    <row r="67" spans="1:32" ht="30" customHeight="1" x14ac:dyDescent="0.3">
      <c r="A67" s="28" t="str">
        <f t="shared" si="4"/>
        <v>66expanded_IMARRD_sorted</v>
      </c>
      <c r="B67" s="28">
        <f t="shared" ref="B67:B110" si="5">IF(H66=H67,B66,B66+1)</f>
        <v>11</v>
      </c>
      <c r="C67" s="28">
        <f t="shared" ref="C67:C110" si="6">IF(I66=I67,C66,C66+1)</f>
        <v>31</v>
      </c>
      <c r="D67" s="28">
        <f t="shared" ref="D67:D110" si="7">IF(M66=M67,D66,D66+1)</f>
        <v>49</v>
      </c>
      <c r="E67" s="28" t="s">
        <v>32</v>
      </c>
      <c r="F67" s="38" t="s">
        <v>8</v>
      </c>
      <c r="G67" s="38">
        <v>182</v>
      </c>
      <c r="H67" s="39" t="s">
        <v>658</v>
      </c>
      <c r="I67" s="40" t="s">
        <v>695</v>
      </c>
      <c r="J67" s="38" t="s">
        <v>34</v>
      </c>
      <c r="K67" s="38" t="s">
        <v>696</v>
      </c>
      <c r="L67" s="38" t="s">
        <v>440</v>
      </c>
      <c r="M67" s="41" t="s">
        <v>52</v>
      </c>
      <c r="N67" s="38" t="s">
        <v>695</v>
      </c>
      <c r="O67" s="38" t="s">
        <v>705</v>
      </c>
      <c r="P67" s="42" t="s">
        <v>706</v>
      </c>
      <c r="Q67" s="42" t="s">
        <v>699</v>
      </c>
      <c r="R67" s="38" t="s">
        <v>700</v>
      </c>
      <c r="S67" s="38" t="s">
        <v>42</v>
      </c>
      <c r="T67" s="38"/>
      <c r="U67" s="38"/>
      <c r="V67" s="38"/>
      <c r="W67" s="42" t="s">
        <v>702</v>
      </c>
      <c r="X67" s="42" t="s">
        <v>705</v>
      </c>
      <c r="Y67" s="38" t="s">
        <v>45</v>
      </c>
      <c r="Z67" s="38" t="s">
        <v>46</v>
      </c>
      <c r="AA67" s="38" t="s">
        <v>708</v>
      </c>
      <c r="AB67" s="38" t="s">
        <v>709</v>
      </c>
      <c r="AC67" s="38" t="str">
        <f>SUBSTITUTE(Table610119[[#This Row],[field name]],"field: ","")</f>
        <v>"IDUNITAO"</v>
      </c>
      <c r="AD67" s="38" t="str">
        <f>SUBSTITUTE((CLEAN(TRIM(Table610119[[#This Row],[field id]]))&amp;": "&amp;CHAR(34)&amp;Table610119[[#This Row],[&lt;&lt;NOLA_Exchange&gt;&gt;
Booking]]&amp;CHAR(34)&amp;CHAR(44)),"/nola:BookingExchange","")</f>
        <v>"IDUNITAO": "/j:Booking/j:Arrest/j:ArrestOfficial[1]/j:EnforcementOfficialUnit/j:EnforcementUnitName",</v>
      </c>
      <c r="AE67" s="32" t="str">
        <f>_xlfn.XLOOKUP(Table610119[[#This Row],[&lt;&lt;NOLA_Exchange&gt;&gt;
Booking]],Table26[XPATHS],Table26['#],"DNE")</f>
        <v>346book_xpath</v>
      </c>
      <c r="AF67" s="32" t="str">
        <f>CLEAN(TRIM(SUBSTITUTE(Table610119[[#This Row],[field id]],CHAR(34),"")))</f>
        <v>IDUNITAO</v>
      </c>
    </row>
    <row r="68" spans="1:32" ht="30" customHeight="1" x14ac:dyDescent="0.3">
      <c r="A68" s="28" t="str">
        <f t="shared" si="4"/>
        <v>67expanded_IMARRD_sorted</v>
      </c>
      <c r="B68" s="28">
        <f t="shared" si="5"/>
        <v>12</v>
      </c>
      <c r="C68" s="28">
        <f t="shared" si="6"/>
        <v>32</v>
      </c>
      <c r="D68" s="28">
        <f t="shared" si="7"/>
        <v>50</v>
      </c>
      <c r="E68" s="28" t="s">
        <v>32</v>
      </c>
      <c r="F68" s="38" t="s">
        <v>8</v>
      </c>
      <c r="G68" s="38">
        <v>204</v>
      </c>
      <c r="H68" s="39" t="s">
        <v>717</v>
      </c>
      <c r="I68" s="40" t="s">
        <v>718</v>
      </c>
      <c r="J68" s="38" t="s">
        <v>719</v>
      </c>
      <c r="K68" s="38" t="s">
        <v>720</v>
      </c>
      <c r="L68" s="38" t="s">
        <v>36</v>
      </c>
      <c r="M68" s="41" t="s">
        <v>37</v>
      </c>
      <c r="N68" s="38" t="s">
        <v>718</v>
      </c>
      <c r="O68" s="38" t="s">
        <v>721</v>
      </c>
      <c r="P68" s="42" t="s">
        <v>722</v>
      </c>
      <c r="Q68" s="42" t="s">
        <v>723</v>
      </c>
      <c r="R68" s="38" t="s">
        <v>724</v>
      </c>
      <c r="S68" s="38" t="s">
        <v>725</v>
      </c>
      <c r="T68" s="38"/>
      <c r="U68" s="38"/>
      <c r="V68" s="38" t="s">
        <v>727</v>
      </c>
      <c r="W68" s="50" t="s">
        <v>728</v>
      </c>
      <c r="X68" s="42" t="s">
        <v>721</v>
      </c>
      <c r="Y68" s="38" t="s">
        <v>45</v>
      </c>
      <c r="Z68" s="38" t="s">
        <v>46</v>
      </c>
      <c r="AA68" s="52" t="s">
        <v>729</v>
      </c>
      <c r="AB68" s="52" t="s">
        <v>730</v>
      </c>
      <c r="AC68" s="38" t="str">
        <f>SUBSTITUTE(Table610119[[#This Row],[field name]],"field: ","")</f>
        <v>"IDEYES"</v>
      </c>
      <c r="AD68" s="38" t="str">
        <f>SUBSTITUTE((CLEAN(TRIM(Table610119[[#This Row],[field id]]))&amp;": "&amp;CHAR(34)&amp;Table610119[[#This Row],[&lt;&lt;NOLA_Exchange&gt;&gt;
Booking]]&amp;CHAR(34)&amp;CHAR(44)),"/nola:BookingExchange","")</f>
        <v>"IDEYES": "/j:Booking/j:BookingSubject/RoleOfPerson/j:PersonEyeColorCode",</v>
      </c>
      <c r="AE68" s="32" t="str">
        <f>_xlfn.XLOOKUP(Table610119[[#This Row],[&lt;&lt;NOLA_Exchange&gt;&gt;
Booking]],Table26[XPATHS],Table26['#],"DNE")</f>
        <v>38book_xpath</v>
      </c>
      <c r="AF68" s="32" t="str">
        <f>CLEAN(TRIM(SUBSTITUTE(Table610119[[#This Row],[field id]],CHAR(34),"")))</f>
        <v>IDEYES</v>
      </c>
    </row>
    <row r="69" spans="1:32" ht="30" customHeight="1" x14ac:dyDescent="0.3">
      <c r="A69" s="28" t="str">
        <f t="shared" si="4"/>
        <v>68expanded_IMARRD_sorted</v>
      </c>
      <c r="B69" s="28">
        <f t="shared" si="5"/>
        <v>12</v>
      </c>
      <c r="C69" s="28">
        <f t="shared" si="6"/>
        <v>33</v>
      </c>
      <c r="D69" s="28">
        <f t="shared" si="7"/>
        <v>50</v>
      </c>
      <c r="E69" s="28" t="s">
        <v>32</v>
      </c>
      <c r="F69" s="38" t="s">
        <v>8</v>
      </c>
      <c r="G69" s="38">
        <v>210</v>
      </c>
      <c r="H69" s="39" t="s">
        <v>717</v>
      </c>
      <c r="I69" s="40" t="s">
        <v>735</v>
      </c>
      <c r="J69" s="38" t="s">
        <v>34</v>
      </c>
      <c r="K69" s="38" t="s">
        <v>736</v>
      </c>
      <c r="L69" s="38" t="s">
        <v>36</v>
      </c>
      <c r="M69" s="41" t="s">
        <v>37</v>
      </c>
      <c r="N69" s="38" t="s">
        <v>735</v>
      </c>
      <c r="O69" s="38" t="s">
        <v>737</v>
      </c>
      <c r="P69" s="42" t="s">
        <v>738</v>
      </c>
      <c r="Q69" s="42" t="s">
        <v>739</v>
      </c>
      <c r="R69" s="38" t="s">
        <v>740</v>
      </c>
      <c r="S69" s="38" t="s">
        <v>42</v>
      </c>
      <c r="T69" s="38"/>
      <c r="U69" s="38"/>
      <c r="V69" s="38"/>
      <c r="W69" s="42" t="s">
        <v>742</v>
      </c>
      <c r="X69" s="42" t="s">
        <v>737</v>
      </c>
      <c r="Y69" s="38" t="s">
        <v>45</v>
      </c>
      <c r="Z69" s="38" t="s">
        <v>46</v>
      </c>
      <c r="AA69" s="38" t="s">
        <v>743</v>
      </c>
      <c r="AB69" s="38" t="s">
        <v>744</v>
      </c>
      <c r="AC69" s="38" t="str">
        <f>SUBSTITUTE(Table610119[[#This Row],[field name]],"field: ","")</f>
        <v>"IDSEXC"</v>
      </c>
      <c r="AD69" s="38" t="str">
        <f>SUBSTITUTE((CLEAN(TRIM(Table610119[[#This Row],[field id]]))&amp;": "&amp;CHAR(34)&amp;Table610119[[#This Row],[&lt;&lt;NOLA_Exchange&gt;&gt;
Booking]]&amp;CHAR(34)&amp;CHAR(44)),"/nola:BookingExchange","")</f>
        <v>"IDSEXC": "/j:Booking/j:BookingSubject/RoleOfPerson/hs:PersonAugmentation/hs:PersonGenderIdentityText",</v>
      </c>
      <c r="AE69" s="32" t="str">
        <f>_xlfn.XLOOKUP(Table610119[[#This Row],[&lt;&lt;NOLA_Exchange&gt;&gt;
Booking]],Table26[XPATHS],Table26['#],"DNE")</f>
        <v>205book_xpath</v>
      </c>
      <c r="AF69" s="32" t="str">
        <f>CLEAN(TRIM(SUBSTITUTE(Table610119[[#This Row],[field id]],CHAR(34),"")))</f>
        <v>IDSEXC</v>
      </c>
    </row>
    <row r="70" spans="1:32" ht="30" customHeight="1" x14ac:dyDescent="0.3">
      <c r="A70" s="28" t="str">
        <f t="shared" si="4"/>
        <v>69expanded_IMARRD_sorted</v>
      </c>
      <c r="B70" s="28">
        <f t="shared" si="5"/>
        <v>12</v>
      </c>
      <c r="C70" s="28">
        <f t="shared" si="6"/>
        <v>34</v>
      </c>
      <c r="D70" s="28">
        <f t="shared" si="7"/>
        <v>51</v>
      </c>
      <c r="E70" s="28" t="s">
        <v>32</v>
      </c>
      <c r="F70" s="38" t="s">
        <v>8</v>
      </c>
      <c r="G70" s="38">
        <v>203</v>
      </c>
      <c r="H70" s="39" t="s">
        <v>717</v>
      </c>
      <c r="I70" s="40" t="s">
        <v>745</v>
      </c>
      <c r="J70" s="38" t="s">
        <v>746</v>
      </c>
      <c r="K70" s="38" t="s">
        <v>747</v>
      </c>
      <c r="L70" s="38" t="s">
        <v>36</v>
      </c>
      <c r="M70" s="41" t="s">
        <v>182</v>
      </c>
      <c r="N70" s="38" t="s">
        <v>745</v>
      </c>
      <c r="O70" s="38" t="s">
        <v>756</v>
      </c>
      <c r="P70" s="42" t="s">
        <v>757</v>
      </c>
      <c r="Q70" s="42" t="s">
        <v>750</v>
      </c>
      <c r="R70" s="38" t="s">
        <v>751</v>
      </c>
      <c r="S70" s="38" t="s">
        <v>42</v>
      </c>
      <c r="T70" s="38"/>
      <c r="U70" s="38"/>
      <c r="V70" s="38" t="s">
        <v>727</v>
      </c>
      <c r="W70" s="42" t="s">
        <v>753</v>
      </c>
      <c r="X70" s="42" t="s">
        <v>756</v>
      </c>
      <c r="Y70" s="38" t="s">
        <v>45</v>
      </c>
      <c r="Z70" s="38" t="s">
        <v>46</v>
      </c>
      <c r="AA70" s="38" t="s">
        <v>758</v>
      </c>
      <c r="AB70" s="38" t="s">
        <v>759</v>
      </c>
      <c r="AC70" s="38" t="str">
        <f>SUBSTITUTE(Table610119[[#This Row],[field name]],"field: ","")</f>
        <v>"IDHAIR"</v>
      </c>
      <c r="AD70" s="38" t="str">
        <f>SUBSTITUTE((CLEAN(TRIM(Table610119[[#This Row],[field id]]))&amp;": "&amp;CHAR(34)&amp;Table610119[[#This Row],[&lt;&lt;NOLA_Exchange&gt;&gt;
Booking]]&amp;CHAR(34)&amp;CHAR(44)),"/nola:BookingExchange","")</f>
        <v>"IDHAIR": "/j:Booking/j:BookingSubject/RoleOfPerson/PersonHairColorText",</v>
      </c>
      <c r="AE70" s="32" t="str">
        <f>_xlfn.XLOOKUP(Table610119[[#This Row],[&lt;&lt;NOLA_Exchange&gt;&gt;
Booking]],Table26[XPATHS],Table26['#],"DNE")</f>
        <v>39book_xpath</v>
      </c>
      <c r="AF70" s="32" t="str">
        <f>CLEAN(TRIM(SUBSTITUTE(Table610119[[#This Row],[field id]],CHAR(34),"")))</f>
        <v>IDHAIR</v>
      </c>
    </row>
    <row r="71" spans="1:32" ht="30" customHeight="1" x14ac:dyDescent="0.3">
      <c r="A71" s="28" t="str">
        <f t="shared" si="4"/>
        <v>70expanded_IMARRD_sorted</v>
      </c>
      <c r="B71" s="28">
        <f t="shared" si="5"/>
        <v>12</v>
      </c>
      <c r="C71" s="28">
        <f t="shared" si="6"/>
        <v>35</v>
      </c>
      <c r="D71" s="28">
        <f t="shared" si="7"/>
        <v>52</v>
      </c>
      <c r="E71" s="28" t="s">
        <v>32</v>
      </c>
      <c r="F71" s="38" t="s">
        <v>8</v>
      </c>
      <c r="G71" s="38">
        <v>205</v>
      </c>
      <c r="H71" s="39" t="s">
        <v>717</v>
      </c>
      <c r="I71" s="40" t="s">
        <v>760</v>
      </c>
      <c r="J71" s="38" t="s">
        <v>370</v>
      </c>
      <c r="K71" s="38" t="s">
        <v>761</v>
      </c>
      <c r="L71" s="38" t="s">
        <v>762</v>
      </c>
      <c r="M71" s="41" t="s">
        <v>37</v>
      </c>
      <c r="N71" s="38" t="s">
        <v>760</v>
      </c>
      <c r="O71" s="38" t="s">
        <v>763</v>
      </c>
      <c r="P71" s="42" t="s">
        <v>764</v>
      </c>
      <c r="Q71" s="42" t="s">
        <v>765</v>
      </c>
      <c r="R71" s="38" t="s">
        <v>2479</v>
      </c>
      <c r="S71" s="38" t="s">
        <v>42</v>
      </c>
      <c r="T71" s="38"/>
      <c r="U71" s="38" t="s">
        <v>768</v>
      </c>
      <c r="V71" s="38"/>
      <c r="W71" s="42" t="s">
        <v>769</v>
      </c>
      <c r="X71" s="42" t="s">
        <v>763</v>
      </c>
      <c r="Y71" s="38" t="s">
        <v>45</v>
      </c>
      <c r="Z71" s="38" t="s">
        <v>46</v>
      </c>
      <c r="AA71" s="38" t="s">
        <v>770</v>
      </c>
      <c r="AB71" s="38" t="s">
        <v>771</v>
      </c>
      <c r="AC71" s="38" t="str">
        <f>SUBSTITUTE(Table610119[[#This Row],[field name]],"field: ","")</f>
        <v>"IDHGHT"</v>
      </c>
      <c r="AD71" s="38" t="str">
        <f>SUBSTITUTE((CLEAN(TRIM(Table610119[[#This Row],[field id]]))&amp;": "&amp;CHAR(34)&amp;Table610119[[#This Row],[&lt;&lt;NOLA_Exchange&gt;&gt;
Booking]]&amp;CHAR(34)&amp;CHAR(44)),"/nola:BookingExchange","")</f>
        <v>"IDHGHT": "/j:Booking/j:BookingSubject/RoleOfPerson/PersonHeightMeasure[1]/MeasureValueText",</v>
      </c>
      <c r="AE71" s="32" t="str">
        <f>_xlfn.XLOOKUP(Table610119[[#This Row],[&lt;&lt;NOLA_Exchange&gt;&gt;
Booking]],Table26[XPATHS],Table26['#],"DNE")</f>
        <v>41book_xpath</v>
      </c>
      <c r="AF71" s="32" t="str">
        <f>CLEAN(TRIM(SUBSTITUTE(Table610119[[#This Row],[field id]],CHAR(34),"")))</f>
        <v>IDHGHT</v>
      </c>
    </row>
    <row r="72" spans="1:32" ht="30" customHeight="1" x14ac:dyDescent="0.3">
      <c r="A72" s="28" t="str">
        <f t="shared" si="4"/>
        <v>71expanded_IMARRD_sorted</v>
      </c>
      <c r="B72" s="28">
        <f t="shared" si="5"/>
        <v>12</v>
      </c>
      <c r="C72" s="28">
        <f t="shared" si="6"/>
        <v>36</v>
      </c>
      <c r="D72" s="28">
        <f t="shared" si="7"/>
        <v>52</v>
      </c>
      <c r="E72" s="28" t="s">
        <v>32</v>
      </c>
      <c r="F72" s="38" t="s">
        <v>8</v>
      </c>
      <c r="G72" s="38">
        <v>213</v>
      </c>
      <c r="H72" s="39" t="s">
        <v>717</v>
      </c>
      <c r="I72" s="40" t="s">
        <v>786</v>
      </c>
      <c r="J72" s="38" t="s">
        <v>34</v>
      </c>
      <c r="K72" s="38" t="s">
        <v>787</v>
      </c>
      <c r="L72" s="38" t="s">
        <v>36</v>
      </c>
      <c r="M72" s="41" t="s">
        <v>37</v>
      </c>
      <c r="N72" s="38" t="s">
        <v>786</v>
      </c>
      <c r="O72" s="38" t="s">
        <v>788</v>
      </c>
      <c r="P72" s="42" t="s">
        <v>789</v>
      </c>
      <c r="Q72" s="42" t="s">
        <v>790</v>
      </c>
      <c r="R72" s="38" t="s">
        <v>98</v>
      </c>
      <c r="S72" s="38" t="s">
        <v>72</v>
      </c>
      <c r="T72" s="38"/>
      <c r="U72" s="38"/>
      <c r="V72" s="38"/>
      <c r="W72" s="42" t="s">
        <v>100</v>
      </c>
      <c r="X72" s="42" t="s">
        <v>788</v>
      </c>
      <c r="Y72" s="38" t="s">
        <v>45</v>
      </c>
      <c r="Z72" s="38" t="s">
        <v>46</v>
      </c>
      <c r="AA72" s="38" t="s">
        <v>792</v>
      </c>
      <c r="AB72" s="38" t="s">
        <v>793</v>
      </c>
      <c r="AC72" s="38" t="str">
        <f>SUBSTITUTE(Table610119[[#This Row],[field name]],"field: ","")</f>
        <v>"IDNATN"</v>
      </c>
      <c r="AD72" s="38" t="str">
        <f>SUBSTITUTE((CLEAN(TRIM(Table610119[[#This Row],[field id]]))&amp;": "&amp;CHAR(34)&amp;Table610119[[#This Row],[&lt;&lt;NOLA_Exchange&gt;&gt;
Booking]]&amp;CHAR(34)&amp;CHAR(44)),"/nola:BookingExchange","")</f>
        <v>"IDNATN": "/j:Booking/j:BookingSubject/RoleOfPerson/PersonNationality/PersonNationalityCountry/CountryName",</v>
      </c>
      <c r="AE72" s="32" t="str">
        <f>_xlfn.XLOOKUP(Table610119[[#This Row],[&lt;&lt;NOLA_Exchange&gt;&gt;
Booking]],Table26[XPATHS],Table26['#],"DNE")</f>
        <v>81book_xpath</v>
      </c>
      <c r="AF72" s="32" t="str">
        <f>CLEAN(TRIM(SUBSTITUTE(Table610119[[#This Row],[field id]],CHAR(34),"")))</f>
        <v>IDNATN</v>
      </c>
    </row>
    <row r="73" spans="1:32" ht="30" customHeight="1" x14ac:dyDescent="0.3">
      <c r="A73" s="28" t="str">
        <f t="shared" si="4"/>
        <v>72expanded_IMARRD_sorted</v>
      </c>
      <c r="B73" s="28">
        <f t="shared" si="5"/>
        <v>12</v>
      </c>
      <c r="C73" s="28">
        <f t="shared" si="6"/>
        <v>37</v>
      </c>
      <c r="D73" s="28">
        <f t="shared" si="7"/>
        <v>52</v>
      </c>
      <c r="E73" s="28" t="s">
        <v>32</v>
      </c>
      <c r="F73" s="38" t="s">
        <v>8</v>
      </c>
      <c r="G73" s="38">
        <v>208</v>
      </c>
      <c r="H73" s="39" t="s">
        <v>717</v>
      </c>
      <c r="I73" s="40" t="s">
        <v>798</v>
      </c>
      <c r="J73" s="38" t="s">
        <v>34</v>
      </c>
      <c r="K73" s="38" t="s">
        <v>799</v>
      </c>
      <c r="L73" s="38" t="s">
        <v>36</v>
      </c>
      <c r="M73" s="41" t="s">
        <v>37</v>
      </c>
      <c r="N73" s="38" t="s">
        <v>798</v>
      </c>
      <c r="O73" s="38" t="s">
        <v>800</v>
      </c>
      <c r="P73" s="42" t="s">
        <v>801</v>
      </c>
      <c r="Q73" s="42" t="s">
        <v>802</v>
      </c>
      <c r="R73" s="38" t="s">
        <v>803</v>
      </c>
      <c r="S73" s="38" t="s">
        <v>42</v>
      </c>
      <c r="T73" s="38"/>
      <c r="U73" s="38"/>
      <c r="V73" s="38" t="s">
        <v>805</v>
      </c>
      <c r="W73" s="42" t="s">
        <v>806</v>
      </c>
      <c r="X73" s="42" t="s">
        <v>800</v>
      </c>
      <c r="Y73" s="38" t="s">
        <v>45</v>
      </c>
      <c r="Z73" s="38" t="s">
        <v>46</v>
      </c>
      <c r="AA73" s="38" t="s">
        <v>807</v>
      </c>
      <c r="AB73" s="38" t="s">
        <v>808</v>
      </c>
      <c r="AC73" s="38" t="str">
        <f>SUBSTITUTE(Table610119[[#This Row],[field name]],"field: ","")</f>
        <v>"IDRACE"</v>
      </c>
      <c r="AD73" s="38" t="str">
        <f>SUBSTITUTE((CLEAN(TRIM(Table610119[[#This Row],[field id]]))&amp;": "&amp;CHAR(34)&amp;Table610119[[#This Row],[&lt;&lt;NOLA_Exchange&gt;&gt;
Booking]]&amp;CHAR(34)&amp;CHAR(44)),"/nola:BookingExchange","")</f>
        <v>"IDRACE": "/j:Booking/j:BookingSubject/RoleOfPerson/PersonRaceText",</v>
      </c>
      <c r="AE73" s="32" t="str">
        <f>_xlfn.XLOOKUP(Table610119[[#This Row],[&lt;&lt;NOLA_Exchange&gt;&gt;
Booking]],Table26[XPATHS],Table26['#],"DNE")</f>
        <v>68book_xpath</v>
      </c>
      <c r="AF73" s="32" t="str">
        <f>CLEAN(TRIM(SUBSTITUTE(Table610119[[#This Row],[field id]],CHAR(34),"")))</f>
        <v>IDRACE</v>
      </c>
    </row>
    <row r="74" spans="1:32" ht="30" customHeight="1" x14ac:dyDescent="0.3">
      <c r="A74" s="28" t="str">
        <f t="shared" si="4"/>
        <v>73expanded_IMARRD_sorted</v>
      </c>
      <c r="B74" s="28">
        <f t="shared" si="5"/>
        <v>12</v>
      </c>
      <c r="C74" s="28">
        <f t="shared" si="6"/>
        <v>38</v>
      </c>
      <c r="D74" s="28">
        <f t="shared" si="7"/>
        <v>52</v>
      </c>
      <c r="E74" s="28" t="s">
        <v>32</v>
      </c>
      <c r="F74" s="38" t="s">
        <v>8</v>
      </c>
      <c r="G74" s="38">
        <v>206</v>
      </c>
      <c r="H74" s="39" t="s">
        <v>717</v>
      </c>
      <c r="I74" s="40" t="s">
        <v>851</v>
      </c>
      <c r="J74" s="38" t="s">
        <v>370</v>
      </c>
      <c r="K74" s="38" t="s">
        <v>852</v>
      </c>
      <c r="L74" s="38" t="s">
        <v>36</v>
      </c>
      <c r="M74" s="41" t="s">
        <v>37</v>
      </c>
      <c r="N74" s="38" t="s">
        <v>851</v>
      </c>
      <c r="O74" s="38" t="s">
        <v>853</v>
      </c>
      <c r="P74" s="42" t="s">
        <v>854</v>
      </c>
      <c r="Q74" s="42" t="s">
        <v>855</v>
      </c>
      <c r="R74" s="38" t="s">
        <v>856</v>
      </c>
      <c r="S74" s="38" t="s">
        <v>42</v>
      </c>
      <c r="T74" s="38"/>
      <c r="U74" s="38"/>
      <c r="V74" s="38"/>
      <c r="W74" s="42" t="s">
        <v>858</v>
      </c>
      <c r="X74" s="42" t="s">
        <v>853</v>
      </c>
      <c r="Y74" s="38" t="s">
        <v>45</v>
      </c>
      <c r="Z74" s="38" t="s">
        <v>46</v>
      </c>
      <c r="AA74" s="38" t="s">
        <v>859</v>
      </c>
      <c r="AB74" s="38" t="s">
        <v>860</v>
      </c>
      <c r="AC74" s="38" t="str">
        <f>SUBSTITUTE(Table610119[[#This Row],[field name]],"field: ","")</f>
        <v>"IDWGHT"</v>
      </c>
      <c r="AD74" s="38" t="str">
        <f>SUBSTITUTE((CLEAN(TRIM(Table610119[[#This Row],[field id]]))&amp;": "&amp;CHAR(34)&amp;Table610119[[#This Row],[&lt;&lt;NOLA_Exchange&gt;&gt;
Booking]]&amp;CHAR(34)&amp;CHAR(44)),"/nola:BookingExchange","")</f>
        <v>"IDWGHT": "/j:Booking/j:BookingSubject/RoleOfPerson/PersonWeightDescriptionText",</v>
      </c>
      <c r="AE74" s="32" t="str">
        <f>_xlfn.XLOOKUP(Table610119[[#This Row],[&lt;&lt;NOLA_Exchange&gt;&gt;
Booking]],Table26[XPATHS],Table26['#],"DNE")</f>
        <v>78book_xpath</v>
      </c>
      <c r="AF74" s="32" t="str">
        <f>CLEAN(TRIM(SUBSTITUTE(Table610119[[#This Row],[field id]],CHAR(34),"")))</f>
        <v>IDWGHT</v>
      </c>
    </row>
    <row r="75" spans="1:32" ht="30" customHeight="1" x14ac:dyDescent="0.3">
      <c r="A75" s="28" t="str">
        <f t="shared" si="4"/>
        <v>74expanded_IMARRD_sorted</v>
      </c>
      <c r="B75" s="28">
        <f t="shared" si="5"/>
        <v>13</v>
      </c>
      <c r="C75" s="28">
        <f t="shared" si="6"/>
        <v>39</v>
      </c>
      <c r="D75" s="28">
        <f t="shared" si="7"/>
        <v>52</v>
      </c>
      <c r="E75" s="28" t="s">
        <v>32</v>
      </c>
      <c r="F75" s="38" t="s">
        <v>8</v>
      </c>
      <c r="G75" s="38">
        <v>107</v>
      </c>
      <c r="H75" s="39" t="s">
        <v>864</v>
      </c>
      <c r="I75" s="40" t="s">
        <v>874</v>
      </c>
      <c r="J75" s="38" t="s">
        <v>605</v>
      </c>
      <c r="K75" s="38" t="s">
        <v>875</v>
      </c>
      <c r="L75" s="38" t="s">
        <v>36</v>
      </c>
      <c r="M75" s="41" t="s">
        <v>37</v>
      </c>
      <c r="N75" s="38" t="s">
        <v>874</v>
      </c>
      <c r="O75" s="38" t="s">
        <v>876</v>
      </c>
      <c r="P75" s="42" t="s">
        <v>877</v>
      </c>
      <c r="Q75" s="42" t="s">
        <v>878</v>
      </c>
      <c r="R75" s="43" t="s">
        <v>610</v>
      </c>
      <c r="S75" s="38" t="s">
        <v>611</v>
      </c>
      <c r="T75" s="38"/>
      <c r="U75" s="38"/>
      <c r="V75" s="38"/>
      <c r="W75" s="42" t="s">
        <v>880</v>
      </c>
      <c r="X75" s="42" t="s">
        <v>876</v>
      </c>
      <c r="Y75" s="38" t="s">
        <v>45</v>
      </c>
      <c r="Z75" s="38" t="s">
        <v>46</v>
      </c>
      <c r="AA75" s="38" t="s">
        <v>881</v>
      </c>
      <c r="AB75" s="38" t="s">
        <v>882</v>
      </c>
      <c r="AC75" s="38" t="str">
        <f>SUBSTITUTE(Table610119[[#This Row],[field name]],"field: ","")</f>
        <v>"IDDOBD"</v>
      </c>
      <c r="AD75" s="38" t="str">
        <f>SUBSTITUTE((CLEAN(TRIM(Table610119[[#This Row],[field id]]))&amp;": "&amp;CHAR(34)&amp;Table610119[[#This Row],[&lt;&lt;NOLA_Exchange&gt;&gt;
Booking]]&amp;CHAR(34)&amp;CHAR(44)),"/nola:BookingExchange","")</f>
        <v>"IDDOBD": "/j:Booking/j:BookingSubject/RoleOfPerson/PersonBirthDate/Date",</v>
      </c>
      <c r="AE75" s="32" t="str">
        <f>_xlfn.XLOOKUP(Table610119[[#This Row],[&lt;&lt;NOLA_Exchange&gt;&gt;
Booking]],Table26[XPATHS],Table26['#],"DNE")</f>
        <v>24book_xpath</v>
      </c>
      <c r="AF75" s="32" t="str">
        <f>CLEAN(TRIM(SUBSTITUTE(Table610119[[#This Row],[field id]],CHAR(34),"")))</f>
        <v>IDDOBD</v>
      </c>
    </row>
    <row r="76" spans="1:32" ht="30" customHeight="1" x14ac:dyDescent="0.3">
      <c r="A76" s="28" t="str">
        <f t="shared" si="4"/>
        <v>75expanded_IMARRD_sorted</v>
      </c>
      <c r="B76" s="28">
        <f t="shared" si="5"/>
        <v>13</v>
      </c>
      <c r="C76" s="28">
        <f t="shared" si="6"/>
        <v>40</v>
      </c>
      <c r="D76" s="28">
        <f t="shared" si="7"/>
        <v>52</v>
      </c>
      <c r="E76" s="28" t="s">
        <v>32</v>
      </c>
      <c r="F76" s="38" t="s">
        <v>8</v>
      </c>
      <c r="G76" s="38">
        <v>109</v>
      </c>
      <c r="H76" s="39" t="s">
        <v>864</v>
      </c>
      <c r="I76" s="40" t="s">
        <v>894</v>
      </c>
      <c r="J76" s="38" t="s">
        <v>34</v>
      </c>
      <c r="K76" s="38" t="s">
        <v>895</v>
      </c>
      <c r="L76" s="38" t="s">
        <v>36</v>
      </c>
      <c r="M76" s="41" t="s">
        <v>37</v>
      </c>
      <c r="N76" s="38" t="s">
        <v>894</v>
      </c>
      <c r="O76" s="38" t="s">
        <v>896</v>
      </c>
      <c r="P76" s="42" t="s">
        <v>897</v>
      </c>
      <c r="Q76" s="42" t="s">
        <v>898</v>
      </c>
      <c r="R76" s="38" t="s">
        <v>375</v>
      </c>
      <c r="S76" s="38" t="s">
        <v>159</v>
      </c>
      <c r="T76" s="38"/>
      <c r="U76" s="38"/>
      <c r="V76" s="38"/>
      <c r="W76" s="42" t="s">
        <v>900</v>
      </c>
      <c r="X76" s="42" t="s">
        <v>896</v>
      </c>
      <c r="Y76" s="38" t="s">
        <v>45</v>
      </c>
      <c r="Z76" s="38" t="s">
        <v>46</v>
      </c>
      <c r="AA76" s="38" t="s">
        <v>901</v>
      </c>
      <c r="AB76" s="38" t="s">
        <v>902</v>
      </c>
      <c r="AC76" s="38" t="str">
        <f>SUBSTITUTE(Table610119[[#This Row],[field name]],"field: ","")</f>
        <v>"IDFBIN"</v>
      </c>
      <c r="AD76" s="38" t="str">
        <f>SUBSTITUTE((CLEAN(TRIM(Table610119[[#This Row],[field id]]))&amp;": "&amp;CHAR(34)&amp;Table610119[[#This Row],[&lt;&lt;NOLA_Exchange&gt;&gt;
Booking]]&amp;CHAR(34)&amp;CHAR(44)),"/nola:BookingExchange","")</f>
        <v>"IDFBIN": "/j:Booking/j:BookingSubject/RoleOfPerson/j:PersonAugmentation/j:PersonFBIIdentification/IdentificationID",</v>
      </c>
      <c r="AE76" s="32" t="str">
        <f>_xlfn.XLOOKUP(Table610119[[#This Row],[&lt;&lt;NOLA_Exchange&gt;&gt;
Booking]],Table26[XPATHS],Table26['#],"DNE")</f>
        <v>169book_xpath</v>
      </c>
      <c r="AF76" s="32" t="str">
        <f>CLEAN(TRIM(SUBSTITUTE(Table610119[[#This Row],[field id]],CHAR(34),"")))</f>
        <v>IDFBIN</v>
      </c>
    </row>
    <row r="77" spans="1:32" ht="30" customHeight="1" x14ac:dyDescent="0.3">
      <c r="A77" s="28" t="str">
        <f t="shared" si="4"/>
        <v>76expanded_IMARRD_sorted</v>
      </c>
      <c r="B77" s="28">
        <f t="shared" si="5"/>
        <v>13</v>
      </c>
      <c r="C77" s="28">
        <f t="shared" si="6"/>
        <v>41</v>
      </c>
      <c r="D77" s="28">
        <f t="shared" si="7"/>
        <v>53</v>
      </c>
      <c r="E77" s="28" t="s">
        <v>32</v>
      </c>
      <c r="F77" s="38" t="s">
        <v>8</v>
      </c>
      <c r="G77" s="38">
        <v>106</v>
      </c>
      <c r="H77" s="39" t="s">
        <v>864</v>
      </c>
      <c r="I77" s="40" t="s">
        <v>906</v>
      </c>
      <c r="J77" s="38" t="s">
        <v>34</v>
      </c>
      <c r="K77" s="38" t="s">
        <v>907</v>
      </c>
      <c r="L77" s="38" t="s">
        <v>36</v>
      </c>
      <c r="M77" s="41" t="s">
        <v>49</v>
      </c>
      <c r="N77" s="38" t="s">
        <v>906</v>
      </c>
      <c r="O77" s="38" t="s">
        <v>916</v>
      </c>
      <c r="P77" s="42" t="s">
        <v>917</v>
      </c>
      <c r="Q77" s="42" t="s">
        <v>910</v>
      </c>
      <c r="R77" s="38" t="s">
        <v>911</v>
      </c>
      <c r="S77" s="38" t="s">
        <v>159</v>
      </c>
      <c r="T77" s="38"/>
      <c r="U77" s="38" t="s">
        <v>913</v>
      </c>
      <c r="V77" s="38"/>
      <c r="W77" s="42" t="s">
        <v>912</v>
      </c>
      <c r="X77" s="42" t="s">
        <v>916</v>
      </c>
      <c r="Y77" s="38" t="s">
        <v>45</v>
      </c>
      <c r="Z77" s="38" t="s">
        <v>46</v>
      </c>
      <c r="AA77" s="38" t="s">
        <v>914</v>
      </c>
      <c r="AB77" s="38" t="s">
        <v>918</v>
      </c>
      <c r="AC77" s="38" t="str">
        <f>SUBSTITUTE(Table610119[[#This Row],[field name]],"field: ","")</f>
        <v>"IDCCNO"</v>
      </c>
      <c r="AD77" s="38" t="str">
        <f>SUBSTITUTE((CLEAN(TRIM(Table610119[[#This Row],[field id]]))&amp;": "&amp;CHAR(34)&amp;Table610119[[#This Row],[&lt;&lt;NOLA_Exchange&gt;&gt;
Booking]]&amp;CHAR(34)&amp;CHAR(44)),"/nola:BookingExchange","")</f>
        <v>"IDCCNO": "/j:Booking/j:BookingSubject/RoleOfPerson/nola-ext:PersonAugmentation/nola-ext:PersonComputerControlIdentifier",</v>
      </c>
      <c r="AE77" s="32" t="str">
        <f>_xlfn.XLOOKUP(Table610119[[#This Row],[&lt;&lt;NOLA_Exchange&gt;&gt;
Booking]],Table26[XPATHS],Table26['#],"DNE")</f>
        <v>155book_xpath</v>
      </c>
      <c r="AF77" s="32" t="str">
        <f>CLEAN(TRIM(SUBSTITUTE(Table610119[[#This Row],[field id]],CHAR(34),"")))</f>
        <v>IDCCNO</v>
      </c>
    </row>
    <row r="78" spans="1:32" ht="30" customHeight="1" x14ac:dyDescent="0.3">
      <c r="A78" s="28" t="str">
        <f t="shared" si="4"/>
        <v>77expanded_IMARRD_sorted</v>
      </c>
      <c r="B78" s="28">
        <f t="shared" si="5"/>
        <v>13</v>
      </c>
      <c r="C78" s="28">
        <f t="shared" si="6"/>
        <v>42</v>
      </c>
      <c r="D78" s="28">
        <f t="shared" si="7"/>
        <v>54</v>
      </c>
      <c r="E78" s="28" t="s">
        <v>32</v>
      </c>
      <c r="F78" s="38" t="s">
        <v>8</v>
      </c>
      <c r="G78" s="38">
        <v>115</v>
      </c>
      <c r="H78" s="39" t="s">
        <v>864</v>
      </c>
      <c r="I78" s="40" t="s">
        <v>919</v>
      </c>
      <c r="J78" s="38" t="s">
        <v>34</v>
      </c>
      <c r="K78" s="38" t="s">
        <v>920</v>
      </c>
      <c r="L78" s="38" t="s">
        <v>36</v>
      </c>
      <c r="M78" s="41" t="s">
        <v>37</v>
      </c>
      <c r="N78" s="38" t="s">
        <v>919</v>
      </c>
      <c r="O78" s="38" t="s">
        <v>921</v>
      </c>
      <c r="P78" s="42" t="s">
        <v>922</v>
      </c>
      <c r="Q78" s="42" t="s">
        <v>923</v>
      </c>
      <c r="R78" s="38" t="s">
        <v>375</v>
      </c>
      <c r="S78" s="38" t="s">
        <v>159</v>
      </c>
      <c r="T78" s="38"/>
      <c r="U78" s="38"/>
      <c r="V78" s="38"/>
      <c r="W78" s="42" t="s">
        <v>925</v>
      </c>
      <c r="X78" s="42" t="s">
        <v>921</v>
      </c>
      <c r="Y78" s="38" t="s">
        <v>45</v>
      </c>
      <c r="Z78" s="38" t="s">
        <v>46</v>
      </c>
      <c r="AA78" s="38" t="s">
        <v>926</v>
      </c>
      <c r="AB78" s="38" t="s">
        <v>927</v>
      </c>
      <c r="AC78" s="38" t="str">
        <f>SUBSTITUTE(Table610119[[#This Row],[field name]],"field: ","")</f>
        <v>"IDSIDN"</v>
      </c>
      <c r="AD78" s="38" t="str">
        <f>SUBSTITUTE((CLEAN(TRIM(Table610119[[#This Row],[field id]]))&amp;": "&amp;CHAR(34)&amp;Table610119[[#This Row],[&lt;&lt;NOLA_Exchange&gt;&gt;
Booking]]&amp;CHAR(34)&amp;CHAR(44)),"/nola:BookingExchange","")</f>
        <v>"IDSIDN": "/j:Booking/j:BookingSubject/RoleOfPerson/PersonStateIdentification/IdentificationID",</v>
      </c>
      <c r="AE78" s="32" t="str">
        <f>_xlfn.XLOOKUP(Table610119[[#This Row],[&lt;&lt;NOLA_Exchange&gt;&gt;
Booking]],Table26[XPATHS],Table26['#],"DNE")</f>
        <v>76book_xpath</v>
      </c>
      <c r="AF78" s="32" t="str">
        <f>CLEAN(TRIM(SUBSTITUTE(Table610119[[#This Row],[field id]],CHAR(34),"")))</f>
        <v>IDSIDN</v>
      </c>
    </row>
    <row r="79" spans="1:32" ht="30" customHeight="1" x14ac:dyDescent="0.3">
      <c r="A79" s="28" t="str">
        <f t="shared" si="4"/>
        <v>78expanded_IMARRD_sorted</v>
      </c>
      <c r="B79" s="28">
        <f t="shared" si="5"/>
        <v>13</v>
      </c>
      <c r="C79" s="28">
        <f t="shared" si="6"/>
        <v>43</v>
      </c>
      <c r="D79" s="28">
        <f t="shared" si="7"/>
        <v>54</v>
      </c>
      <c r="E79" s="28" t="s">
        <v>32</v>
      </c>
      <c r="F79" s="38" t="s">
        <v>8</v>
      </c>
      <c r="G79" s="38">
        <v>116</v>
      </c>
      <c r="H79" s="39" t="s">
        <v>864</v>
      </c>
      <c r="I79" s="40" t="s">
        <v>931</v>
      </c>
      <c r="J79" s="38" t="s">
        <v>34</v>
      </c>
      <c r="K79" s="38" t="s">
        <v>932</v>
      </c>
      <c r="L79" s="38" t="s">
        <v>36</v>
      </c>
      <c r="M79" s="41" t="s">
        <v>37</v>
      </c>
      <c r="N79" s="38" t="s">
        <v>931</v>
      </c>
      <c r="O79" s="38" t="s">
        <v>933</v>
      </c>
      <c r="P79" s="42" t="s">
        <v>934</v>
      </c>
      <c r="Q79" s="42" t="s">
        <v>935</v>
      </c>
      <c r="R79" s="38" t="s">
        <v>375</v>
      </c>
      <c r="S79" s="38" t="s">
        <v>159</v>
      </c>
      <c r="T79" s="38"/>
      <c r="U79" s="38"/>
      <c r="V79" s="38"/>
      <c r="W79" s="42" t="s">
        <v>937</v>
      </c>
      <c r="X79" s="42" t="s">
        <v>933</v>
      </c>
      <c r="Y79" s="38" t="s">
        <v>45</v>
      </c>
      <c r="Z79" s="38" t="s">
        <v>46</v>
      </c>
      <c r="AA79" s="38" t="s">
        <v>938</v>
      </c>
      <c r="AB79" s="38" t="s">
        <v>939</v>
      </c>
      <c r="AC79" s="38" t="str">
        <f>SUBSTITUTE(Table610119[[#This Row],[field name]],"field: ","")</f>
        <v>"IDSSNO"</v>
      </c>
      <c r="AD79" s="38" t="str">
        <f>SUBSTITUTE((CLEAN(TRIM(Table610119[[#This Row],[field id]]))&amp;": "&amp;CHAR(34)&amp;Table610119[[#This Row],[&lt;&lt;NOLA_Exchange&gt;&gt;
Booking]]&amp;CHAR(34)&amp;CHAR(44)),"/nola:BookingExchange","")</f>
        <v>"IDSSNO": "/j:Booking/j:BookingSubject/RoleOfPerson/PersonSSNIdentification/IdentificationID",</v>
      </c>
      <c r="AE79" s="32" t="str">
        <f>_xlfn.XLOOKUP(Table610119[[#This Row],[&lt;&lt;NOLA_Exchange&gt;&gt;
Booking]],Table26[XPATHS],Table26['#],"DNE")</f>
        <v>72book_xpath</v>
      </c>
      <c r="AF79" s="32" t="str">
        <f>CLEAN(TRIM(SUBSTITUTE(Table610119[[#This Row],[field id]],CHAR(34),"")))</f>
        <v>IDSSNO</v>
      </c>
    </row>
    <row r="80" spans="1:32" ht="30" customHeight="1" x14ac:dyDescent="0.3">
      <c r="A80" s="28" t="str">
        <f t="shared" si="4"/>
        <v>79expanded_IMARRD_sorted</v>
      </c>
      <c r="B80" s="28">
        <f t="shared" si="5"/>
        <v>13</v>
      </c>
      <c r="C80" s="28">
        <f t="shared" si="6"/>
        <v>44</v>
      </c>
      <c r="D80" s="28">
        <f t="shared" si="7"/>
        <v>54</v>
      </c>
      <c r="E80" s="28" t="s">
        <v>32</v>
      </c>
      <c r="F80" s="38" t="s">
        <v>8</v>
      </c>
      <c r="G80" s="38">
        <v>119</v>
      </c>
      <c r="H80" s="39" t="s">
        <v>864</v>
      </c>
      <c r="I80" s="40" t="s">
        <v>943</v>
      </c>
      <c r="J80" s="38" t="s">
        <v>34</v>
      </c>
      <c r="K80" s="38" t="s">
        <v>944</v>
      </c>
      <c r="L80" s="38" t="s">
        <v>36</v>
      </c>
      <c r="M80" s="41" t="s">
        <v>37</v>
      </c>
      <c r="N80" s="38" t="s">
        <v>943</v>
      </c>
      <c r="O80" s="38" t="s">
        <v>945</v>
      </c>
      <c r="P80" s="42" t="s">
        <v>946</v>
      </c>
      <c r="Q80" s="42" t="s">
        <v>947</v>
      </c>
      <c r="R80" s="38" t="s">
        <v>41</v>
      </c>
      <c r="S80" s="38" t="s">
        <v>42</v>
      </c>
      <c r="T80" s="38"/>
      <c r="U80" s="38"/>
      <c r="V80" s="38"/>
      <c r="W80" s="42" t="s">
        <v>108</v>
      </c>
      <c r="X80" s="42" t="s">
        <v>945</v>
      </c>
      <c r="Y80" s="38" t="s">
        <v>45</v>
      </c>
      <c r="Z80" s="38" t="s">
        <v>46</v>
      </c>
      <c r="AA80" s="38" t="s">
        <v>949</v>
      </c>
      <c r="AB80" s="38" t="s">
        <v>950</v>
      </c>
      <c r="AC80" s="38" t="str">
        <f>SUBSTITUTE(Table610119[[#This Row],[field name]],"field: ","")</f>
        <v>"IDSTCDB"</v>
      </c>
      <c r="AD80" s="38" t="str">
        <f>SUBSTITUTE((CLEAN(TRIM(Table610119[[#This Row],[field id]]))&amp;": "&amp;CHAR(34)&amp;Table610119[[#This Row],[&lt;&lt;NOLA_Exchange&gt;&gt;
Booking]]&amp;CHAR(34)&amp;CHAR(44)),"/nola:BookingExchange","")</f>
        <v>"IDSTCDB": "/j:Booking/j:BookingSubject/RoleOfPerson/PersonBirthLocation/Address/AddressState/StateName",</v>
      </c>
      <c r="AE80" s="32" t="str">
        <f>_xlfn.XLOOKUP(Table610119[[#This Row],[&lt;&lt;NOLA_Exchange&gt;&gt;
Booking]],Table26[XPATHS],Table26['#],"DNE")</f>
        <v>28book_xpath</v>
      </c>
      <c r="AF80" s="32" t="str">
        <f>CLEAN(TRIM(SUBSTITUTE(Table610119[[#This Row],[field id]],CHAR(34),"")))</f>
        <v>IDSTCDB</v>
      </c>
    </row>
    <row r="81" spans="1:32" ht="30" customHeight="1" x14ac:dyDescent="0.3">
      <c r="A81" s="28" t="str">
        <f t="shared" si="4"/>
        <v>80expanded_IMARRD_sorted</v>
      </c>
      <c r="B81" s="28">
        <f t="shared" si="5"/>
        <v>14</v>
      </c>
      <c r="C81" s="28">
        <f t="shared" si="6"/>
        <v>45</v>
      </c>
      <c r="D81" s="28">
        <f t="shared" si="7"/>
        <v>54</v>
      </c>
      <c r="E81" s="28" t="s">
        <v>32</v>
      </c>
      <c r="F81" s="38" t="s">
        <v>8</v>
      </c>
      <c r="G81" s="38">
        <v>186</v>
      </c>
      <c r="H81" s="39" t="s">
        <v>954</v>
      </c>
      <c r="I81" s="40" t="s">
        <v>955</v>
      </c>
      <c r="J81" s="38" t="s">
        <v>34</v>
      </c>
      <c r="K81" s="38" t="s">
        <v>956</v>
      </c>
      <c r="L81" s="38" t="s">
        <v>36</v>
      </c>
      <c r="M81" s="41" t="s">
        <v>37</v>
      </c>
      <c r="N81" s="38" t="s">
        <v>955</v>
      </c>
      <c r="O81" s="38" t="s">
        <v>957</v>
      </c>
      <c r="P81" s="42" t="s">
        <v>958</v>
      </c>
      <c r="Q81" s="42" t="s">
        <v>959</v>
      </c>
      <c r="R81" s="38" t="s">
        <v>960</v>
      </c>
      <c r="S81" s="38" t="s">
        <v>961</v>
      </c>
      <c r="T81" s="38" t="s">
        <v>962</v>
      </c>
      <c r="U81" s="38"/>
      <c r="V81" s="38"/>
      <c r="W81" s="42" t="s">
        <v>964</v>
      </c>
      <c r="X81" s="42" t="s">
        <v>957</v>
      </c>
      <c r="Y81" s="38" t="s">
        <v>45</v>
      </c>
      <c r="Z81" s="38" t="s">
        <v>46</v>
      </c>
      <c r="AA81" s="38" t="s">
        <v>965</v>
      </c>
      <c r="AB81" s="38" t="s">
        <v>966</v>
      </c>
      <c r="AC81" s="38" t="str">
        <f>SUBSTITUTE(Table610119[[#This Row],[field name]],"field: ","")</f>
        <v>"IDFNAM"</v>
      </c>
      <c r="AD81" s="38" t="str">
        <f>SUBSTITUTE((CLEAN(TRIM(Table610119[[#This Row],[field id]]))&amp;": "&amp;CHAR(34)&amp;Table610119[[#This Row],[&lt;&lt;NOLA_Exchange&gt;&gt;
Booking]]&amp;CHAR(34)&amp;CHAR(44)),"/nola:BookingExchange","")</f>
        <v>"IDFNAM": "/j:Booking/j:BookingSubject/RoleOfPerson/PersonName/PersonGivenName",</v>
      </c>
      <c r="AE81" s="32" t="str">
        <f>_xlfn.XLOOKUP(Table610119[[#This Row],[&lt;&lt;NOLA_Exchange&gt;&gt;
Booking]],Table26[XPATHS],Table26['#],"DNE")</f>
        <v>48book_xpath</v>
      </c>
      <c r="AF81" s="32" t="str">
        <f>CLEAN(TRIM(SUBSTITUTE(Table610119[[#This Row],[field id]],CHAR(34),"")))</f>
        <v>IDFNAM</v>
      </c>
    </row>
    <row r="82" spans="1:32" ht="30" customHeight="1" x14ac:dyDescent="0.3">
      <c r="A82" s="28" t="str">
        <f t="shared" si="4"/>
        <v>81expanded_IMARRD_sorted</v>
      </c>
      <c r="B82" s="28">
        <f t="shared" si="5"/>
        <v>14</v>
      </c>
      <c r="C82" s="28">
        <f t="shared" si="6"/>
        <v>45</v>
      </c>
      <c r="D82" s="28">
        <f t="shared" si="7"/>
        <v>55</v>
      </c>
      <c r="E82" s="28" t="s">
        <v>32</v>
      </c>
      <c r="F82" s="38" t="s">
        <v>8</v>
      </c>
      <c r="G82" s="38">
        <v>186</v>
      </c>
      <c r="H82" s="39" t="s">
        <v>954</v>
      </c>
      <c r="I82" s="40" t="s">
        <v>955</v>
      </c>
      <c r="J82" s="38" t="s">
        <v>34</v>
      </c>
      <c r="K82" s="38" t="s">
        <v>956</v>
      </c>
      <c r="L82" s="38" t="s">
        <v>36</v>
      </c>
      <c r="M82" s="41" t="s">
        <v>52</v>
      </c>
      <c r="N82" s="38" t="s">
        <v>955</v>
      </c>
      <c r="O82" s="38" t="s">
        <v>969</v>
      </c>
      <c r="P82" s="42" t="s">
        <v>970</v>
      </c>
      <c r="Q82" s="42" t="s">
        <v>959</v>
      </c>
      <c r="R82" s="38" t="s">
        <v>960</v>
      </c>
      <c r="S82" s="38" t="s">
        <v>961</v>
      </c>
      <c r="T82" s="38" t="s">
        <v>962</v>
      </c>
      <c r="U82" s="38"/>
      <c r="V82" s="38"/>
      <c r="W82" s="42" t="s">
        <v>971</v>
      </c>
      <c r="X82" s="42" t="s">
        <v>969</v>
      </c>
      <c r="Y82" s="38" t="s">
        <v>45</v>
      </c>
      <c r="Z82" s="38" t="s">
        <v>46</v>
      </c>
      <c r="AA82" s="38" t="s">
        <v>972</v>
      </c>
      <c r="AB82" s="38" t="s">
        <v>973</v>
      </c>
      <c r="AC82" s="38" t="str">
        <f>SUBSTITUTE(Table610119[[#This Row],[field name]],"field: ","")</f>
        <v>"IDFNAMAO"</v>
      </c>
      <c r="AD82" s="38" t="str">
        <f>SUBSTITUTE((CLEAN(TRIM(Table610119[[#This Row],[field id]]))&amp;": "&amp;CHAR(34)&amp;Table610119[[#This Row],[&lt;&lt;NOLA_Exchange&gt;&gt;
Booking]]&amp;CHAR(34)&amp;CHAR(44)),"/nola:BookingExchange","")</f>
        <v>"IDFNAMAO": "/j:Booking/j:Arrest/j:ArrestOfficial[1]/RoleOfPerson/PersonName/PersonGivenName",</v>
      </c>
      <c r="AE82" s="32" t="str">
        <f>_xlfn.XLOOKUP(Table610119[[#This Row],[&lt;&lt;NOLA_Exchange&gt;&gt;
Booking]],Table26[XPATHS],Table26['#],"DNE")</f>
        <v>326book_xpath</v>
      </c>
      <c r="AF82" s="32" t="str">
        <f>CLEAN(TRIM(SUBSTITUTE(Table610119[[#This Row],[field id]],CHAR(34),"")))</f>
        <v>IDFNAMAO</v>
      </c>
    </row>
    <row r="83" spans="1:32" ht="30" customHeight="1" x14ac:dyDescent="0.3">
      <c r="A83" s="28" t="str">
        <f t="shared" si="4"/>
        <v>82expanded_IMARRD_sorted</v>
      </c>
      <c r="B83" s="28">
        <f t="shared" si="5"/>
        <v>14</v>
      </c>
      <c r="C83" s="28">
        <f t="shared" si="6"/>
        <v>45</v>
      </c>
      <c r="D83" s="28">
        <f t="shared" si="7"/>
        <v>56</v>
      </c>
      <c r="E83" s="28" t="s">
        <v>32</v>
      </c>
      <c r="F83" s="38" t="s">
        <v>8</v>
      </c>
      <c r="G83" s="38">
        <v>186</v>
      </c>
      <c r="H83" s="39" t="s">
        <v>954</v>
      </c>
      <c r="I83" s="40" t="s">
        <v>955</v>
      </c>
      <c r="J83" s="38" t="s">
        <v>34</v>
      </c>
      <c r="K83" s="38" t="s">
        <v>956</v>
      </c>
      <c r="L83" s="38" t="s">
        <v>36</v>
      </c>
      <c r="M83" s="41" t="s">
        <v>57</v>
      </c>
      <c r="N83" s="38" t="s">
        <v>955</v>
      </c>
      <c r="O83" s="38" t="s">
        <v>974</v>
      </c>
      <c r="P83" s="42" t="s">
        <v>975</v>
      </c>
      <c r="Q83" s="42" t="s">
        <v>959</v>
      </c>
      <c r="R83" s="38" t="s">
        <v>960</v>
      </c>
      <c r="S83" s="38" t="s">
        <v>961</v>
      </c>
      <c r="T83" s="38" t="s">
        <v>962</v>
      </c>
      <c r="U83" s="38"/>
      <c r="V83" s="38"/>
      <c r="W83" s="42" t="s">
        <v>976</v>
      </c>
      <c r="X83" s="42" t="s">
        <v>974</v>
      </c>
      <c r="Y83" s="38" t="s">
        <v>45</v>
      </c>
      <c r="Z83" s="38" t="s">
        <v>46</v>
      </c>
      <c r="AA83" s="38" t="s">
        <v>977</v>
      </c>
      <c r="AB83" s="38" t="s">
        <v>978</v>
      </c>
      <c r="AC83" s="38" t="str">
        <f>SUBSTITUTE(Table610119[[#This Row],[field name]],"field: ","")</f>
        <v>"IDFNAMTO"</v>
      </c>
      <c r="AD83" s="38" t="str">
        <f>SUBSTITUTE((CLEAN(TRIM(Table610119[[#This Row],[field id]]))&amp;": "&amp;CHAR(34)&amp;Table610119[[#This Row],[&lt;&lt;NOLA_Exchange&gt;&gt;
Booking]]&amp;CHAR(34)&amp;CHAR(44)),"/nola:BookingExchange","")</f>
        <v>"IDFNAMTO": "/j:Booking/j:Arrest/j:ArrestOfficial[2]/RoleOfPerson/PersonName/PersonGivenName",</v>
      </c>
      <c r="AE83" s="32" t="str">
        <f>_xlfn.XLOOKUP(Table610119[[#This Row],[&lt;&lt;NOLA_Exchange&gt;&gt;
Booking]],Table26[XPATHS],Table26['#],"DNE")</f>
        <v>351book_xpath</v>
      </c>
      <c r="AF83" s="32" t="str">
        <f>CLEAN(TRIM(SUBSTITUTE(Table610119[[#This Row],[field id]],CHAR(34),"")))</f>
        <v>IDFNAMTO</v>
      </c>
    </row>
    <row r="84" spans="1:32" ht="30" customHeight="1" x14ac:dyDescent="0.3">
      <c r="A84" s="28" t="str">
        <f t="shared" si="4"/>
        <v>83expanded_IMARRD_sorted</v>
      </c>
      <c r="B84" s="28">
        <f t="shared" si="5"/>
        <v>14</v>
      </c>
      <c r="C84" s="28">
        <f t="shared" si="6"/>
        <v>46</v>
      </c>
      <c r="D84" s="28">
        <f t="shared" si="7"/>
        <v>57</v>
      </c>
      <c r="E84" s="28" t="s">
        <v>32</v>
      </c>
      <c r="F84" s="38" t="s">
        <v>8</v>
      </c>
      <c r="G84" s="38">
        <v>185</v>
      </c>
      <c r="H84" s="39" t="s">
        <v>954</v>
      </c>
      <c r="I84" s="40" t="s">
        <v>1005</v>
      </c>
      <c r="J84" s="38" t="s">
        <v>34</v>
      </c>
      <c r="K84" s="38" t="s">
        <v>1006</v>
      </c>
      <c r="L84" s="38" t="s">
        <v>36</v>
      </c>
      <c r="M84" s="41" t="s">
        <v>37</v>
      </c>
      <c r="N84" s="38" t="s">
        <v>1005</v>
      </c>
      <c r="O84" s="38" t="s">
        <v>1007</v>
      </c>
      <c r="P84" s="42" t="s">
        <v>1008</v>
      </c>
      <c r="Q84" s="42" t="s">
        <v>1009</v>
      </c>
      <c r="R84" s="38" t="s">
        <v>1010</v>
      </c>
      <c r="S84" s="38" t="s">
        <v>961</v>
      </c>
      <c r="T84" s="38"/>
      <c r="U84" s="38"/>
      <c r="V84" s="38"/>
      <c r="W84" s="42" t="s">
        <v>1012</v>
      </c>
      <c r="X84" s="42" t="s">
        <v>1007</v>
      </c>
      <c r="Y84" s="38" t="s">
        <v>45</v>
      </c>
      <c r="Z84" s="38" t="s">
        <v>46</v>
      </c>
      <c r="AA84" s="38" t="s">
        <v>1013</v>
      </c>
      <c r="AB84" s="38" t="s">
        <v>1014</v>
      </c>
      <c r="AC84" s="38" t="str">
        <f>SUBSTITUTE(Table610119[[#This Row],[field name]],"field: ","")</f>
        <v>"IDNAMEAO"</v>
      </c>
      <c r="AD84" s="38" t="str">
        <f>SUBSTITUTE((CLEAN(TRIM(Table610119[[#This Row],[field id]]))&amp;": "&amp;CHAR(34)&amp;Table610119[[#This Row],[&lt;&lt;NOLA_Exchange&gt;&gt;
Booking]]&amp;CHAR(34)&amp;CHAR(44)),"/nola:BookingExchange","")</f>
        <v>"IDNAMEAO": "/j:Booking/j:Arrest/j:ArrestOfficial[1]/RoleOfPerson/PersonName/PersonFullName",</v>
      </c>
      <c r="AE84" s="32" t="str">
        <f>_xlfn.XLOOKUP(Table610119[[#This Row],[&lt;&lt;NOLA_Exchange&gt;&gt;
Booking]],Table26[XPATHS],Table26['#],"DNE")</f>
        <v>330book_xpath</v>
      </c>
      <c r="AF84" s="32" t="str">
        <f>CLEAN(TRIM(SUBSTITUTE(Table610119[[#This Row],[field id]],CHAR(34),"")))</f>
        <v>IDNAMEAO</v>
      </c>
    </row>
    <row r="85" spans="1:32" ht="30" customHeight="1" x14ac:dyDescent="0.3">
      <c r="A85" s="28" t="str">
        <f t="shared" si="4"/>
        <v>84expanded_IMARRD_sorted</v>
      </c>
      <c r="B85" s="28">
        <f t="shared" si="5"/>
        <v>14</v>
      </c>
      <c r="C85" s="28">
        <f t="shared" si="6"/>
        <v>46</v>
      </c>
      <c r="D85" s="28">
        <f t="shared" si="7"/>
        <v>58</v>
      </c>
      <c r="E85" s="28" t="s">
        <v>32</v>
      </c>
      <c r="F85" s="38" t="s">
        <v>8</v>
      </c>
      <c r="G85" s="38">
        <v>185</v>
      </c>
      <c r="H85" s="39" t="s">
        <v>954</v>
      </c>
      <c r="I85" s="40" t="s">
        <v>1005</v>
      </c>
      <c r="J85" s="38" t="s">
        <v>34</v>
      </c>
      <c r="K85" s="38" t="s">
        <v>1006</v>
      </c>
      <c r="L85" s="38" t="s">
        <v>36</v>
      </c>
      <c r="M85" s="41" t="s">
        <v>52</v>
      </c>
      <c r="N85" s="38" t="s">
        <v>1005</v>
      </c>
      <c r="O85" s="38" t="s">
        <v>1017</v>
      </c>
      <c r="P85" s="42" t="s">
        <v>1018</v>
      </c>
      <c r="Q85" s="42" t="s">
        <v>1009</v>
      </c>
      <c r="R85" s="38" t="s">
        <v>1010</v>
      </c>
      <c r="S85" s="38" t="s">
        <v>961</v>
      </c>
      <c r="T85" s="38"/>
      <c r="U85" s="38"/>
      <c r="V85" s="38"/>
      <c r="W85" s="42" t="s">
        <v>1019</v>
      </c>
      <c r="X85" s="42" t="s">
        <v>1017</v>
      </c>
      <c r="Y85" s="38" t="s">
        <v>45</v>
      </c>
      <c r="Z85" s="38" t="s">
        <v>46</v>
      </c>
      <c r="AA85" s="38" t="s">
        <v>1020</v>
      </c>
      <c r="AB85" s="38" t="s">
        <v>1021</v>
      </c>
      <c r="AC85" s="38" t="str">
        <f>SUBSTITUTE(Table610119[[#This Row],[field name]],"field: ","")</f>
        <v>"IDNAMETO"</v>
      </c>
      <c r="AD85" s="38" t="str">
        <f>SUBSTITUTE((CLEAN(TRIM(Table610119[[#This Row],[field id]]))&amp;": "&amp;CHAR(34)&amp;Table610119[[#This Row],[&lt;&lt;NOLA_Exchange&gt;&gt;
Booking]]&amp;CHAR(34)&amp;CHAR(44)),"/nola:BookingExchange","")</f>
        <v>"IDNAMETO": "/j:Booking/j:Arrest/j:ArrestOfficial[2]/RoleOfPerson/PersonName/PersonFullName",</v>
      </c>
      <c r="AE85" s="32" t="str">
        <f>_xlfn.XLOOKUP(Table610119[[#This Row],[&lt;&lt;NOLA_Exchange&gt;&gt;
Booking]],Table26[XPATHS],Table26['#],"DNE")</f>
        <v>355book_xpath</v>
      </c>
      <c r="AF85" s="32" t="str">
        <f>CLEAN(TRIM(SUBSTITUTE(Table610119[[#This Row],[field id]],CHAR(34),"")))</f>
        <v>IDNAMETO</v>
      </c>
    </row>
    <row r="86" spans="1:32" ht="30" customHeight="1" x14ac:dyDescent="0.3">
      <c r="A86" s="28" t="str">
        <f t="shared" si="4"/>
        <v>85expanded_IMARRD_sorted</v>
      </c>
      <c r="B86" s="28">
        <f t="shared" si="5"/>
        <v>14</v>
      </c>
      <c r="C86" s="28">
        <f t="shared" si="6"/>
        <v>47</v>
      </c>
      <c r="D86" s="28">
        <f t="shared" si="7"/>
        <v>59</v>
      </c>
      <c r="E86" s="28" t="s">
        <v>32</v>
      </c>
      <c r="F86" s="38" t="s">
        <v>8</v>
      </c>
      <c r="G86" s="38">
        <v>188</v>
      </c>
      <c r="H86" s="39" t="s">
        <v>954</v>
      </c>
      <c r="I86" s="40" t="s">
        <v>1031</v>
      </c>
      <c r="J86" s="38" t="s">
        <v>34</v>
      </c>
      <c r="K86" s="38" t="s">
        <v>1032</v>
      </c>
      <c r="L86" s="38" t="s">
        <v>36</v>
      </c>
      <c r="M86" s="41" t="s">
        <v>37</v>
      </c>
      <c r="N86" s="38" t="s">
        <v>1031</v>
      </c>
      <c r="O86" s="38" t="s">
        <v>1033</v>
      </c>
      <c r="P86" s="42" t="s">
        <v>1034</v>
      </c>
      <c r="Q86" s="42" t="s">
        <v>1035</v>
      </c>
      <c r="R86" s="38" t="s">
        <v>1036</v>
      </c>
      <c r="S86" s="38" t="s">
        <v>961</v>
      </c>
      <c r="T86" s="38" t="s">
        <v>962</v>
      </c>
      <c r="U86" s="38"/>
      <c r="V86" s="38"/>
      <c r="W86" s="42" t="s">
        <v>1038</v>
      </c>
      <c r="X86" s="42" t="s">
        <v>1033</v>
      </c>
      <c r="Y86" s="38" t="s">
        <v>45</v>
      </c>
      <c r="Z86" s="38" t="s">
        <v>46</v>
      </c>
      <c r="AA86" s="38" t="s">
        <v>1039</v>
      </c>
      <c r="AB86" s="38" t="s">
        <v>1040</v>
      </c>
      <c r="AC86" s="38" t="str">
        <f>SUBSTITUTE(Table610119[[#This Row],[field name]],"field: ","")</f>
        <v>"IDLNAM"</v>
      </c>
      <c r="AD86" s="38" t="str">
        <f>SUBSTITUTE((CLEAN(TRIM(Table610119[[#This Row],[field id]]))&amp;": "&amp;CHAR(34)&amp;Table610119[[#This Row],[&lt;&lt;NOLA_Exchange&gt;&gt;
Booking]]&amp;CHAR(34)&amp;CHAR(44)),"/nola:BookingExchange","")</f>
        <v>"IDLNAM": "/j:Booking/j:BookingSubject/RoleOfPerson/PersonName/PersonSurName",</v>
      </c>
      <c r="AE86" s="32" t="str">
        <f>_xlfn.XLOOKUP(Table610119[[#This Row],[&lt;&lt;NOLA_Exchange&gt;&gt;
Booking]],Table26[XPATHS],Table26['#],"DNE")</f>
        <v>50book_xpath</v>
      </c>
      <c r="AF86" s="32" t="str">
        <f>CLEAN(TRIM(SUBSTITUTE(Table610119[[#This Row],[field id]],CHAR(34),"")))</f>
        <v>IDLNAM</v>
      </c>
    </row>
    <row r="87" spans="1:32" ht="30" customHeight="1" x14ac:dyDescent="0.3">
      <c r="A87" s="28" t="str">
        <f t="shared" si="4"/>
        <v>86expanded_IMARRD_sorted</v>
      </c>
      <c r="B87" s="28">
        <f t="shared" si="5"/>
        <v>14</v>
      </c>
      <c r="C87" s="28">
        <f t="shared" si="6"/>
        <v>47</v>
      </c>
      <c r="D87" s="28">
        <f t="shared" si="7"/>
        <v>60</v>
      </c>
      <c r="E87" s="28" t="s">
        <v>32</v>
      </c>
      <c r="F87" s="38" t="s">
        <v>8</v>
      </c>
      <c r="G87" s="38">
        <v>188</v>
      </c>
      <c r="H87" s="39" t="s">
        <v>954</v>
      </c>
      <c r="I87" s="40" t="s">
        <v>1031</v>
      </c>
      <c r="J87" s="38" t="s">
        <v>34</v>
      </c>
      <c r="K87" s="38" t="s">
        <v>1032</v>
      </c>
      <c r="L87" s="38" t="s">
        <v>36</v>
      </c>
      <c r="M87" s="41" t="s">
        <v>57</v>
      </c>
      <c r="N87" s="38" t="s">
        <v>1031</v>
      </c>
      <c r="O87" s="38" t="s">
        <v>1047</v>
      </c>
      <c r="P87" s="42" t="s">
        <v>1048</v>
      </c>
      <c r="Q87" s="42" t="s">
        <v>1035</v>
      </c>
      <c r="R87" s="38" t="s">
        <v>1036</v>
      </c>
      <c r="S87" s="38" t="s">
        <v>961</v>
      </c>
      <c r="T87" s="38" t="s">
        <v>962</v>
      </c>
      <c r="U87" s="38"/>
      <c r="V87" s="38"/>
      <c r="W87" s="42" t="s">
        <v>1049</v>
      </c>
      <c r="X87" s="42" t="s">
        <v>1047</v>
      </c>
      <c r="Y87" s="38" t="s">
        <v>45</v>
      </c>
      <c r="Z87" s="38" t="s">
        <v>46</v>
      </c>
      <c r="AA87" s="38" t="s">
        <v>1050</v>
      </c>
      <c r="AB87" s="38" t="s">
        <v>1051</v>
      </c>
      <c r="AC87" s="38" t="str">
        <f>SUBSTITUTE(Table610119[[#This Row],[field name]],"field: ","")</f>
        <v>"IDLNAMAO"</v>
      </c>
      <c r="AD87" s="38" t="str">
        <f>SUBSTITUTE((CLEAN(TRIM(Table610119[[#This Row],[field id]]))&amp;": "&amp;CHAR(34)&amp;Table610119[[#This Row],[&lt;&lt;NOLA_Exchange&gt;&gt;
Booking]]&amp;CHAR(34)&amp;CHAR(44)),"/nola:BookingExchange","")</f>
        <v>"IDLNAMAO": "/j:Booking/j:Arrest/j:ArrestOfficial[1]/RoleOfPerson/PersonName/PersonSurName",</v>
      </c>
      <c r="AE87" s="32" t="str">
        <f>_xlfn.XLOOKUP(Table610119[[#This Row],[&lt;&lt;NOLA_Exchange&gt;&gt;
Booking]],Table26[XPATHS],Table26['#],"DNE")</f>
        <v>328book_xpath</v>
      </c>
      <c r="AF87" s="32" t="str">
        <f>CLEAN(TRIM(SUBSTITUTE(Table610119[[#This Row],[field id]],CHAR(34),"")))</f>
        <v>IDLNAMAO</v>
      </c>
    </row>
    <row r="88" spans="1:32" ht="30" customHeight="1" x14ac:dyDescent="0.3">
      <c r="A88" s="28" t="str">
        <f t="shared" si="4"/>
        <v>87expanded_IMARRD_sorted</v>
      </c>
      <c r="B88" s="28">
        <f t="shared" si="5"/>
        <v>14</v>
      </c>
      <c r="C88" s="28">
        <f t="shared" si="6"/>
        <v>47</v>
      </c>
      <c r="D88" s="28">
        <f t="shared" si="7"/>
        <v>61</v>
      </c>
      <c r="E88" s="28" t="s">
        <v>32</v>
      </c>
      <c r="F88" s="38" t="s">
        <v>8</v>
      </c>
      <c r="G88" s="38">
        <v>188</v>
      </c>
      <c r="H88" s="39" t="s">
        <v>954</v>
      </c>
      <c r="I88" s="40" t="s">
        <v>1031</v>
      </c>
      <c r="J88" s="38" t="s">
        <v>34</v>
      </c>
      <c r="K88" s="38" t="s">
        <v>1032</v>
      </c>
      <c r="L88" s="38" t="s">
        <v>36</v>
      </c>
      <c r="M88" s="41" t="s">
        <v>49</v>
      </c>
      <c r="N88" s="38" t="s">
        <v>1031</v>
      </c>
      <c r="O88" s="38" t="s">
        <v>1052</v>
      </c>
      <c r="P88" s="42" t="s">
        <v>1053</v>
      </c>
      <c r="Q88" s="42" t="s">
        <v>1035</v>
      </c>
      <c r="R88" s="38" t="s">
        <v>1036</v>
      </c>
      <c r="S88" s="38" t="s">
        <v>961</v>
      </c>
      <c r="T88" s="38" t="s">
        <v>962</v>
      </c>
      <c r="U88" s="38"/>
      <c r="V88" s="38"/>
      <c r="W88" s="42" t="s">
        <v>1054</v>
      </c>
      <c r="X88" s="42" t="s">
        <v>1052</v>
      </c>
      <c r="Y88" s="38" t="s">
        <v>45</v>
      </c>
      <c r="Z88" s="38" t="s">
        <v>46</v>
      </c>
      <c r="AA88" s="38" t="s">
        <v>1055</v>
      </c>
      <c r="AB88" s="38" t="s">
        <v>1056</v>
      </c>
      <c r="AC88" s="38" t="str">
        <f>SUBSTITUTE(Table610119[[#This Row],[field name]],"field: ","")</f>
        <v>"IDLNAMTO"</v>
      </c>
      <c r="AD88" s="38" t="str">
        <f>SUBSTITUTE((CLEAN(TRIM(Table610119[[#This Row],[field id]]))&amp;": "&amp;CHAR(34)&amp;Table610119[[#This Row],[&lt;&lt;NOLA_Exchange&gt;&gt;
Booking]]&amp;CHAR(34)&amp;CHAR(44)),"/nola:BookingExchange","")</f>
        <v>"IDLNAMTO": "/j:Booking/j:Arrest/j:ArrestOfficial[2]/RoleOfPerson/PersonName/PersonSurName",</v>
      </c>
      <c r="AE88" s="32" t="str">
        <f>_xlfn.XLOOKUP(Table610119[[#This Row],[&lt;&lt;NOLA_Exchange&gt;&gt;
Booking]],Table26[XPATHS],Table26['#],"DNE")</f>
        <v>353book_xpath</v>
      </c>
      <c r="AF88" s="32" t="str">
        <f>CLEAN(TRIM(SUBSTITUTE(Table610119[[#This Row],[field id]],CHAR(34),"")))</f>
        <v>IDLNAMTO</v>
      </c>
    </row>
    <row r="89" spans="1:32" ht="30" customHeight="1" x14ac:dyDescent="0.3">
      <c r="A89" s="28" t="str">
        <f t="shared" si="4"/>
        <v>88expanded_IMARRD_sorted</v>
      </c>
      <c r="B89" s="28">
        <f t="shared" si="5"/>
        <v>14</v>
      </c>
      <c r="C89" s="28">
        <f t="shared" si="6"/>
        <v>48</v>
      </c>
      <c r="D89" s="28">
        <f t="shared" si="7"/>
        <v>62</v>
      </c>
      <c r="E89" s="28" t="s">
        <v>32</v>
      </c>
      <c r="F89" s="38" t="s">
        <v>8</v>
      </c>
      <c r="G89" s="38">
        <v>187</v>
      </c>
      <c r="H89" s="39" t="s">
        <v>954</v>
      </c>
      <c r="I89" s="40" t="s">
        <v>1076</v>
      </c>
      <c r="J89" s="38" t="s">
        <v>34</v>
      </c>
      <c r="K89" s="38" t="s">
        <v>1077</v>
      </c>
      <c r="L89" s="38" t="s">
        <v>36</v>
      </c>
      <c r="M89" s="41" t="s">
        <v>37</v>
      </c>
      <c r="N89" s="38" t="s">
        <v>1076</v>
      </c>
      <c r="O89" s="38" t="s">
        <v>1078</v>
      </c>
      <c r="P89" s="42" t="s">
        <v>1079</v>
      </c>
      <c r="Q89" s="42" t="s">
        <v>1080</v>
      </c>
      <c r="R89" s="38" t="s">
        <v>1081</v>
      </c>
      <c r="S89" s="38" t="s">
        <v>961</v>
      </c>
      <c r="T89" s="38" t="s">
        <v>962</v>
      </c>
      <c r="U89" s="38"/>
      <c r="V89" s="38"/>
      <c r="W89" s="42" t="s">
        <v>1083</v>
      </c>
      <c r="X89" s="42" t="s">
        <v>1078</v>
      </c>
      <c r="Y89" s="38" t="s">
        <v>45</v>
      </c>
      <c r="Z89" s="38" t="s">
        <v>46</v>
      </c>
      <c r="AA89" s="38" t="s">
        <v>1084</v>
      </c>
      <c r="AB89" s="38" t="s">
        <v>1085</v>
      </c>
      <c r="AC89" s="38" t="str">
        <f>SUBSTITUTE(Table610119[[#This Row],[field name]],"field: ","")</f>
        <v>"IDMINI"</v>
      </c>
      <c r="AD89" s="38" t="str">
        <f>SUBSTITUTE((CLEAN(TRIM(Table610119[[#This Row],[field id]]))&amp;": "&amp;CHAR(34)&amp;Table610119[[#This Row],[&lt;&lt;NOLA_Exchange&gt;&gt;
Booking]]&amp;CHAR(34)&amp;CHAR(44)),"/nola:BookingExchange","")</f>
        <v>"IDMINI": "/j:Booking/j:BookingSubject/RoleOfPerson/PersonName/PersonMiddleName",</v>
      </c>
      <c r="AE89" s="32" t="str">
        <f>_xlfn.XLOOKUP(Table610119[[#This Row],[&lt;&lt;NOLA_Exchange&gt;&gt;
Booking]],Table26[XPATHS],Table26['#],"DNE")</f>
        <v>49book_xpath</v>
      </c>
      <c r="AF89" s="32" t="str">
        <f>CLEAN(TRIM(SUBSTITUTE(Table610119[[#This Row],[field id]],CHAR(34),"")))</f>
        <v>IDMINI</v>
      </c>
    </row>
    <row r="90" spans="1:32" ht="30" customHeight="1" x14ac:dyDescent="0.3">
      <c r="A90" s="28" t="str">
        <f t="shared" si="4"/>
        <v>89expanded_IMARRD_sorted</v>
      </c>
      <c r="B90" s="28">
        <f t="shared" si="5"/>
        <v>14</v>
      </c>
      <c r="C90" s="28">
        <f t="shared" si="6"/>
        <v>49</v>
      </c>
      <c r="D90" s="28">
        <f t="shared" si="7"/>
        <v>62</v>
      </c>
      <c r="E90" s="28" t="s">
        <v>32</v>
      </c>
      <c r="F90" s="38" t="s">
        <v>8</v>
      </c>
      <c r="G90" s="38">
        <v>189</v>
      </c>
      <c r="H90" s="39" t="s">
        <v>954</v>
      </c>
      <c r="I90" s="40" t="s">
        <v>1091</v>
      </c>
      <c r="J90" s="38" t="s">
        <v>34</v>
      </c>
      <c r="K90" s="38" t="s">
        <v>1092</v>
      </c>
      <c r="L90" s="38" t="s">
        <v>36</v>
      </c>
      <c r="M90" s="41" t="s">
        <v>37</v>
      </c>
      <c r="N90" s="38" t="s">
        <v>1091</v>
      </c>
      <c r="O90" s="38" t="s">
        <v>1093</v>
      </c>
      <c r="P90" s="42" t="s">
        <v>1094</v>
      </c>
      <c r="Q90" s="42" t="s">
        <v>1095</v>
      </c>
      <c r="R90" s="38" t="s">
        <v>1096</v>
      </c>
      <c r="S90" s="38" t="s">
        <v>42</v>
      </c>
      <c r="T90" s="38" t="s">
        <v>962</v>
      </c>
      <c r="U90" s="38"/>
      <c r="V90" s="38"/>
      <c r="W90" s="42" t="s">
        <v>1098</v>
      </c>
      <c r="X90" s="42" t="s">
        <v>1093</v>
      </c>
      <c r="Y90" s="38" t="s">
        <v>45</v>
      </c>
      <c r="Z90" s="38" t="s">
        <v>46</v>
      </c>
      <c r="AA90" s="38" t="s">
        <v>1099</v>
      </c>
      <c r="AB90" s="38" t="s">
        <v>1100</v>
      </c>
      <c r="AC90" s="38" t="str">
        <f>SUBSTITUTE(Table610119[[#This Row],[field name]],"field: ","")</f>
        <v>"IDNAMS"</v>
      </c>
      <c r="AD90" s="38" t="str">
        <f>SUBSTITUTE((CLEAN(TRIM(Table610119[[#This Row],[field id]]))&amp;": "&amp;CHAR(34)&amp;Table610119[[#This Row],[&lt;&lt;NOLA_Exchange&gt;&gt;
Booking]]&amp;CHAR(34)&amp;CHAR(44)),"/nola:BookingExchange","")</f>
        <v>"IDNAMS": "/j:Booking/j:BookingSubject/RoleOfPerson/PersonName/PersonNameSuffixText",</v>
      </c>
      <c r="AE90" s="32" t="str">
        <f>_xlfn.XLOOKUP(Table610119[[#This Row],[&lt;&lt;NOLA_Exchange&gt;&gt;
Booking]],Table26[XPATHS],Table26['#],"DNE")</f>
        <v>51book_xpath</v>
      </c>
      <c r="AF90" s="32" t="str">
        <f>CLEAN(TRIM(SUBSTITUTE(Table610119[[#This Row],[field id]],CHAR(34),"")))</f>
        <v>IDNAMS</v>
      </c>
    </row>
    <row r="91" spans="1:32" ht="30" customHeight="1" x14ac:dyDescent="0.3">
      <c r="A91" s="28" t="str">
        <f t="shared" si="4"/>
        <v>90expanded_IMARRD_sorted</v>
      </c>
      <c r="B91" s="28">
        <f t="shared" si="5"/>
        <v>14</v>
      </c>
      <c r="C91" s="28">
        <f t="shared" si="6"/>
        <v>50</v>
      </c>
      <c r="D91" s="28">
        <f t="shared" si="7"/>
        <v>62</v>
      </c>
      <c r="E91" s="28" t="s">
        <v>32</v>
      </c>
      <c r="F91" s="38" t="s">
        <v>8</v>
      </c>
      <c r="G91" s="38"/>
      <c r="H91" s="39" t="s">
        <v>954</v>
      </c>
      <c r="I91" s="40" t="s">
        <v>3089</v>
      </c>
      <c r="J91" s="38"/>
      <c r="K91" s="38"/>
      <c r="L91" s="38"/>
      <c r="M91" s="41" t="s">
        <v>37</v>
      </c>
      <c r="N91" s="38"/>
      <c r="O91" s="38" t="s">
        <v>3090</v>
      </c>
      <c r="P91" s="42"/>
      <c r="Q91" s="42"/>
      <c r="R91" s="38"/>
      <c r="S91" s="38"/>
      <c r="T91" s="38"/>
      <c r="U91" s="38"/>
      <c r="V91" s="38"/>
      <c r="W91" s="42" t="s">
        <v>2734</v>
      </c>
      <c r="X91" s="42"/>
      <c r="Y91" s="38" t="s">
        <v>45</v>
      </c>
      <c r="Z91" s="38" t="s">
        <v>46</v>
      </c>
      <c r="AA91" s="38"/>
      <c r="AB91" s="38" t="s">
        <v>992</v>
      </c>
      <c r="AC91" s="38" t="str">
        <f>SUBSTITUTE(Table610119[[#This Row],[field name]],"field: ","")</f>
        <v>"IDALFN"</v>
      </c>
      <c r="AD91" s="38" t="str">
        <f>SUBSTITUTE((CLEAN(TRIM(Table610119[[#This Row],[field id]]))&amp;": "&amp;CHAR(34)&amp;Table610119[[#This Row],[&lt;&lt;NOLA_Exchange&gt;&gt;
Booking]]&amp;CHAR(34)&amp;CHAR(44)),"/nola:BookingExchange","")</f>
        <v>"IDALFN": "/j:Booking/j:BookingSubject/RoleOfPerson/PersonName/nola-ext:PersonNameAugmentation/em:PersonAlternateName[1]",</v>
      </c>
      <c r="AE91" s="32" t="str">
        <f>_xlfn.XLOOKUP(Table610119[[#This Row],[&lt;&lt;NOLA_Exchange&gt;&gt;
Booking]],Table26[XPATHS],Table26['#],"DNE")</f>
        <v>54book_xpath</v>
      </c>
      <c r="AF91" s="32" t="str">
        <f>CLEAN(TRIM(SUBSTITUTE(Table610119[[#This Row],[field id]],CHAR(34),"")))</f>
        <v>IDALFN</v>
      </c>
    </row>
    <row r="92" spans="1:32" ht="30" customHeight="1" x14ac:dyDescent="0.3">
      <c r="A92" s="28" t="str">
        <f t="shared" si="4"/>
        <v>91expanded_IMARRD_sorted</v>
      </c>
      <c r="B92" s="28">
        <f t="shared" si="5"/>
        <v>14</v>
      </c>
      <c r="C92" s="28">
        <f t="shared" si="6"/>
        <v>51</v>
      </c>
      <c r="D92" s="28">
        <f t="shared" si="7"/>
        <v>62</v>
      </c>
      <c r="E92" s="28" t="s">
        <v>32</v>
      </c>
      <c r="F92" s="38" t="s">
        <v>8</v>
      </c>
      <c r="G92" s="38"/>
      <c r="H92" s="39" t="s">
        <v>954</v>
      </c>
      <c r="I92" s="40" t="s">
        <v>3091</v>
      </c>
      <c r="J92" s="38"/>
      <c r="K92" s="38"/>
      <c r="L92" s="38"/>
      <c r="M92" s="41" t="s">
        <v>37</v>
      </c>
      <c r="N92" s="38"/>
      <c r="O92" s="38" t="s">
        <v>3092</v>
      </c>
      <c r="P92" s="42"/>
      <c r="Q92" s="42"/>
      <c r="R92" s="38"/>
      <c r="S92" s="38"/>
      <c r="T92" s="38"/>
      <c r="U92" s="38"/>
      <c r="V92" s="38"/>
      <c r="W92" s="42" t="s">
        <v>2739</v>
      </c>
      <c r="X92" s="42"/>
      <c r="Y92" s="38" t="s">
        <v>45</v>
      </c>
      <c r="Z92" s="38" t="s">
        <v>46</v>
      </c>
      <c r="AA92" s="38"/>
      <c r="AB92" s="38" t="s">
        <v>1046</v>
      </c>
      <c r="AC92" s="38" t="str">
        <f>SUBSTITUTE(Table610119[[#This Row],[field name]],"field: ","")</f>
        <v>"IDALLN"</v>
      </c>
      <c r="AD92" s="38" t="str">
        <f>SUBSTITUTE((CLEAN(TRIM(Table610119[[#This Row],[field id]]))&amp;": "&amp;CHAR(34)&amp;Table610119[[#This Row],[&lt;&lt;NOLA_Exchange&gt;&gt;
Booking]]&amp;CHAR(34)&amp;CHAR(44)),"/nola:BookingExchange","")</f>
        <v>"IDALLN": "/j:Booking/j:BookingSubject/RoleOfPerson/PersonName/nola-ext:PersonNameAugmentation/em:PersonAlternateName[2]",</v>
      </c>
      <c r="AE92" s="32" t="str">
        <f>_xlfn.XLOOKUP(Table610119[[#This Row],[&lt;&lt;NOLA_Exchange&gt;&gt;
Booking]],Table26[XPATHS],Table26['#],"DNE")</f>
        <v>55book_xpath</v>
      </c>
      <c r="AF92" s="32" t="str">
        <f>CLEAN(TRIM(SUBSTITUTE(Table610119[[#This Row],[field id]],CHAR(34),"")))</f>
        <v>IDALLN</v>
      </c>
    </row>
    <row r="93" spans="1:32" ht="30" customHeight="1" x14ac:dyDescent="0.3">
      <c r="A93" s="28" t="str">
        <f t="shared" si="4"/>
        <v>92expanded_IMARRD_sorted</v>
      </c>
      <c r="B93" s="28">
        <f t="shared" si="5"/>
        <v>15</v>
      </c>
      <c r="C93" s="28">
        <f t="shared" si="6"/>
        <v>52</v>
      </c>
      <c r="D93" s="28">
        <f t="shared" si="7"/>
        <v>62</v>
      </c>
      <c r="E93" s="28" t="s">
        <v>32</v>
      </c>
      <c r="F93" s="38" t="s">
        <v>8</v>
      </c>
      <c r="G93" s="38">
        <v>19</v>
      </c>
      <c r="H93" s="39" t="s">
        <v>1142</v>
      </c>
      <c r="I93" s="40" t="s">
        <v>1143</v>
      </c>
      <c r="J93" s="38" t="s">
        <v>34</v>
      </c>
      <c r="K93" s="38" t="s">
        <v>1144</v>
      </c>
      <c r="L93" s="38" t="s">
        <v>440</v>
      </c>
      <c r="M93" s="41" t="s">
        <v>37</v>
      </c>
      <c r="N93" s="38" t="s">
        <v>1143</v>
      </c>
      <c r="O93" s="38" t="s">
        <v>1145</v>
      </c>
      <c r="P93" s="42" t="s">
        <v>1146</v>
      </c>
      <c r="Q93" s="42" t="s">
        <v>1147</v>
      </c>
      <c r="R93" s="38" t="s">
        <v>375</v>
      </c>
      <c r="S93" s="38" t="s">
        <v>159</v>
      </c>
      <c r="T93" s="38"/>
      <c r="U93" s="38"/>
      <c r="V93" s="38"/>
      <c r="W93" s="42" t="s">
        <v>2944</v>
      </c>
      <c r="X93" s="42" t="s">
        <v>1145</v>
      </c>
      <c r="Y93" s="38" t="s">
        <v>45</v>
      </c>
      <c r="Z93" s="38" t="s">
        <v>46</v>
      </c>
      <c r="AA93" s="38" t="s">
        <v>1150</v>
      </c>
      <c r="AB93" s="38" t="s">
        <v>1151</v>
      </c>
      <c r="AC93" s="38" t="str">
        <f>SUBSTITUTE(Table610119[[#This Row],[field name]],"field: ","")</f>
        <v>"IDSTA1"</v>
      </c>
      <c r="AD93" s="38" t="str">
        <f>SUBSTITUTE((CLEAN(TRIM(Table610119[[#This Row],[field id]]))&amp;": "&amp;CHAR(34)&amp;Table610119[[#This Row],[&lt;&lt;NOLA_Exchange&gt;&gt;
Booking]]&amp;CHAR(34)&amp;CHAR(44)),"/nola:BookingExchange","")</f>
        <v>"IDSTA1": "/j:Booking/j:Arrest/j:ArrestCharge[1]/j:ChargeStatute/j:StatuteCodeIdentification/IdentificationID",</v>
      </c>
      <c r="AE93" s="32" t="str">
        <f>_xlfn.XLOOKUP(Table610119[[#This Row],[&lt;&lt;NOLA_Exchange&gt;&gt;
Booking]],Table26[XPATHS],Table26['#],"DNE")</f>
        <v>224book_xpath</v>
      </c>
      <c r="AF93" s="32" t="str">
        <f>CLEAN(TRIM(SUBSTITUTE(Table610119[[#This Row],[field id]],CHAR(34),"")))</f>
        <v>IDSTA1</v>
      </c>
    </row>
    <row r="94" spans="1:32" ht="30" customHeight="1" x14ac:dyDescent="0.3">
      <c r="A94" s="28" t="str">
        <f t="shared" si="4"/>
        <v>93expanded_IMARRD_sorted</v>
      </c>
      <c r="B94" s="28">
        <f t="shared" si="5"/>
        <v>15</v>
      </c>
      <c r="C94" s="28">
        <f t="shared" si="6"/>
        <v>52</v>
      </c>
      <c r="D94" s="28">
        <f t="shared" si="7"/>
        <v>63</v>
      </c>
      <c r="E94" s="28" t="s">
        <v>32</v>
      </c>
      <c r="F94" s="38" t="s">
        <v>8</v>
      </c>
      <c r="G94" s="38">
        <v>19</v>
      </c>
      <c r="H94" s="39" t="s">
        <v>1142</v>
      </c>
      <c r="I94" s="40" t="s">
        <v>1143</v>
      </c>
      <c r="J94" s="38" t="s">
        <v>34</v>
      </c>
      <c r="K94" s="38" t="s">
        <v>1144</v>
      </c>
      <c r="L94" s="38" t="s">
        <v>440</v>
      </c>
      <c r="M94" s="41" t="s">
        <v>52</v>
      </c>
      <c r="N94" s="38" t="s">
        <v>1143</v>
      </c>
      <c r="O94" s="38" t="s">
        <v>1152</v>
      </c>
      <c r="P94" s="42" t="s">
        <v>1153</v>
      </c>
      <c r="Q94" s="42" t="s">
        <v>1147</v>
      </c>
      <c r="R94" s="38" t="s">
        <v>375</v>
      </c>
      <c r="S94" s="38" t="s">
        <v>159</v>
      </c>
      <c r="T94" s="38"/>
      <c r="U94" s="38"/>
      <c r="V94" s="38"/>
      <c r="W94" s="42" t="s">
        <v>2945</v>
      </c>
      <c r="X94" s="42" t="s">
        <v>1152</v>
      </c>
      <c r="Y94" s="38" t="s">
        <v>45</v>
      </c>
      <c r="Z94" s="38" t="s">
        <v>46</v>
      </c>
      <c r="AA94" s="38" t="s">
        <v>1150</v>
      </c>
      <c r="AB94" s="38" t="s">
        <v>1154</v>
      </c>
      <c r="AC94" s="38" t="str">
        <f>SUBSTITUTE(Table610119[[#This Row],[field name]],"field: ","")</f>
        <v>"IDSTA2"</v>
      </c>
      <c r="AD94" s="38" t="str">
        <f>SUBSTITUTE((CLEAN(TRIM(Table610119[[#This Row],[field id]]))&amp;": "&amp;CHAR(34)&amp;Table610119[[#This Row],[&lt;&lt;NOLA_Exchange&gt;&gt;
Booking]]&amp;CHAR(34)&amp;CHAR(44)),"/nola:BookingExchange","")</f>
        <v>"IDSTA2": "/j:Booking/j:Arrest/j:ArrestCharge[2]/j:ChargeStatute/j:StatuteCodeIdentification/IdentificationID",</v>
      </c>
      <c r="AE94" s="32" t="str">
        <f>_xlfn.XLOOKUP(Table610119[[#This Row],[&lt;&lt;NOLA_Exchange&gt;&gt;
Booking]],Table26[XPATHS],Table26['#],"DNE")</f>
        <v>246book_xpath</v>
      </c>
      <c r="AF94" s="32" t="str">
        <f>CLEAN(TRIM(SUBSTITUTE(Table610119[[#This Row],[field id]],CHAR(34),"")))</f>
        <v>IDSTA2</v>
      </c>
    </row>
    <row r="95" spans="1:32" ht="30" customHeight="1" x14ac:dyDescent="0.3">
      <c r="A95" s="28" t="str">
        <f t="shared" si="4"/>
        <v>94expanded_IMARRD_sorted</v>
      </c>
      <c r="B95" s="28">
        <f t="shared" si="5"/>
        <v>15</v>
      </c>
      <c r="C95" s="28">
        <f t="shared" si="6"/>
        <v>52</v>
      </c>
      <c r="D95" s="28">
        <f t="shared" si="7"/>
        <v>64</v>
      </c>
      <c r="E95" s="28" t="s">
        <v>32</v>
      </c>
      <c r="F95" s="38" t="s">
        <v>8</v>
      </c>
      <c r="G95" s="38">
        <v>19</v>
      </c>
      <c r="H95" s="39" t="s">
        <v>1142</v>
      </c>
      <c r="I95" s="40" t="s">
        <v>1143</v>
      </c>
      <c r="J95" s="38" t="s">
        <v>34</v>
      </c>
      <c r="K95" s="38" t="s">
        <v>1144</v>
      </c>
      <c r="L95" s="38" t="s">
        <v>440</v>
      </c>
      <c r="M95" s="41" t="s">
        <v>57</v>
      </c>
      <c r="N95" s="38" t="s">
        <v>1143</v>
      </c>
      <c r="O95" s="38" t="s">
        <v>1155</v>
      </c>
      <c r="P95" s="42" t="s">
        <v>1156</v>
      </c>
      <c r="Q95" s="42" t="s">
        <v>1147</v>
      </c>
      <c r="R95" s="38" t="s">
        <v>375</v>
      </c>
      <c r="S95" s="38" t="s">
        <v>159</v>
      </c>
      <c r="T95" s="38"/>
      <c r="U95" s="38"/>
      <c r="V95" s="38"/>
      <c r="W95" s="42" t="s">
        <v>2946</v>
      </c>
      <c r="X95" s="42" t="s">
        <v>1155</v>
      </c>
      <c r="Y95" s="38" t="s">
        <v>45</v>
      </c>
      <c r="Z95" s="38" t="s">
        <v>46</v>
      </c>
      <c r="AA95" s="38" t="s">
        <v>1150</v>
      </c>
      <c r="AB95" s="38" t="s">
        <v>1157</v>
      </c>
      <c r="AC95" s="38" t="str">
        <f>SUBSTITUTE(Table610119[[#This Row],[field name]],"field: ","")</f>
        <v>"IDSTA3"</v>
      </c>
      <c r="AD95" s="38" t="str">
        <f>SUBSTITUTE((CLEAN(TRIM(Table610119[[#This Row],[field id]]))&amp;": "&amp;CHAR(34)&amp;Table610119[[#This Row],[&lt;&lt;NOLA_Exchange&gt;&gt;
Booking]]&amp;CHAR(34)&amp;CHAR(44)),"/nola:BookingExchange","")</f>
        <v>"IDSTA3": "/j:Booking/j:Arrest/j:ArrestCharge[3]/j:ChargeStatute/j:StatuteCodeIdentification/IdentificationID",</v>
      </c>
      <c r="AE95" s="32" t="str">
        <f>_xlfn.XLOOKUP(Table610119[[#This Row],[&lt;&lt;NOLA_Exchange&gt;&gt;
Booking]],Table26[XPATHS],Table26['#],"DNE")</f>
        <v>262book_xpath</v>
      </c>
      <c r="AF95" s="32" t="str">
        <f>CLEAN(TRIM(SUBSTITUTE(Table610119[[#This Row],[field id]],CHAR(34),"")))</f>
        <v>IDSTA3</v>
      </c>
    </row>
    <row r="96" spans="1:32" ht="30" customHeight="1" x14ac:dyDescent="0.3">
      <c r="A96" s="28" t="str">
        <f t="shared" si="4"/>
        <v>95expanded_IMARRD_sorted</v>
      </c>
      <c r="B96" s="28">
        <f t="shared" si="5"/>
        <v>15</v>
      </c>
      <c r="C96" s="28">
        <f t="shared" si="6"/>
        <v>52</v>
      </c>
      <c r="D96" s="28">
        <f t="shared" si="7"/>
        <v>65</v>
      </c>
      <c r="E96" s="28" t="s">
        <v>32</v>
      </c>
      <c r="F96" s="38" t="s">
        <v>8</v>
      </c>
      <c r="G96" s="38">
        <v>19</v>
      </c>
      <c r="H96" s="39" t="s">
        <v>1142</v>
      </c>
      <c r="I96" s="40" t="s">
        <v>1143</v>
      </c>
      <c r="J96" s="38" t="s">
        <v>34</v>
      </c>
      <c r="K96" s="38" t="s">
        <v>1144</v>
      </c>
      <c r="L96" s="38" t="s">
        <v>440</v>
      </c>
      <c r="M96" s="41" t="s">
        <v>49</v>
      </c>
      <c r="N96" s="38" t="s">
        <v>1143</v>
      </c>
      <c r="O96" s="38" t="s">
        <v>1158</v>
      </c>
      <c r="P96" s="42" t="s">
        <v>1159</v>
      </c>
      <c r="Q96" s="42" t="s">
        <v>1147</v>
      </c>
      <c r="R96" s="38" t="s">
        <v>375</v>
      </c>
      <c r="S96" s="38" t="s">
        <v>159</v>
      </c>
      <c r="T96" s="38"/>
      <c r="U96" s="38"/>
      <c r="V96" s="38"/>
      <c r="W96" s="42" t="s">
        <v>2947</v>
      </c>
      <c r="X96" s="42" t="s">
        <v>1158</v>
      </c>
      <c r="Y96" s="38" t="s">
        <v>45</v>
      </c>
      <c r="Z96" s="38" t="s">
        <v>46</v>
      </c>
      <c r="AA96" s="38" t="s">
        <v>1150</v>
      </c>
      <c r="AB96" s="38" t="s">
        <v>1160</v>
      </c>
      <c r="AC96" s="38" t="str">
        <f>SUBSTITUTE(Table610119[[#This Row],[field name]],"field: ","")</f>
        <v>"IDSTA4"</v>
      </c>
      <c r="AD96" s="38" t="str">
        <f>SUBSTITUTE((CLEAN(TRIM(Table610119[[#This Row],[field id]]))&amp;": "&amp;CHAR(34)&amp;Table610119[[#This Row],[&lt;&lt;NOLA_Exchange&gt;&gt;
Booking]]&amp;CHAR(34)&amp;CHAR(44)),"/nola:BookingExchange","")</f>
        <v>"IDSTA4": "/j:Booking/j:Arrest/j:ArrestCharge[4]/j:ChargeStatute/j:StatuteCodeIdentification/IdentificationID",</v>
      </c>
      <c r="AE96" s="32" t="str">
        <f>_xlfn.XLOOKUP(Table610119[[#This Row],[&lt;&lt;NOLA_Exchange&gt;&gt;
Booking]],Table26[XPATHS],Table26['#],"DNE")</f>
        <v>278book_xpath</v>
      </c>
      <c r="AF96" s="32" t="str">
        <f>CLEAN(TRIM(SUBSTITUTE(Table610119[[#This Row],[field id]],CHAR(34),"")))</f>
        <v>IDSTA4</v>
      </c>
    </row>
    <row r="97" spans="1:32" ht="30" customHeight="1" x14ac:dyDescent="0.3">
      <c r="A97" s="28" t="str">
        <f t="shared" si="4"/>
        <v>96expanded_IMARRD_sorted</v>
      </c>
      <c r="B97" s="28">
        <f t="shared" si="5"/>
        <v>15</v>
      </c>
      <c r="C97" s="28">
        <f t="shared" si="6"/>
        <v>52</v>
      </c>
      <c r="D97" s="28">
        <f t="shared" si="7"/>
        <v>66</v>
      </c>
      <c r="E97" s="28" t="s">
        <v>32</v>
      </c>
      <c r="F97" s="38" t="s">
        <v>8</v>
      </c>
      <c r="G97" s="38">
        <v>19</v>
      </c>
      <c r="H97" s="39" t="s">
        <v>1142</v>
      </c>
      <c r="I97" s="40" t="s">
        <v>1143</v>
      </c>
      <c r="J97" s="38" t="s">
        <v>34</v>
      </c>
      <c r="K97" s="38" t="s">
        <v>1144</v>
      </c>
      <c r="L97" s="38" t="s">
        <v>440</v>
      </c>
      <c r="M97" s="41" t="s">
        <v>87</v>
      </c>
      <c r="N97" s="38" t="s">
        <v>1143</v>
      </c>
      <c r="O97" s="38" t="s">
        <v>1161</v>
      </c>
      <c r="P97" s="42" t="s">
        <v>1162</v>
      </c>
      <c r="Q97" s="42" t="s">
        <v>1147</v>
      </c>
      <c r="R97" s="38" t="s">
        <v>375</v>
      </c>
      <c r="S97" s="38" t="s">
        <v>159</v>
      </c>
      <c r="T97" s="38"/>
      <c r="U97" s="38"/>
      <c r="V97" s="38"/>
      <c r="W97" s="42" t="s">
        <v>2948</v>
      </c>
      <c r="X97" s="42" t="s">
        <v>1161</v>
      </c>
      <c r="Y97" s="38" t="s">
        <v>45</v>
      </c>
      <c r="Z97" s="38" t="s">
        <v>46</v>
      </c>
      <c r="AA97" s="38" t="s">
        <v>1150</v>
      </c>
      <c r="AB97" s="38" t="s">
        <v>1163</v>
      </c>
      <c r="AC97" s="38" t="str">
        <f>SUBSTITUTE(Table610119[[#This Row],[field name]],"field: ","")</f>
        <v>"IDSTA5"</v>
      </c>
      <c r="AD97" s="38" t="str">
        <f>SUBSTITUTE((CLEAN(TRIM(Table610119[[#This Row],[field id]]))&amp;": "&amp;CHAR(34)&amp;Table610119[[#This Row],[&lt;&lt;NOLA_Exchange&gt;&gt;
Booking]]&amp;CHAR(34)&amp;CHAR(44)),"/nola:BookingExchange","")</f>
        <v>"IDSTA5": "/j:Booking/j:Arrest/j:ArrestCharge[5]/j:ChargeStatute/j:StatuteCodeIdentification/IdentificationID",</v>
      </c>
      <c r="AE97" s="32" t="str">
        <f>_xlfn.XLOOKUP(Table610119[[#This Row],[&lt;&lt;NOLA_Exchange&gt;&gt;
Booking]],Table26[XPATHS],Table26['#],"DNE")</f>
        <v>294book_xpath</v>
      </c>
      <c r="AF97" s="32" t="str">
        <f>CLEAN(TRIM(SUBSTITUTE(Table610119[[#This Row],[field id]],CHAR(34),"")))</f>
        <v>IDSTA5</v>
      </c>
    </row>
    <row r="98" spans="1:32" ht="30" customHeight="1" x14ac:dyDescent="0.3">
      <c r="A98" s="28" t="str">
        <f t="shared" si="4"/>
        <v>97expanded_IMARRD_sorted</v>
      </c>
      <c r="B98" s="28">
        <f t="shared" si="5"/>
        <v>15</v>
      </c>
      <c r="C98" s="28">
        <f t="shared" si="6"/>
        <v>52</v>
      </c>
      <c r="D98" s="28">
        <f t="shared" si="7"/>
        <v>67</v>
      </c>
      <c r="E98" s="28" t="s">
        <v>32</v>
      </c>
      <c r="F98" s="38" t="s">
        <v>8</v>
      </c>
      <c r="G98" s="38">
        <v>19</v>
      </c>
      <c r="H98" s="39" t="s">
        <v>1142</v>
      </c>
      <c r="I98" s="40" t="s">
        <v>1143</v>
      </c>
      <c r="J98" s="38" t="s">
        <v>34</v>
      </c>
      <c r="K98" s="38" t="s">
        <v>1144</v>
      </c>
      <c r="L98" s="38" t="s">
        <v>440</v>
      </c>
      <c r="M98" s="41" t="s">
        <v>421</v>
      </c>
      <c r="N98" s="38" t="s">
        <v>1143</v>
      </c>
      <c r="O98" s="38" t="s">
        <v>1164</v>
      </c>
      <c r="P98" s="42" t="s">
        <v>1165</v>
      </c>
      <c r="Q98" s="42" t="s">
        <v>1147</v>
      </c>
      <c r="R98" s="38" t="s">
        <v>375</v>
      </c>
      <c r="S98" s="38" t="s">
        <v>159</v>
      </c>
      <c r="T98" s="38"/>
      <c r="U98" s="38"/>
      <c r="V98" s="38"/>
      <c r="W98" s="42" t="s">
        <v>2949</v>
      </c>
      <c r="X98" s="42" t="s">
        <v>1164</v>
      </c>
      <c r="Y98" s="38" t="s">
        <v>45</v>
      </c>
      <c r="Z98" s="38" t="s">
        <v>46</v>
      </c>
      <c r="AA98" s="38" t="s">
        <v>1150</v>
      </c>
      <c r="AB98" s="38" t="s">
        <v>1166</v>
      </c>
      <c r="AC98" s="38" t="str">
        <f>SUBSTITUTE(Table610119[[#This Row],[field name]],"field: ","")</f>
        <v>"IDSTA6"</v>
      </c>
      <c r="AD98" s="38" t="str">
        <f>SUBSTITUTE((CLEAN(TRIM(Table610119[[#This Row],[field id]]))&amp;": "&amp;CHAR(34)&amp;Table610119[[#This Row],[&lt;&lt;NOLA_Exchange&gt;&gt;
Booking]]&amp;CHAR(34)&amp;CHAR(44)),"/nola:BookingExchange","")</f>
        <v>"IDSTA6": "/j:Booking/j:Arrest/j:ArrestCharge[6]/j:ChargeStatute/j:StatuteCodeIdentification/IdentificationID",</v>
      </c>
      <c r="AE98" s="32" t="str">
        <f>_xlfn.XLOOKUP(Table610119[[#This Row],[&lt;&lt;NOLA_Exchange&gt;&gt;
Booking]],Table26[XPATHS],Table26['#],"DNE")</f>
        <v>310book_xpath</v>
      </c>
      <c r="AF98" s="32" t="str">
        <f>CLEAN(TRIM(SUBSTITUTE(Table610119[[#This Row],[field id]],CHAR(34),"")))</f>
        <v>IDSTA6</v>
      </c>
    </row>
    <row r="99" spans="1:32" ht="30" customHeight="1" x14ac:dyDescent="0.3">
      <c r="A99" s="28" t="str">
        <f t="shared" si="4"/>
        <v>98expanded_IMARRD_sorted</v>
      </c>
      <c r="B99" s="28">
        <f t="shared" si="5"/>
        <v>15</v>
      </c>
      <c r="C99" s="28">
        <f t="shared" si="6"/>
        <v>53</v>
      </c>
      <c r="D99" s="28">
        <f t="shared" si="7"/>
        <v>68</v>
      </c>
      <c r="E99" s="28" t="s">
        <v>32</v>
      </c>
      <c r="F99" s="38" t="s">
        <v>8</v>
      </c>
      <c r="G99" s="38">
        <v>21</v>
      </c>
      <c r="H99" s="39" t="s">
        <v>1142</v>
      </c>
      <c r="I99" s="40" t="s">
        <v>1167</v>
      </c>
      <c r="J99" s="38" t="s">
        <v>34</v>
      </c>
      <c r="K99" s="38" t="s">
        <v>1168</v>
      </c>
      <c r="L99" s="38" t="s">
        <v>440</v>
      </c>
      <c r="M99" s="41" t="s">
        <v>37</v>
      </c>
      <c r="N99" s="38" t="s">
        <v>1167</v>
      </c>
      <c r="O99" s="38" t="s">
        <v>1169</v>
      </c>
      <c r="P99" s="42" t="s">
        <v>1170</v>
      </c>
      <c r="Q99" s="42" t="s">
        <v>1171</v>
      </c>
      <c r="R99" s="38" t="s">
        <v>375</v>
      </c>
      <c r="S99" s="38" t="s">
        <v>159</v>
      </c>
      <c r="T99" s="38"/>
      <c r="U99" s="38"/>
      <c r="V99" s="38"/>
      <c r="W99" s="42" t="s">
        <v>3002</v>
      </c>
      <c r="X99" s="42" t="s">
        <v>1169</v>
      </c>
      <c r="Y99" s="38" t="s">
        <v>45</v>
      </c>
      <c r="Z99" s="38" t="s">
        <v>46</v>
      </c>
      <c r="AA99" s="38" t="s">
        <v>1174</v>
      </c>
      <c r="AB99" s="38" t="s">
        <v>1175</v>
      </c>
      <c r="AC99" s="38" t="str">
        <f>SUBSTITUTE(Table610119[[#This Row],[field name]],"field: ","")</f>
        <v>"IDSUB1"</v>
      </c>
      <c r="AD99" s="38" t="str">
        <f>SUBSTITUTE((CLEAN(TRIM(Table610119[[#This Row],[field id]]))&amp;": "&amp;CHAR(34)&amp;Table610119[[#This Row],[&lt;&lt;NOLA_Exchange&gt;&gt;
Booking]]&amp;CHAR(34)&amp;CHAR(44)),"/nola:BookingExchange","")</f>
        <v>"IDSUB1": "/j:Booking/j:Arrest/j:ArrestCharge[1]/j:ChargeStatute/nola-ext:ChargeStatuteAugmentation/nola-ext:StatuteCodeSectionSubparagraphIdentification/IdentificationID",</v>
      </c>
      <c r="AE99" s="32" t="str">
        <f>_xlfn.XLOOKUP(Table610119[[#This Row],[&lt;&lt;NOLA_Exchange&gt;&gt;
Booking]],Table26[XPATHS],Table26['#],"DNE")</f>
        <v>231book_xpath</v>
      </c>
      <c r="AF99" s="32" t="str">
        <f>CLEAN(TRIM(SUBSTITUTE(Table610119[[#This Row],[field id]],CHAR(34),"")))</f>
        <v>IDSUB1</v>
      </c>
    </row>
    <row r="100" spans="1:32" ht="30" customHeight="1" x14ac:dyDescent="0.3">
      <c r="A100" s="28" t="str">
        <f t="shared" si="4"/>
        <v>99expanded_IMARRD_sorted</v>
      </c>
      <c r="B100" s="28">
        <f t="shared" si="5"/>
        <v>15</v>
      </c>
      <c r="C100" s="28">
        <f t="shared" si="6"/>
        <v>53</v>
      </c>
      <c r="D100" s="28">
        <f t="shared" si="7"/>
        <v>69</v>
      </c>
      <c r="E100" s="28" t="s">
        <v>32</v>
      </c>
      <c r="F100" s="38" t="s">
        <v>8</v>
      </c>
      <c r="G100" s="38">
        <v>21</v>
      </c>
      <c r="H100" s="39" t="s">
        <v>1142</v>
      </c>
      <c r="I100" s="40" t="s">
        <v>1167</v>
      </c>
      <c r="J100" s="38" t="s">
        <v>34</v>
      </c>
      <c r="K100" s="38" t="s">
        <v>1168</v>
      </c>
      <c r="L100" s="38" t="s">
        <v>440</v>
      </c>
      <c r="M100" s="41" t="s">
        <v>52</v>
      </c>
      <c r="N100" s="38" t="s">
        <v>1167</v>
      </c>
      <c r="O100" s="38" t="s">
        <v>1176</v>
      </c>
      <c r="P100" s="42" t="s">
        <v>1177</v>
      </c>
      <c r="Q100" s="42" t="s">
        <v>1171</v>
      </c>
      <c r="R100" s="38" t="s">
        <v>375</v>
      </c>
      <c r="S100" s="38" t="s">
        <v>159</v>
      </c>
      <c r="T100" s="38"/>
      <c r="U100" s="38"/>
      <c r="V100" s="38"/>
      <c r="W100" s="42" t="s">
        <v>3003</v>
      </c>
      <c r="X100" s="42" t="s">
        <v>1176</v>
      </c>
      <c r="Y100" s="38" t="s">
        <v>45</v>
      </c>
      <c r="Z100" s="38" t="s">
        <v>46</v>
      </c>
      <c r="AA100" s="38" t="s">
        <v>1174</v>
      </c>
      <c r="AB100" s="38" t="s">
        <v>1178</v>
      </c>
      <c r="AC100" s="38" t="str">
        <f>SUBSTITUTE(Table610119[[#This Row],[field name]],"field: ","")</f>
        <v>"IDSUB2"</v>
      </c>
      <c r="AD100" s="38" t="str">
        <f>SUBSTITUTE((CLEAN(TRIM(Table610119[[#This Row],[field id]]))&amp;": "&amp;CHAR(34)&amp;Table610119[[#This Row],[&lt;&lt;NOLA_Exchange&gt;&gt;
Booking]]&amp;CHAR(34)&amp;CHAR(44)),"/nola:BookingExchange","")</f>
        <v>"IDSUB2": "/j:Booking/j:Arrest/j:ArrestCharge[2]/j:ChargeStatute/nola-ext:ChargeStatuteAugmentation/nola-ext:StatuteCodeSectionSubparagraphIdentification/IdentificationID",</v>
      </c>
      <c r="AE100" s="32" t="str">
        <f>_xlfn.XLOOKUP(Table610119[[#This Row],[&lt;&lt;NOLA_Exchange&gt;&gt;
Booking]],Table26[XPATHS],Table26['#],"DNE")</f>
        <v>251book_xpath</v>
      </c>
      <c r="AF100" s="32" t="str">
        <f>CLEAN(TRIM(SUBSTITUTE(Table610119[[#This Row],[field id]],CHAR(34),"")))</f>
        <v>IDSUB2</v>
      </c>
    </row>
    <row r="101" spans="1:32" ht="30" customHeight="1" x14ac:dyDescent="0.3">
      <c r="A101" s="28" t="str">
        <f t="shared" si="4"/>
        <v>100expanded_IMARRD_sorted</v>
      </c>
      <c r="B101" s="28">
        <f t="shared" si="5"/>
        <v>15</v>
      </c>
      <c r="C101" s="28">
        <f t="shared" si="6"/>
        <v>53</v>
      </c>
      <c r="D101" s="28">
        <f t="shared" si="7"/>
        <v>70</v>
      </c>
      <c r="E101" s="28" t="s">
        <v>32</v>
      </c>
      <c r="F101" s="38" t="s">
        <v>8</v>
      </c>
      <c r="G101" s="38">
        <v>21</v>
      </c>
      <c r="H101" s="39" t="s">
        <v>1142</v>
      </c>
      <c r="I101" s="40" t="s">
        <v>1167</v>
      </c>
      <c r="J101" s="38" t="s">
        <v>34</v>
      </c>
      <c r="K101" s="38" t="s">
        <v>1168</v>
      </c>
      <c r="L101" s="38" t="s">
        <v>440</v>
      </c>
      <c r="M101" s="41" t="s">
        <v>57</v>
      </c>
      <c r="N101" s="38" t="s">
        <v>1167</v>
      </c>
      <c r="O101" s="38" t="s">
        <v>1179</v>
      </c>
      <c r="P101" s="42" t="s">
        <v>1180</v>
      </c>
      <c r="Q101" s="42" t="s">
        <v>1171</v>
      </c>
      <c r="R101" s="38" t="s">
        <v>375</v>
      </c>
      <c r="S101" s="38" t="s">
        <v>159</v>
      </c>
      <c r="T101" s="38"/>
      <c r="U101" s="38"/>
      <c r="V101" s="38"/>
      <c r="W101" s="42" t="s">
        <v>3004</v>
      </c>
      <c r="X101" s="42" t="s">
        <v>1179</v>
      </c>
      <c r="Y101" s="38" t="s">
        <v>45</v>
      </c>
      <c r="Z101" s="38" t="s">
        <v>46</v>
      </c>
      <c r="AA101" s="38" t="s">
        <v>1174</v>
      </c>
      <c r="AB101" s="38" t="s">
        <v>1181</v>
      </c>
      <c r="AC101" s="38" t="str">
        <f>SUBSTITUTE(Table610119[[#This Row],[field name]],"field: ","")</f>
        <v>"IDSUB3"</v>
      </c>
      <c r="AD101" s="38" t="str">
        <f>SUBSTITUTE((CLEAN(TRIM(Table610119[[#This Row],[field id]]))&amp;": "&amp;CHAR(34)&amp;Table610119[[#This Row],[&lt;&lt;NOLA_Exchange&gt;&gt;
Booking]]&amp;CHAR(34)&amp;CHAR(44)),"/nola:BookingExchange","")</f>
        <v>"IDSUB3": "/j:Booking/j:Arrest/j:ArrestCharge[3]/j:ChargeStatute/nola-ext:ChargeStatuteAugmentation/nola-ext:StatuteCodeSectionSubparagraphIdentification/IdentificationID",</v>
      </c>
      <c r="AE101" s="32" t="str">
        <f>_xlfn.XLOOKUP(Table610119[[#This Row],[&lt;&lt;NOLA_Exchange&gt;&gt;
Booking]],Table26[XPATHS],Table26['#],"DNE")</f>
        <v>267book_xpath</v>
      </c>
      <c r="AF101" s="32" t="str">
        <f>CLEAN(TRIM(SUBSTITUTE(Table610119[[#This Row],[field id]],CHAR(34),"")))</f>
        <v>IDSUB3</v>
      </c>
    </row>
    <row r="102" spans="1:32" ht="30" customHeight="1" x14ac:dyDescent="0.3">
      <c r="A102" s="28" t="str">
        <f t="shared" si="4"/>
        <v>101expanded_IMARRD_sorted</v>
      </c>
      <c r="B102" s="28">
        <f t="shared" si="5"/>
        <v>15</v>
      </c>
      <c r="C102" s="28">
        <f t="shared" si="6"/>
        <v>53</v>
      </c>
      <c r="D102" s="28">
        <f t="shared" si="7"/>
        <v>71</v>
      </c>
      <c r="E102" s="28" t="s">
        <v>32</v>
      </c>
      <c r="F102" s="38" t="s">
        <v>8</v>
      </c>
      <c r="G102" s="38">
        <v>21</v>
      </c>
      <c r="H102" s="39" t="s">
        <v>1142</v>
      </c>
      <c r="I102" s="40" t="s">
        <v>1167</v>
      </c>
      <c r="J102" s="38" t="s">
        <v>34</v>
      </c>
      <c r="K102" s="38" t="s">
        <v>1168</v>
      </c>
      <c r="L102" s="38" t="s">
        <v>440</v>
      </c>
      <c r="M102" s="41" t="s">
        <v>49</v>
      </c>
      <c r="N102" s="38" t="s">
        <v>1167</v>
      </c>
      <c r="O102" s="38" t="s">
        <v>1182</v>
      </c>
      <c r="P102" s="42" t="s">
        <v>1183</v>
      </c>
      <c r="Q102" s="42" t="s">
        <v>1171</v>
      </c>
      <c r="R102" s="38" t="s">
        <v>375</v>
      </c>
      <c r="S102" s="38" t="s">
        <v>159</v>
      </c>
      <c r="T102" s="38"/>
      <c r="U102" s="38"/>
      <c r="V102" s="38"/>
      <c r="W102" s="42" t="s">
        <v>3005</v>
      </c>
      <c r="X102" s="42" t="s">
        <v>1182</v>
      </c>
      <c r="Y102" s="38" t="s">
        <v>45</v>
      </c>
      <c r="Z102" s="38" t="s">
        <v>46</v>
      </c>
      <c r="AA102" s="38" t="s">
        <v>1174</v>
      </c>
      <c r="AB102" s="38" t="s">
        <v>1184</v>
      </c>
      <c r="AC102" s="38" t="str">
        <f>SUBSTITUTE(Table610119[[#This Row],[field name]],"field: ","")</f>
        <v>"IDSUB4"</v>
      </c>
      <c r="AD102" s="38" t="str">
        <f>SUBSTITUTE((CLEAN(TRIM(Table610119[[#This Row],[field id]]))&amp;": "&amp;CHAR(34)&amp;Table610119[[#This Row],[&lt;&lt;NOLA_Exchange&gt;&gt;
Booking]]&amp;CHAR(34)&amp;CHAR(44)),"/nola:BookingExchange","")</f>
        <v>"IDSUB4": "/j:Booking/j:Arrest/j:ArrestCharge[4]/j:ChargeStatute/nola-ext:ChargeStatuteAugmentation/nola-ext:StatuteCodeSectionSubparagraphIdentification/IdentificationID",</v>
      </c>
      <c r="AE102" s="32" t="str">
        <f>_xlfn.XLOOKUP(Table610119[[#This Row],[&lt;&lt;NOLA_Exchange&gt;&gt;
Booking]],Table26[XPATHS],Table26['#],"DNE")</f>
        <v>283book_xpath</v>
      </c>
      <c r="AF102" s="32" t="str">
        <f>CLEAN(TRIM(SUBSTITUTE(Table610119[[#This Row],[field id]],CHAR(34),"")))</f>
        <v>IDSUB4</v>
      </c>
    </row>
    <row r="103" spans="1:32" ht="30" customHeight="1" x14ac:dyDescent="0.3">
      <c r="A103" s="28" t="str">
        <f t="shared" si="4"/>
        <v>102expanded_IMARRD_sorted</v>
      </c>
      <c r="B103" s="28">
        <f t="shared" si="5"/>
        <v>15</v>
      </c>
      <c r="C103" s="28">
        <f t="shared" si="6"/>
        <v>53</v>
      </c>
      <c r="D103" s="28">
        <f t="shared" si="7"/>
        <v>72</v>
      </c>
      <c r="E103" s="28" t="s">
        <v>32</v>
      </c>
      <c r="F103" s="38" t="s">
        <v>8</v>
      </c>
      <c r="G103" s="38">
        <v>21</v>
      </c>
      <c r="H103" s="39" t="s">
        <v>1142</v>
      </c>
      <c r="I103" s="40" t="s">
        <v>1167</v>
      </c>
      <c r="J103" s="38" t="s">
        <v>34</v>
      </c>
      <c r="K103" s="38" t="s">
        <v>1168</v>
      </c>
      <c r="L103" s="38" t="s">
        <v>440</v>
      </c>
      <c r="M103" s="41" t="s">
        <v>87</v>
      </c>
      <c r="N103" s="38" t="s">
        <v>1167</v>
      </c>
      <c r="O103" s="38" t="s">
        <v>1185</v>
      </c>
      <c r="P103" s="42" t="s">
        <v>1186</v>
      </c>
      <c r="Q103" s="42" t="s">
        <v>1171</v>
      </c>
      <c r="R103" s="38" t="s">
        <v>375</v>
      </c>
      <c r="S103" s="38" t="s">
        <v>159</v>
      </c>
      <c r="T103" s="38"/>
      <c r="U103" s="38"/>
      <c r="V103" s="38"/>
      <c r="W103" s="42" t="s">
        <v>3006</v>
      </c>
      <c r="X103" s="42" t="s">
        <v>1185</v>
      </c>
      <c r="Y103" s="38" t="s">
        <v>45</v>
      </c>
      <c r="Z103" s="38" t="s">
        <v>46</v>
      </c>
      <c r="AA103" s="38" t="s">
        <v>1174</v>
      </c>
      <c r="AB103" s="38" t="s">
        <v>1187</v>
      </c>
      <c r="AC103" s="38" t="str">
        <f>SUBSTITUTE(Table610119[[#This Row],[field name]],"field: ","")</f>
        <v>"IDSUB5"</v>
      </c>
      <c r="AD103" s="38" t="str">
        <f>SUBSTITUTE((CLEAN(TRIM(Table610119[[#This Row],[field id]]))&amp;": "&amp;CHAR(34)&amp;Table610119[[#This Row],[&lt;&lt;NOLA_Exchange&gt;&gt;
Booking]]&amp;CHAR(34)&amp;CHAR(44)),"/nola:BookingExchange","")</f>
        <v>"IDSUB5": "/j:Booking/j:Arrest/j:ArrestCharge[5]/j:ChargeStatute/nola-ext:ChargeStatuteAugmentation/nola-ext:StatuteCodeSectionSubparagraphIdentification/IdentificationID",</v>
      </c>
      <c r="AE103" s="32" t="str">
        <f>_xlfn.XLOOKUP(Table610119[[#This Row],[&lt;&lt;NOLA_Exchange&gt;&gt;
Booking]],Table26[XPATHS],Table26['#],"DNE")</f>
        <v>299book_xpath</v>
      </c>
      <c r="AF103" s="32" t="str">
        <f>CLEAN(TRIM(SUBSTITUTE(Table610119[[#This Row],[field id]],CHAR(34),"")))</f>
        <v>IDSUB5</v>
      </c>
    </row>
    <row r="104" spans="1:32" ht="30" customHeight="1" x14ac:dyDescent="0.3">
      <c r="A104" s="28" t="str">
        <f t="shared" si="4"/>
        <v>103expanded_IMARRD_sorted</v>
      </c>
      <c r="B104" s="28">
        <f t="shared" si="5"/>
        <v>15</v>
      </c>
      <c r="C104" s="28">
        <f t="shared" si="6"/>
        <v>53</v>
      </c>
      <c r="D104" s="28">
        <f t="shared" si="7"/>
        <v>73</v>
      </c>
      <c r="E104" s="28" t="s">
        <v>32</v>
      </c>
      <c r="F104" s="38" t="s">
        <v>8</v>
      </c>
      <c r="G104" s="38">
        <v>21</v>
      </c>
      <c r="H104" s="39" t="s">
        <v>1142</v>
      </c>
      <c r="I104" s="40" t="s">
        <v>1167</v>
      </c>
      <c r="J104" s="38" t="s">
        <v>34</v>
      </c>
      <c r="K104" s="38" t="s">
        <v>1168</v>
      </c>
      <c r="L104" s="38" t="s">
        <v>440</v>
      </c>
      <c r="M104" s="41" t="s">
        <v>421</v>
      </c>
      <c r="N104" s="38" t="s">
        <v>1167</v>
      </c>
      <c r="O104" s="38" t="s">
        <v>1188</v>
      </c>
      <c r="P104" s="42" t="s">
        <v>1189</v>
      </c>
      <c r="Q104" s="42" t="s">
        <v>1171</v>
      </c>
      <c r="R104" s="38" t="s">
        <v>375</v>
      </c>
      <c r="S104" s="38" t="s">
        <v>159</v>
      </c>
      <c r="T104" s="38"/>
      <c r="U104" s="38"/>
      <c r="V104" s="38"/>
      <c r="W104" s="42" t="s">
        <v>3007</v>
      </c>
      <c r="X104" s="42" t="s">
        <v>1188</v>
      </c>
      <c r="Y104" s="38" t="s">
        <v>45</v>
      </c>
      <c r="Z104" s="38" t="s">
        <v>46</v>
      </c>
      <c r="AA104" s="38" t="s">
        <v>1174</v>
      </c>
      <c r="AB104" s="38" t="s">
        <v>1190</v>
      </c>
      <c r="AC104" s="38" t="str">
        <f>SUBSTITUTE(Table610119[[#This Row],[field name]],"field: ","")</f>
        <v>"IDSUB6"</v>
      </c>
      <c r="AD104" s="38" t="str">
        <f>SUBSTITUTE((CLEAN(TRIM(Table610119[[#This Row],[field id]]))&amp;": "&amp;CHAR(34)&amp;Table610119[[#This Row],[&lt;&lt;NOLA_Exchange&gt;&gt;
Booking]]&amp;CHAR(34)&amp;CHAR(44)),"/nola:BookingExchange","")</f>
        <v>"IDSUB6": "/j:Booking/j:Arrest/j:ArrestCharge[6]/j:ChargeStatute/nola-ext:ChargeStatuteAugmentation/nola-ext:StatuteCodeSectionSubparagraphIdentification/IdentificationID",</v>
      </c>
      <c r="AE104" s="32" t="str">
        <f>_xlfn.XLOOKUP(Table610119[[#This Row],[&lt;&lt;NOLA_Exchange&gt;&gt;
Booking]],Table26[XPATHS],Table26['#],"DNE")</f>
        <v>315book_xpath</v>
      </c>
      <c r="AF104" s="32" t="str">
        <f>CLEAN(TRIM(SUBSTITUTE(Table610119[[#This Row],[field id]],CHAR(34),"")))</f>
        <v>IDSUB6</v>
      </c>
    </row>
    <row r="105" spans="1:32" ht="30" customHeight="1" x14ac:dyDescent="0.3">
      <c r="A105" s="28" t="str">
        <f t="shared" si="4"/>
        <v>104expanded_IMARRD_sorted</v>
      </c>
      <c r="B105" s="28">
        <f t="shared" si="5"/>
        <v>15</v>
      </c>
      <c r="C105" s="28">
        <f t="shared" si="6"/>
        <v>54</v>
      </c>
      <c r="D105" s="28">
        <f t="shared" si="7"/>
        <v>74</v>
      </c>
      <c r="E105" s="28" t="s">
        <v>32</v>
      </c>
      <c r="F105" s="38" t="s">
        <v>8</v>
      </c>
      <c r="G105" s="38">
        <v>20</v>
      </c>
      <c r="H105" s="39" t="s">
        <v>1142</v>
      </c>
      <c r="I105" s="40" t="s">
        <v>1191</v>
      </c>
      <c r="J105" s="38" t="s">
        <v>34</v>
      </c>
      <c r="K105" s="38" t="s">
        <v>1192</v>
      </c>
      <c r="L105" s="38" t="s">
        <v>440</v>
      </c>
      <c r="M105" s="41" t="s">
        <v>37</v>
      </c>
      <c r="N105" s="38" t="s">
        <v>1191</v>
      </c>
      <c r="O105" s="38" t="s">
        <v>1193</v>
      </c>
      <c r="P105" s="42" t="s">
        <v>1194</v>
      </c>
      <c r="Q105" s="42" t="s">
        <v>1195</v>
      </c>
      <c r="R105" s="38" t="s">
        <v>1196</v>
      </c>
      <c r="S105" s="38" t="s">
        <v>159</v>
      </c>
      <c r="T105" s="38"/>
      <c r="U105" s="38"/>
      <c r="V105" s="38"/>
      <c r="W105" s="42" t="s">
        <v>3029</v>
      </c>
      <c r="X105" s="42" t="s">
        <v>1193</v>
      </c>
      <c r="Y105" s="38" t="s">
        <v>45</v>
      </c>
      <c r="Z105" s="38" t="s">
        <v>46</v>
      </c>
      <c r="AA105" s="38" t="s">
        <v>1199</v>
      </c>
      <c r="AB105" s="38" t="s">
        <v>1200</v>
      </c>
      <c r="AC105" s="38" t="str">
        <f>SUBSTITUTE(Table610119[[#This Row],[field name]],"field: ","")</f>
        <v>"IDVIO1"</v>
      </c>
      <c r="AD105" s="38" t="str">
        <f>SUBSTITUTE((CLEAN(TRIM(Table610119[[#This Row],[field id]]))&amp;": "&amp;CHAR(34)&amp;Table610119[[#This Row],[&lt;&lt;NOLA_Exchange&gt;&gt;
Booking]]&amp;CHAR(34)&amp;CHAR(44)),"/nola:BookingExchange","")</f>
        <v>"IDVIO1": "/j:Booking/j:Arrest/j:ArrestCharge[1]/j:ChargeStatute/j:StatuteCodeSectionIdentification/IdentificationID",</v>
      </c>
      <c r="AE105" s="32" t="str">
        <f>_xlfn.XLOOKUP(Table610119[[#This Row],[&lt;&lt;NOLA_Exchange&gt;&gt;
Booking]],Table26[XPATHS],Table26['#],"DNE")</f>
        <v>226book_xpath</v>
      </c>
      <c r="AF105" s="32" t="str">
        <f>CLEAN(TRIM(SUBSTITUTE(Table610119[[#This Row],[field id]],CHAR(34),"")))</f>
        <v>IDVIO1</v>
      </c>
    </row>
    <row r="106" spans="1:32" ht="30" customHeight="1" x14ac:dyDescent="0.3">
      <c r="A106" s="28" t="str">
        <f t="shared" si="4"/>
        <v>105expanded_IMARRD_sorted</v>
      </c>
      <c r="B106" s="28">
        <f t="shared" si="5"/>
        <v>15</v>
      </c>
      <c r="C106" s="28">
        <f t="shared" si="6"/>
        <v>54</v>
      </c>
      <c r="D106" s="28">
        <f t="shared" si="7"/>
        <v>75</v>
      </c>
      <c r="E106" s="28" t="s">
        <v>32</v>
      </c>
      <c r="F106" s="38" t="s">
        <v>8</v>
      </c>
      <c r="G106" s="38">
        <v>20</v>
      </c>
      <c r="H106" s="39" t="s">
        <v>1142</v>
      </c>
      <c r="I106" s="40" t="s">
        <v>1191</v>
      </c>
      <c r="J106" s="38" t="s">
        <v>34</v>
      </c>
      <c r="K106" s="38" t="s">
        <v>1192</v>
      </c>
      <c r="L106" s="38" t="s">
        <v>440</v>
      </c>
      <c r="M106" s="41" t="s">
        <v>52</v>
      </c>
      <c r="N106" s="38" t="s">
        <v>1191</v>
      </c>
      <c r="O106" s="38" t="s">
        <v>1201</v>
      </c>
      <c r="P106" s="42" t="s">
        <v>1202</v>
      </c>
      <c r="Q106" s="42" t="s">
        <v>1195</v>
      </c>
      <c r="R106" s="38" t="s">
        <v>1196</v>
      </c>
      <c r="S106" s="38" t="s">
        <v>159</v>
      </c>
      <c r="T106" s="38"/>
      <c r="U106" s="38"/>
      <c r="V106" s="38"/>
      <c r="W106" s="42" t="s">
        <v>3030</v>
      </c>
      <c r="X106" s="42" t="s">
        <v>1201</v>
      </c>
      <c r="Y106" s="38" t="s">
        <v>45</v>
      </c>
      <c r="Z106" s="38" t="s">
        <v>46</v>
      </c>
      <c r="AA106" s="38" t="s">
        <v>1199</v>
      </c>
      <c r="AB106" s="38" t="s">
        <v>1203</v>
      </c>
      <c r="AC106" s="38" t="str">
        <f>SUBSTITUTE(Table610119[[#This Row],[field name]],"field: ","")</f>
        <v>"IDVIO2"</v>
      </c>
      <c r="AD106" s="38" t="str">
        <f>SUBSTITUTE((CLEAN(TRIM(Table610119[[#This Row],[field id]]))&amp;": "&amp;CHAR(34)&amp;Table610119[[#This Row],[&lt;&lt;NOLA_Exchange&gt;&gt;
Booking]]&amp;CHAR(34)&amp;CHAR(44)),"/nola:BookingExchange","")</f>
        <v>"IDVIO2": "/j:Booking/j:Arrest/j:ArrestCharge[2]/j:ChargeStatute/j:StatuteCodeSectionIdentification/IdentificationID",</v>
      </c>
      <c r="AE106" s="32" t="str">
        <f>_xlfn.XLOOKUP(Table610119[[#This Row],[&lt;&lt;NOLA_Exchange&gt;&gt;
Booking]],Table26[XPATHS],Table26['#],"DNE")</f>
        <v>248book_xpath</v>
      </c>
      <c r="AF106" s="32" t="str">
        <f>CLEAN(TRIM(SUBSTITUTE(Table610119[[#This Row],[field id]],CHAR(34),"")))</f>
        <v>IDVIO2</v>
      </c>
    </row>
    <row r="107" spans="1:32" ht="30" customHeight="1" x14ac:dyDescent="0.3">
      <c r="A107" s="28" t="str">
        <f t="shared" si="4"/>
        <v>106expanded_IMARRD_sorted</v>
      </c>
      <c r="B107" s="28">
        <f t="shared" si="5"/>
        <v>15</v>
      </c>
      <c r="C107" s="28">
        <f t="shared" si="6"/>
        <v>54</v>
      </c>
      <c r="D107" s="28">
        <f t="shared" si="7"/>
        <v>76</v>
      </c>
      <c r="E107" s="28" t="s">
        <v>32</v>
      </c>
      <c r="F107" s="38" t="s">
        <v>8</v>
      </c>
      <c r="G107" s="38">
        <v>20</v>
      </c>
      <c r="H107" s="39" t="s">
        <v>1142</v>
      </c>
      <c r="I107" s="40" t="s">
        <v>1191</v>
      </c>
      <c r="J107" s="38" t="s">
        <v>34</v>
      </c>
      <c r="K107" s="38" t="s">
        <v>1192</v>
      </c>
      <c r="L107" s="38" t="s">
        <v>440</v>
      </c>
      <c r="M107" s="41" t="s">
        <v>57</v>
      </c>
      <c r="N107" s="38" t="s">
        <v>1191</v>
      </c>
      <c r="O107" s="38" t="s">
        <v>1204</v>
      </c>
      <c r="P107" s="42" t="s">
        <v>1205</v>
      </c>
      <c r="Q107" s="42" t="s">
        <v>1195</v>
      </c>
      <c r="R107" s="38" t="s">
        <v>1196</v>
      </c>
      <c r="S107" s="38" t="s">
        <v>159</v>
      </c>
      <c r="T107" s="38"/>
      <c r="U107" s="38"/>
      <c r="V107" s="38"/>
      <c r="W107" s="42" t="s">
        <v>3031</v>
      </c>
      <c r="X107" s="42" t="s">
        <v>1204</v>
      </c>
      <c r="Y107" s="38" t="s">
        <v>45</v>
      </c>
      <c r="Z107" s="38" t="s">
        <v>46</v>
      </c>
      <c r="AA107" s="38" t="s">
        <v>1199</v>
      </c>
      <c r="AB107" s="38" t="s">
        <v>1206</v>
      </c>
      <c r="AC107" s="38" t="str">
        <f>SUBSTITUTE(Table610119[[#This Row],[field name]],"field: ","")</f>
        <v>"IDVIO3"</v>
      </c>
      <c r="AD107" s="38" t="str">
        <f>SUBSTITUTE((CLEAN(TRIM(Table610119[[#This Row],[field id]]))&amp;": "&amp;CHAR(34)&amp;Table610119[[#This Row],[&lt;&lt;NOLA_Exchange&gt;&gt;
Booking]]&amp;CHAR(34)&amp;CHAR(44)),"/nola:BookingExchange","")</f>
        <v>"IDVIO3": "/j:Booking/j:Arrest/j:ArrestCharge[3]/j:ChargeStatute/j:StatuteCodeSectionIdentification/IdentificationID",</v>
      </c>
      <c r="AE107" s="32" t="str">
        <f>_xlfn.XLOOKUP(Table610119[[#This Row],[&lt;&lt;NOLA_Exchange&gt;&gt;
Booking]],Table26[XPATHS],Table26['#],"DNE")</f>
        <v>264book_xpath</v>
      </c>
      <c r="AF107" s="32" t="str">
        <f>CLEAN(TRIM(SUBSTITUTE(Table610119[[#This Row],[field id]],CHAR(34),"")))</f>
        <v>IDVIO3</v>
      </c>
    </row>
    <row r="108" spans="1:32" ht="30" customHeight="1" x14ac:dyDescent="0.3">
      <c r="A108" s="28" t="str">
        <f t="shared" si="4"/>
        <v>107expanded_IMARRD_sorted</v>
      </c>
      <c r="B108" s="28">
        <f t="shared" si="5"/>
        <v>15</v>
      </c>
      <c r="C108" s="28">
        <f t="shared" si="6"/>
        <v>54</v>
      </c>
      <c r="D108" s="28">
        <f t="shared" si="7"/>
        <v>77</v>
      </c>
      <c r="E108" s="28" t="s">
        <v>32</v>
      </c>
      <c r="F108" s="38" t="s">
        <v>8</v>
      </c>
      <c r="G108" s="38">
        <v>20</v>
      </c>
      <c r="H108" s="39" t="s">
        <v>1142</v>
      </c>
      <c r="I108" s="40" t="s">
        <v>1191</v>
      </c>
      <c r="J108" s="38" t="s">
        <v>34</v>
      </c>
      <c r="K108" s="38" t="s">
        <v>1192</v>
      </c>
      <c r="L108" s="38" t="s">
        <v>440</v>
      </c>
      <c r="M108" s="41" t="s">
        <v>49</v>
      </c>
      <c r="N108" s="38" t="s">
        <v>1191</v>
      </c>
      <c r="O108" s="38" t="s">
        <v>1207</v>
      </c>
      <c r="P108" s="42" t="s">
        <v>1208</v>
      </c>
      <c r="Q108" s="42" t="s">
        <v>1195</v>
      </c>
      <c r="R108" s="38" t="s">
        <v>1196</v>
      </c>
      <c r="S108" s="38" t="s">
        <v>159</v>
      </c>
      <c r="T108" s="38"/>
      <c r="U108" s="38"/>
      <c r="V108" s="38"/>
      <c r="W108" s="42" t="s">
        <v>3032</v>
      </c>
      <c r="X108" s="42" t="s">
        <v>1207</v>
      </c>
      <c r="Y108" s="38" t="s">
        <v>45</v>
      </c>
      <c r="Z108" s="38" t="s">
        <v>46</v>
      </c>
      <c r="AA108" s="38" t="s">
        <v>1199</v>
      </c>
      <c r="AB108" s="38" t="s">
        <v>1209</v>
      </c>
      <c r="AC108" s="38" t="str">
        <f>SUBSTITUTE(Table610119[[#This Row],[field name]],"field: ","")</f>
        <v>"IDVIO4"</v>
      </c>
      <c r="AD108" s="38" t="str">
        <f>SUBSTITUTE((CLEAN(TRIM(Table610119[[#This Row],[field id]]))&amp;": "&amp;CHAR(34)&amp;Table610119[[#This Row],[&lt;&lt;NOLA_Exchange&gt;&gt;
Booking]]&amp;CHAR(34)&amp;CHAR(44)),"/nola:BookingExchange","")</f>
        <v>"IDVIO4": "/j:Booking/j:Arrest/j:ArrestCharge[4]/j:ChargeStatute/j:StatuteCodeSectionIdentification/IdentificationID",</v>
      </c>
      <c r="AE108" s="32" t="str">
        <f>_xlfn.XLOOKUP(Table610119[[#This Row],[&lt;&lt;NOLA_Exchange&gt;&gt;
Booking]],Table26[XPATHS],Table26['#],"DNE")</f>
        <v>280book_xpath</v>
      </c>
      <c r="AF108" s="32" t="str">
        <f>CLEAN(TRIM(SUBSTITUTE(Table610119[[#This Row],[field id]],CHAR(34),"")))</f>
        <v>IDVIO4</v>
      </c>
    </row>
    <row r="109" spans="1:32" ht="30" customHeight="1" x14ac:dyDescent="0.3">
      <c r="A109" s="28" t="str">
        <f t="shared" si="4"/>
        <v>108expanded_IMARRD_sorted</v>
      </c>
      <c r="B109" s="28">
        <f t="shared" si="5"/>
        <v>15</v>
      </c>
      <c r="C109" s="28">
        <f t="shared" si="6"/>
        <v>54</v>
      </c>
      <c r="D109" s="28">
        <f t="shared" si="7"/>
        <v>78</v>
      </c>
      <c r="E109" s="28" t="s">
        <v>32</v>
      </c>
      <c r="F109" s="38" t="s">
        <v>8</v>
      </c>
      <c r="G109" s="38">
        <v>20</v>
      </c>
      <c r="H109" s="39" t="s">
        <v>1142</v>
      </c>
      <c r="I109" s="40" t="s">
        <v>1191</v>
      </c>
      <c r="J109" s="38" t="s">
        <v>34</v>
      </c>
      <c r="K109" s="38" t="s">
        <v>1192</v>
      </c>
      <c r="L109" s="38" t="s">
        <v>440</v>
      </c>
      <c r="M109" s="41" t="s">
        <v>87</v>
      </c>
      <c r="N109" s="38" t="s">
        <v>1191</v>
      </c>
      <c r="O109" s="38" t="s">
        <v>1210</v>
      </c>
      <c r="P109" s="42" t="s">
        <v>1211</v>
      </c>
      <c r="Q109" s="42" t="s">
        <v>1195</v>
      </c>
      <c r="R109" s="38" t="s">
        <v>1196</v>
      </c>
      <c r="S109" s="38" t="s">
        <v>159</v>
      </c>
      <c r="T109" s="38"/>
      <c r="U109" s="38"/>
      <c r="V109" s="38"/>
      <c r="W109" s="42" t="s">
        <v>3033</v>
      </c>
      <c r="X109" s="42" t="s">
        <v>1210</v>
      </c>
      <c r="Y109" s="38" t="s">
        <v>45</v>
      </c>
      <c r="Z109" s="38" t="s">
        <v>46</v>
      </c>
      <c r="AA109" s="38" t="s">
        <v>1199</v>
      </c>
      <c r="AB109" s="38" t="s">
        <v>1212</v>
      </c>
      <c r="AC109" s="38" t="str">
        <f>SUBSTITUTE(Table610119[[#This Row],[field name]],"field: ","")</f>
        <v>"IDVIO5"</v>
      </c>
      <c r="AD109" s="38" t="str">
        <f>SUBSTITUTE((CLEAN(TRIM(Table610119[[#This Row],[field id]]))&amp;": "&amp;CHAR(34)&amp;Table610119[[#This Row],[&lt;&lt;NOLA_Exchange&gt;&gt;
Booking]]&amp;CHAR(34)&amp;CHAR(44)),"/nola:BookingExchange","")</f>
        <v>"IDVIO5": "/j:Booking/j:Arrest/j:ArrestCharge[5]/j:ChargeStatute/j:StatuteCodeSectionIdentification/IdentificationID",</v>
      </c>
      <c r="AE109" s="32" t="str">
        <f>_xlfn.XLOOKUP(Table610119[[#This Row],[&lt;&lt;NOLA_Exchange&gt;&gt;
Booking]],Table26[XPATHS],Table26['#],"DNE")</f>
        <v>296book_xpath</v>
      </c>
      <c r="AF109" s="32" t="str">
        <f>CLEAN(TRIM(SUBSTITUTE(Table610119[[#This Row],[field id]],CHAR(34),"")))</f>
        <v>IDVIO5</v>
      </c>
    </row>
    <row r="110" spans="1:32" ht="30" customHeight="1" x14ac:dyDescent="0.3">
      <c r="A110" s="28" t="str">
        <f t="shared" si="4"/>
        <v>109expanded_IMARRD_sorted</v>
      </c>
      <c r="B110" s="28">
        <f t="shared" si="5"/>
        <v>15</v>
      </c>
      <c r="C110" s="28">
        <f t="shared" si="6"/>
        <v>54</v>
      </c>
      <c r="D110" s="28">
        <f t="shared" si="7"/>
        <v>79</v>
      </c>
      <c r="E110" s="28" t="s">
        <v>32</v>
      </c>
      <c r="F110" s="38" t="s">
        <v>8</v>
      </c>
      <c r="G110" s="38">
        <v>20</v>
      </c>
      <c r="H110" s="39" t="s">
        <v>1142</v>
      </c>
      <c r="I110" s="40" t="s">
        <v>1191</v>
      </c>
      <c r="J110" s="38" t="s">
        <v>34</v>
      </c>
      <c r="K110" s="38" t="s">
        <v>1192</v>
      </c>
      <c r="L110" s="38" t="s">
        <v>440</v>
      </c>
      <c r="M110" s="41" t="s">
        <v>421</v>
      </c>
      <c r="N110" s="38" t="s">
        <v>1191</v>
      </c>
      <c r="O110" s="38" t="s">
        <v>1213</v>
      </c>
      <c r="P110" s="42" t="s">
        <v>1214</v>
      </c>
      <c r="Q110" s="42" t="s">
        <v>1195</v>
      </c>
      <c r="R110" s="38" t="s">
        <v>1196</v>
      </c>
      <c r="S110" s="38" t="s">
        <v>159</v>
      </c>
      <c r="T110" s="38"/>
      <c r="U110" s="38"/>
      <c r="V110" s="38"/>
      <c r="W110" s="42" t="s">
        <v>3034</v>
      </c>
      <c r="X110" s="42" t="s">
        <v>1213</v>
      </c>
      <c r="Y110" s="38" t="s">
        <v>45</v>
      </c>
      <c r="Z110" s="38" t="s">
        <v>46</v>
      </c>
      <c r="AA110" s="38" t="s">
        <v>1199</v>
      </c>
      <c r="AB110" s="38" t="s">
        <v>1215</v>
      </c>
      <c r="AC110" s="38" t="str">
        <f>SUBSTITUTE(Table610119[[#This Row],[field name]],"field: ","")</f>
        <v>"IDVIO6"</v>
      </c>
      <c r="AD110" s="38" t="str">
        <f>SUBSTITUTE((CLEAN(TRIM(Table610119[[#This Row],[field id]]))&amp;": "&amp;CHAR(34)&amp;Table610119[[#This Row],[&lt;&lt;NOLA_Exchange&gt;&gt;
Booking]]&amp;CHAR(34)&amp;CHAR(44)),"/nola:BookingExchange","")</f>
        <v>"IDVIO6": "/j:Booking/j:Arrest/j:ArrestCharge[6]/j:ChargeStatute/j:StatuteCodeSectionIdentification/IdentificationID",</v>
      </c>
      <c r="AE110" s="32" t="str">
        <f>_xlfn.XLOOKUP(Table610119[[#This Row],[&lt;&lt;NOLA_Exchange&gt;&gt;
Booking]],Table26[XPATHS],Table26['#],"DNE")</f>
        <v>312book_xpath</v>
      </c>
      <c r="AF110" s="32" t="str">
        <f>CLEAN(TRIM(SUBSTITUTE(Table610119[[#This Row],[field id]],CHAR(34),"")))</f>
        <v>IDVIO6</v>
      </c>
    </row>
  </sheetData>
  <conditionalFormatting sqref="H2:H110">
    <cfRule type="expression" dxfId="25" priority="4">
      <formula>AND(LEN($H2)&gt;0,MOD($B2,2)=0)</formula>
    </cfRule>
  </conditionalFormatting>
  <conditionalFormatting sqref="I2:I110">
    <cfRule type="expression" dxfId="24" priority="5">
      <formula>AND(LEN($I2)&gt;0,MOD($C2,2)=0)</formula>
    </cfRule>
  </conditionalFormatting>
  <conditionalFormatting sqref="M2:M110">
    <cfRule type="expression" dxfId="23" priority="3">
      <formula>AND(LEN($M2)&gt;0,MOD($D2,2)=0)</formula>
    </cfRule>
  </conditionalFormatting>
  <conditionalFormatting sqref="W2:W110">
    <cfRule type="expression" dxfId="22" priority="1">
      <formula>IF($E2="d",TRUE,FALSE)</formula>
    </cfRule>
    <cfRule type="expression" dxfId="21" priority="2">
      <formula>IF($E2="x",TRUE,FALSE)</formula>
    </cfRule>
  </conditionalFormatting>
  <conditionalFormatting sqref="AB2:AB110">
    <cfRule type="duplicateValues" dxfId="20" priority="9"/>
  </conditionalFormatting>
  <conditionalFormatting sqref="AC2:AC110">
    <cfRule type="duplicateValues" dxfId="19" priority="8"/>
  </conditionalFormatting>
  <conditionalFormatting sqref="AE2:AE110">
    <cfRule type="duplicateValues" dxfId="18" priority="6"/>
    <cfRule type="containsText" dxfId="17" priority="7" operator="containsText" text="DNE">
      <formula>NOT(ISERROR(SEARCH("DNE",AE2)))</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36768-F991-4874-990E-BFE6ABC18857}">
  <sheetPr>
    <tabColor theme="4" tint="0.59999389629810485"/>
  </sheetPr>
  <dimension ref="A1:D396"/>
  <sheetViews>
    <sheetView workbookViewId="0">
      <selection activeCell="C15" sqref="C15"/>
    </sheetView>
  </sheetViews>
  <sheetFormatPr defaultColWidth="9.109375" defaultRowHeight="14.4" x14ac:dyDescent="0.3"/>
  <cols>
    <col min="1" max="1" width="9.109375" style="33"/>
    <col min="2" max="2" width="163" style="33" customWidth="1"/>
    <col min="3" max="3" width="30.6640625" style="33" customWidth="1"/>
    <col min="4" max="4" width="16" style="33" customWidth="1"/>
    <col min="5" max="16384" width="9.109375" style="33"/>
  </cols>
  <sheetData>
    <row r="1" spans="1:4" s="22" customFormat="1" ht="30.75" customHeight="1" x14ac:dyDescent="0.3">
      <c r="A1" s="22" t="s">
        <v>0</v>
      </c>
      <c r="B1" s="22" t="s">
        <v>3093</v>
      </c>
      <c r="C1" s="44" t="s">
        <v>3094</v>
      </c>
      <c r="D1" s="45" t="s">
        <v>3095</v>
      </c>
    </row>
    <row r="2" spans="1:4" x14ac:dyDescent="0.3">
      <c r="A2" s="33" t="str">
        <f t="shared" ref="A2:A65" si="0">ROW(A1)&amp;"book_xpath"</f>
        <v>1book_xpath</v>
      </c>
      <c r="B2" s="33" t="s">
        <v>3096</v>
      </c>
      <c r="C2" s="33" t="str">
        <f>_xlfn.XLOOKUP(Table26[[#This Row],[XPATHS]],Table610119[&lt;&lt;NOLA_Exchange&gt;&gt;
Booking],Table610119[python script],"")</f>
        <v/>
      </c>
      <c r="D2" s="33" t="str">
        <f>_xlfn.XLOOKUP(Table26[[#This Row],[XPATHS]],Table610119[&lt;&lt;NOLA_Exchange&gt;&gt;
Booking],Table610119['#],"")</f>
        <v/>
      </c>
    </row>
    <row r="3" spans="1:4" x14ac:dyDescent="0.3">
      <c r="A3" s="33" t="str">
        <f t="shared" si="0"/>
        <v>2book_xpath</v>
      </c>
      <c r="B3" s="33" t="s">
        <v>3097</v>
      </c>
      <c r="C3" s="33" t="str">
        <f>_xlfn.XLOOKUP(Table26[[#This Row],[XPATHS]],Table610119[&lt;&lt;NOLA_Exchange&gt;&gt;
Booking],Table610119[python script],"")</f>
        <v/>
      </c>
      <c r="D3" s="33" t="str">
        <f>_xlfn.XLOOKUP(Table26[[#This Row],[XPATHS]],Table610119[&lt;&lt;NOLA_Exchange&gt;&gt;
Booking],Table610119['#],"")</f>
        <v/>
      </c>
    </row>
    <row r="4" spans="1:4" x14ac:dyDescent="0.3">
      <c r="A4" s="33" t="str">
        <f t="shared" si="0"/>
        <v>3book_xpath</v>
      </c>
      <c r="B4" s="33" t="s">
        <v>407</v>
      </c>
      <c r="C4" s="33" t="str">
        <f>_xlfn.XLOOKUP(Table26[[#This Row],[XPATHS]],Table610119[&lt;&lt;NOLA_Exchange&gt;&gt;
Booking],Table610119[python script],"")</f>
        <v>"IDBDTE": "/j:Booking/ActivityDate/DateTime",</v>
      </c>
      <c r="D4" s="33" t="str">
        <f>_xlfn.XLOOKUP(Table26[[#This Row],[XPATHS]],Table610119[&lt;&lt;NOLA_Exchange&gt;&gt;
Booking],Table610119['#],"")</f>
        <v>24expanded_IMARRD_sorted</v>
      </c>
    </row>
    <row r="5" spans="1:4" x14ac:dyDescent="0.3">
      <c r="A5" s="33" t="str">
        <f t="shared" si="0"/>
        <v>4book_xpath</v>
      </c>
      <c r="B5" s="33" t="s">
        <v>3098</v>
      </c>
      <c r="C5" s="33" t="str">
        <f>_xlfn.XLOOKUP(Table26[[#This Row],[XPATHS]],Table610119[&lt;&lt;NOLA_Exchange&gt;&gt;
Booking],Table610119[python script],"")</f>
        <v/>
      </c>
      <c r="D5" s="33" t="str">
        <f>_xlfn.XLOOKUP(Table26[[#This Row],[XPATHS]],Table610119[&lt;&lt;NOLA_Exchange&gt;&gt;
Booking],Table610119['#],"")</f>
        <v/>
      </c>
    </row>
    <row r="6" spans="1:4" x14ac:dyDescent="0.3">
      <c r="A6" s="33" t="str">
        <f t="shared" si="0"/>
        <v>5book_xpath</v>
      </c>
      <c r="B6" s="33" t="s">
        <v>362</v>
      </c>
      <c r="C6" s="33" t="str">
        <f>_xlfn.XLOOKUP(Table26[[#This Row],[XPATHS]],Table610119[&lt;&lt;NOLA_Exchange&gt;&gt;
Booking],Table610119[python script],"")</f>
        <v/>
      </c>
      <c r="D6" s="33" t="str">
        <f>_xlfn.XLOOKUP(Table26[[#This Row],[XPATHS]],Table610119[&lt;&lt;NOLA_Exchange&gt;&gt;
Booking],Table610119['#],"")</f>
        <v/>
      </c>
    </row>
    <row r="7" spans="1:4" x14ac:dyDescent="0.3">
      <c r="A7" s="33" t="str">
        <f t="shared" si="0"/>
        <v>6book_xpath</v>
      </c>
      <c r="B7" s="33" t="s">
        <v>3099</v>
      </c>
      <c r="C7" s="33" t="str">
        <f>_xlfn.XLOOKUP(Table26[[#This Row],[XPATHS]],Table610119[&lt;&lt;NOLA_Exchange&gt;&gt;
Booking],Table610119[python script],"")</f>
        <v/>
      </c>
      <c r="D7" s="33" t="str">
        <f>_xlfn.XLOOKUP(Table26[[#This Row],[XPATHS]],Table610119[&lt;&lt;NOLA_Exchange&gt;&gt;
Booking],Table610119['#],"")</f>
        <v/>
      </c>
    </row>
    <row r="8" spans="1:4" x14ac:dyDescent="0.3">
      <c r="A8" s="33" t="str">
        <f t="shared" si="0"/>
        <v>7book_xpath</v>
      </c>
      <c r="B8" s="33" t="s">
        <v>3100</v>
      </c>
      <c r="C8" s="33" t="str">
        <f>_xlfn.XLOOKUP(Table26[[#This Row],[XPATHS]],Table610119[&lt;&lt;NOLA_Exchange&gt;&gt;
Booking],Table610119[python script],"")</f>
        <v/>
      </c>
      <c r="D8" s="33" t="str">
        <f>_xlfn.XLOOKUP(Table26[[#This Row],[XPATHS]],Table610119[&lt;&lt;NOLA_Exchange&gt;&gt;
Booking],Table610119['#],"")</f>
        <v/>
      </c>
    </row>
    <row r="9" spans="1:4" x14ac:dyDescent="0.3">
      <c r="A9" s="33" t="str">
        <f t="shared" si="0"/>
        <v>8book_xpath</v>
      </c>
      <c r="B9" s="33" t="s">
        <v>1427</v>
      </c>
      <c r="C9" s="33" t="str">
        <f>_xlfn.XLOOKUP(Table26[[#This Row],[XPATHS]],Table610119[&lt;&lt;NOLA_Exchange&gt;&gt;
Booking],Table610119[python script],"")</f>
        <v/>
      </c>
      <c r="D9" s="33" t="str">
        <f>_xlfn.XLOOKUP(Table26[[#This Row],[XPATHS]],Table610119[&lt;&lt;NOLA_Exchange&gt;&gt;
Booking],Table610119['#],"")</f>
        <v/>
      </c>
    </row>
    <row r="10" spans="1:4" x14ac:dyDescent="0.3">
      <c r="A10" s="33" t="str">
        <f t="shared" si="0"/>
        <v>9book_xpath</v>
      </c>
      <c r="B10" s="33" t="s">
        <v>3101</v>
      </c>
      <c r="C10" s="33" t="str">
        <f>_xlfn.XLOOKUP(Table26[[#This Row],[XPATHS]],Table610119[&lt;&lt;NOLA_Exchange&gt;&gt;
Booking],Table610119[python script],"")</f>
        <v/>
      </c>
      <c r="D10" s="33" t="str">
        <f>_xlfn.XLOOKUP(Table26[[#This Row],[XPATHS]],Table610119[&lt;&lt;NOLA_Exchange&gt;&gt;
Booking],Table610119['#],"")</f>
        <v/>
      </c>
    </row>
    <row r="11" spans="1:4" x14ac:dyDescent="0.3">
      <c r="A11" s="33" t="str">
        <f t="shared" si="0"/>
        <v>10book_xpath</v>
      </c>
      <c r="B11" s="33" t="s">
        <v>445</v>
      </c>
      <c r="C11" s="33" t="str">
        <f>_xlfn.XLOOKUP(Table26[[#This Row],[XPATHS]],Table610119[&lt;&lt;NOLA_Exchange&gt;&gt;
Booking],Table610119[python script],"")</f>
        <v>"IDSCNO": "/j:Booking/j:BookingAgencyRecordIdentification/IdentificationID",</v>
      </c>
      <c r="D11" s="33" t="str">
        <f>_xlfn.XLOOKUP(Table26[[#This Row],[XPATHS]],Table610119[&lt;&lt;NOLA_Exchange&gt;&gt;
Booking],Table610119['#],"")</f>
        <v>27expanded_IMARRD_sorted</v>
      </c>
    </row>
    <row r="12" spans="1:4" x14ac:dyDescent="0.3">
      <c r="A12" s="33" t="str">
        <f t="shared" si="0"/>
        <v>11book_xpath</v>
      </c>
      <c r="B12" s="33" t="s">
        <v>3102</v>
      </c>
      <c r="C12" s="33" t="str">
        <f>_xlfn.XLOOKUP(Table26[[#This Row],[XPATHS]],Table610119[&lt;&lt;NOLA_Exchange&gt;&gt;
Booking],Table610119[python script],"")</f>
        <v/>
      </c>
      <c r="D12" s="33" t="str">
        <f>_xlfn.XLOOKUP(Table26[[#This Row],[XPATHS]],Table610119[&lt;&lt;NOLA_Exchange&gt;&gt;
Booking],Table610119['#],"")</f>
        <v/>
      </c>
    </row>
    <row r="13" spans="1:4" x14ac:dyDescent="0.3">
      <c r="A13" s="33" t="str">
        <f t="shared" si="0"/>
        <v>12book_xpath</v>
      </c>
      <c r="B13" s="33" t="s">
        <v>377</v>
      </c>
      <c r="C13" s="33" t="str">
        <f>_xlfn.XLOOKUP(Table26[[#This Row],[XPATHS]],Table610119[&lt;&lt;NOLA_Exchange&gt;&gt;
Booking],Table610119[python script],"")</f>
        <v>"IDFLDR": "/j:Booking/j:BookingDocumentControlIdentification/IdentificationID",</v>
      </c>
      <c r="D13" s="33" t="str">
        <f>_xlfn.XLOOKUP(Table26[[#This Row],[XPATHS]],Table610119[&lt;&lt;NOLA_Exchange&gt;&gt;
Booking],Table610119['#],"")</f>
        <v>22expanded_IMARRD_sorted</v>
      </c>
    </row>
    <row r="14" spans="1:4" x14ac:dyDescent="0.3">
      <c r="A14" s="33" t="str">
        <f t="shared" si="0"/>
        <v>13book_xpath</v>
      </c>
      <c r="B14" s="33" t="s">
        <v>3103</v>
      </c>
      <c r="C14" s="33" t="str">
        <f>_xlfn.XLOOKUP(Table26[[#This Row],[XPATHS]],Table610119[&lt;&lt;NOLA_Exchange&gt;&gt;
Booking],Table610119[python script],"")</f>
        <v/>
      </c>
      <c r="D14" s="33" t="str">
        <f>_xlfn.XLOOKUP(Table26[[#This Row],[XPATHS]],Table610119[&lt;&lt;NOLA_Exchange&gt;&gt;
Booking],Table610119['#],"")</f>
        <v/>
      </c>
    </row>
    <row r="15" spans="1:4" x14ac:dyDescent="0.3">
      <c r="A15" s="33" t="str">
        <f t="shared" si="0"/>
        <v>14book_xpath</v>
      </c>
      <c r="B15" s="33" t="s">
        <v>3104</v>
      </c>
      <c r="C15" s="33" t="str">
        <f>_xlfn.XLOOKUP(Table26[[#This Row],[XPATHS]],Table610119[&lt;&lt;NOLA_Exchange&gt;&gt;
Booking],Table610119[python script],"")</f>
        <v/>
      </c>
      <c r="D15" s="33" t="str">
        <f>_xlfn.XLOOKUP(Table26[[#This Row],[XPATHS]],Table610119[&lt;&lt;NOLA_Exchange&gt;&gt;
Booking],Table610119['#],"")</f>
        <v/>
      </c>
    </row>
    <row r="16" spans="1:4" x14ac:dyDescent="0.3">
      <c r="A16" s="33" t="str">
        <f t="shared" si="0"/>
        <v>15book_xpath</v>
      </c>
      <c r="B16" s="33" t="s">
        <v>1114</v>
      </c>
      <c r="C16" s="33" t="str">
        <f>_xlfn.XLOOKUP(Table26[[#This Row],[XPATHS]],Table610119[&lt;&lt;NOLA_Exchange&gt;&gt;
Booking],Table610119[python script],"")</f>
        <v/>
      </c>
      <c r="D16" s="33" t="str">
        <f>_xlfn.XLOOKUP(Table26[[#This Row],[XPATHS]],Table610119[&lt;&lt;NOLA_Exchange&gt;&gt;
Booking],Table610119['#],"")</f>
        <v/>
      </c>
    </row>
    <row r="17" spans="1:4" x14ac:dyDescent="0.3">
      <c r="A17" s="33" t="str">
        <f t="shared" si="0"/>
        <v>16book_xpath</v>
      </c>
      <c r="B17" s="33" t="s">
        <v>2921</v>
      </c>
      <c r="C17" s="33" t="str">
        <f>_xlfn.XLOOKUP(Table26[[#This Row],[XPATHS]],Table610119[&lt;&lt;NOLA_Exchange&gt;&gt;
Booking],Table610119[python script],"")</f>
        <v/>
      </c>
      <c r="D17" s="33" t="str">
        <f>_xlfn.XLOOKUP(Table26[[#This Row],[XPATHS]],Table610119[&lt;&lt;NOLA_Exchange&gt;&gt;
Booking],Table610119['#],"")</f>
        <v/>
      </c>
    </row>
    <row r="18" spans="1:4" x14ac:dyDescent="0.3">
      <c r="A18" s="33" t="str">
        <f t="shared" si="0"/>
        <v>17book_xpath</v>
      </c>
      <c r="B18" s="33" t="s">
        <v>3105</v>
      </c>
      <c r="C18" s="33" t="str">
        <f>_xlfn.XLOOKUP(Table26[[#This Row],[XPATHS]],Table610119[&lt;&lt;NOLA_Exchange&gt;&gt;
Booking],Table610119[python script],"")</f>
        <v/>
      </c>
      <c r="D18" s="33" t="str">
        <f>_xlfn.XLOOKUP(Table26[[#This Row],[XPATHS]],Table610119[&lt;&lt;NOLA_Exchange&gt;&gt;
Booking],Table610119['#],"")</f>
        <v/>
      </c>
    </row>
    <row r="19" spans="1:4" x14ac:dyDescent="0.3">
      <c r="A19" s="33" t="str">
        <f t="shared" si="0"/>
        <v>18book_xpath</v>
      </c>
      <c r="B19" s="33" t="s">
        <v>1123</v>
      </c>
      <c r="C19" s="33" t="str">
        <f>_xlfn.XLOOKUP(Table26[[#This Row],[XPATHS]],Table610119[&lt;&lt;NOLA_Exchange&gt;&gt;
Booking],Table610119[python script],"")</f>
        <v/>
      </c>
      <c r="D19" s="33" t="str">
        <f>_xlfn.XLOOKUP(Table26[[#This Row],[XPATHS]],Table610119[&lt;&lt;NOLA_Exchange&gt;&gt;
Booking],Table610119['#],"")</f>
        <v/>
      </c>
    </row>
    <row r="20" spans="1:4" x14ac:dyDescent="0.3">
      <c r="A20" s="33" t="str">
        <f t="shared" si="0"/>
        <v>19book_xpath</v>
      </c>
      <c r="B20" s="33" t="s">
        <v>3106</v>
      </c>
      <c r="C20" s="33" t="str">
        <f>_xlfn.XLOOKUP(Table26[[#This Row],[XPATHS]],Table610119[&lt;&lt;NOLA_Exchange&gt;&gt;
Booking],Table610119[python script],"")</f>
        <v/>
      </c>
      <c r="D20" s="33" t="str">
        <f>_xlfn.XLOOKUP(Table26[[#This Row],[XPATHS]],Table610119[&lt;&lt;NOLA_Exchange&gt;&gt;
Booking],Table610119['#],"")</f>
        <v/>
      </c>
    </row>
    <row r="21" spans="1:4" x14ac:dyDescent="0.3">
      <c r="A21" s="33" t="str">
        <f t="shared" si="0"/>
        <v>20book_xpath</v>
      </c>
      <c r="B21" s="33" t="s">
        <v>1139</v>
      </c>
      <c r="C21" s="33" t="str">
        <f>_xlfn.XLOOKUP(Table26[[#This Row],[XPATHS]],Table610119[&lt;&lt;NOLA_Exchange&gt;&gt;
Booking],Table610119[python script],"")</f>
        <v/>
      </c>
      <c r="D21" s="33" t="str">
        <f>_xlfn.XLOOKUP(Table26[[#This Row],[XPATHS]],Table610119[&lt;&lt;NOLA_Exchange&gt;&gt;
Booking],Table610119['#],"")</f>
        <v/>
      </c>
    </row>
    <row r="22" spans="1:4" x14ac:dyDescent="0.3">
      <c r="A22" s="33" t="str">
        <f t="shared" si="0"/>
        <v>21book_xpath</v>
      </c>
      <c r="B22" s="33" t="s">
        <v>3107</v>
      </c>
      <c r="C22" s="33" t="str">
        <f>_xlfn.XLOOKUP(Table26[[#This Row],[XPATHS]],Table610119[&lt;&lt;NOLA_Exchange&gt;&gt;
Booking],Table610119[python script],"")</f>
        <v/>
      </c>
      <c r="D22" s="33" t="str">
        <f>_xlfn.XLOOKUP(Table26[[#This Row],[XPATHS]],Table610119[&lt;&lt;NOLA_Exchange&gt;&gt;
Booking],Table610119['#],"")</f>
        <v/>
      </c>
    </row>
    <row r="23" spans="1:4" x14ac:dyDescent="0.3">
      <c r="A23" s="33" t="str">
        <f t="shared" si="0"/>
        <v>22book_xpath</v>
      </c>
      <c r="B23" s="33" t="s">
        <v>3108</v>
      </c>
      <c r="C23" s="33" t="str">
        <f>_xlfn.XLOOKUP(Table26[[#This Row],[XPATHS]],Table610119[&lt;&lt;NOLA_Exchange&gt;&gt;
Booking],Table610119[python script],"")</f>
        <v/>
      </c>
      <c r="D23" s="33" t="str">
        <f>_xlfn.XLOOKUP(Table26[[#This Row],[XPATHS]],Table610119[&lt;&lt;NOLA_Exchange&gt;&gt;
Booking],Table610119['#],"")</f>
        <v/>
      </c>
    </row>
    <row r="24" spans="1:4" x14ac:dyDescent="0.3">
      <c r="A24" s="33" t="str">
        <f t="shared" si="0"/>
        <v>23book_xpath</v>
      </c>
      <c r="B24" s="33" t="s">
        <v>3109</v>
      </c>
      <c r="C24" s="33" t="str">
        <f>_xlfn.XLOOKUP(Table26[[#This Row],[XPATHS]],Table610119[&lt;&lt;NOLA_Exchange&gt;&gt;
Booking],Table610119[python script],"")</f>
        <v/>
      </c>
      <c r="D24" s="33" t="str">
        <f>_xlfn.XLOOKUP(Table26[[#This Row],[XPATHS]],Table610119[&lt;&lt;NOLA_Exchange&gt;&gt;
Booking],Table610119['#],"")</f>
        <v/>
      </c>
    </row>
    <row r="25" spans="1:4" x14ac:dyDescent="0.3">
      <c r="A25" s="33" t="str">
        <f t="shared" si="0"/>
        <v>24book_xpath</v>
      </c>
      <c r="B25" s="33" t="s">
        <v>880</v>
      </c>
      <c r="C25" s="33" t="str">
        <f>_xlfn.XLOOKUP(Table26[[#This Row],[XPATHS]],Table610119[&lt;&lt;NOLA_Exchange&gt;&gt;
Booking],Table610119[python script],"")</f>
        <v>"IDDOBD": "/j:Booking/j:BookingSubject/RoleOfPerson/PersonBirthDate/Date",</v>
      </c>
      <c r="D25" s="33" t="str">
        <f>_xlfn.XLOOKUP(Table26[[#This Row],[XPATHS]],Table610119[&lt;&lt;NOLA_Exchange&gt;&gt;
Booking],Table610119['#],"")</f>
        <v>74expanded_IMARRD_sorted</v>
      </c>
    </row>
    <row r="26" spans="1:4" x14ac:dyDescent="0.3">
      <c r="A26" s="33" t="str">
        <f t="shared" si="0"/>
        <v>25book_xpath</v>
      </c>
      <c r="B26" s="33" t="s">
        <v>3110</v>
      </c>
      <c r="C26" s="33" t="str">
        <f>_xlfn.XLOOKUP(Table26[[#This Row],[XPATHS]],Table610119[&lt;&lt;NOLA_Exchange&gt;&gt;
Booking],Table610119[python script],"")</f>
        <v/>
      </c>
      <c r="D26" s="33" t="str">
        <f>_xlfn.XLOOKUP(Table26[[#This Row],[XPATHS]],Table610119[&lt;&lt;NOLA_Exchange&gt;&gt;
Booking],Table610119['#],"")</f>
        <v/>
      </c>
    </row>
    <row r="27" spans="1:4" x14ac:dyDescent="0.3">
      <c r="A27" s="33" t="str">
        <f t="shared" si="0"/>
        <v>26book_xpath</v>
      </c>
      <c r="B27" s="33" t="s">
        <v>3111</v>
      </c>
      <c r="C27" s="33" t="str">
        <f>_xlfn.XLOOKUP(Table26[[#This Row],[XPATHS]],Table610119[&lt;&lt;NOLA_Exchange&gt;&gt;
Booking],Table610119[python script],"")</f>
        <v/>
      </c>
      <c r="D27" s="33" t="str">
        <f>_xlfn.XLOOKUP(Table26[[#This Row],[XPATHS]],Table610119[&lt;&lt;NOLA_Exchange&gt;&gt;
Booking],Table610119['#],"")</f>
        <v/>
      </c>
    </row>
    <row r="28" spans="1:4" x14ac:dyDescent="0.3">
      <c r="A28" s="33" t="str">
        <f t="shared" si="0"/>
        <v>27book_xpath</v>
      </c>
      <c r="B28" s="33" t="s">
        <v>3112</v>
      </c>
      <c r="C28" s="33" t="str">
        <f>_xlfn.XLOOKUP(Table26[[#This Row],[XPATHS]],Table610119[&lt;&lt;NOLA_Exchange&gt;&gt;
Booking],Table610119[python script],"")</f>
        <v/>
      </c>
      <c r="D28" s="33" t="str">
        <f>_xlfn.XLOOKUP(Table26[[#This Row],[XPATHS]],Table610119[&lt;&lt;NOLA_Exchange&gt;&gt;
Booking],Table610119['#],"")</f>
        <v/>
      </c>
    </row>
    <row r="29" spans="1:4" x14ac:dyDescent="0.3">
      <c r="A29" s="33" t="str">
        <f t="shared" si="0"/>
        <v>28book_xpath</v>
      </c>
      <c r="B29" s="33" t="s">
        <v>108</v>
      </c>
      <c r="C29" s="33" t="str">
        <f>_xlfn.XLOOKUP(Table26[[#This Row],[XPATHS]],Table610119[&lt;&lt;NOLA_Exchange&gt;&gt;
Booking],Table610119[python script],"")</f>
        <v>"IDSTCDB": "/j:Booking/j:BookingSubject/RoleOfPerson/PersonBirthLocation/Address/AddressState/StateName",</v>
      </c>
      <c r="D29" s="33" t="str">
        <f>_xlfn.XLOOKUP(Table26[[#This Row],[XPATHS]],Table610119[&lt;&lt;NOLA_Exchange&gt;&gt;
Booking],Table610119['#],"")</f>
        <v>79expanded_IMARRD_sorted</v>
      </c>
    </row>
    <row r="30" spans="1:4" x14ac:dyDescent="0.3">
      <c r="A30" s="33" t="str">
        <f t="shared" si="0"/>
        <v>29book_xpath</v>
      </c>
      <c r="B30" s="33" t="s">
        <v>3113</v>
      </c>
      <c r="C30" s="33" t="str">
        <f>_xlfn.XLOOKUP(Table26[[#This Row],[XPATHS]],Table610119[&lt;&lt;NOLA_Exchange&gt;&gt;
Booking],Table610119[python script],"")</f>
        <v/>
      </c>
      <c r="D30" s="33" t="str">
        <f>_xlfn.XLOOKUP(Table26[[#This Row],[XPATHS]],Table610119[&lt;&lt;NOLA_Exchange&gt;&gt;
Booking],Table610119['#],"")</f>
        <v/>
      </c>
    </row>
    <row r="31" spans="1:4" x14ac:dyDescent="0.3">
      <c r="A31" s="33" t="str">
        <f t="shared" si="0"/>
        <v>30book_xpath</v>
      </c>
      <c r="B31" s="33" t="s">
        <v>3114</v>
      </c>
      <c r="C31" s="33" t="str">
        <f>_xlfn.XLOOKUP(Table26[[#This Row],[XPATHS]],Table610119[&lt;&lt;NOLA_Exchange&gt;&gt;
Booking],Table610119[python script],"")</f>
        <v/>
      </c>
      <c r="D31" s="33" t="str">
        <f>_xlfn.XLOOKUP(Table26[[#This Row],[XPATHS]],Table610119[&lt;&lt;NOLA_Exchange&gt;&gt;
Booking],Table610119['#],"")</f>
        <v/>
      </c>
    </row>
    <row r="32" spans="1:4" x14ac:dyDescent="0.3">
      <c r="A32" s="33" t="str">
        <f t="shared" si="0"/>
        <v>31book_xpath</v>
      </c>
      <c r="B32" s="33" t="s">
        <v>3115</v>
      </c>
      <c r="C32" s="33" t="str">
        <f>_xlfn.XLOOKUP(Table26[[#This Row],[XPATHS]],Table610119[&lt;&lt;NOLA_Exchange&gt;&gt;
Booking],Table610119[python script],"")</f>
        <v/>
      </c>
      <c r="D32" s="33" t="str">
        <f>_xlfn.XLOOKUP(Table26[[#This Row],[XPATHS]],Table610119[&lt;&lt;NOLA_Exchange&gt;&gt;
Booking],Table610119['#],"")</f>
        <v/>
      </c>
    </row>
    <row r="33" spans="1:4" x14ac:dyDescent="0.3">
      <c r="A33" s="33" t="str">
        <f t="shared" si="0"/>
        <v>32book_xpath</v>
      </c>
      <c r="B33" s="33" t="s">
        <v>3116</v>
      </c>
      <c r="C33" s="33" t="str">
        <f>_xlfn.XLOOKUP(Table26[[#This Row],[XPATHS]],Table610119[&lt;&lt;NOLA_Exchange&gt;&gt;
Booking],Table610119[python script],"")</f>
        <v/>
      </c>
      <c r="D33" s="33" t="str">
        <f>_xlfn.XLOOKUP(Table26[[#This Row],[XPATHS]],Table610119[&lt;&lt;NOLA_Exchange&gt;&gt;
Booking],Table610119['#],"")</f>
        <v/>
      </c>
    </row>
    <row r="34" spans="1:4" x14ac:dyDescent="0.3">
      <c r="A34" s="33" t="str">
        <f t="shared" si="0"/>
        <v>33book_xpath</v>
      </c>
      <c r="B34" s="33" t="s">
        <v>3117</v>
      </c>
      <c r="C34" s="33" t="str">
        <f>_xlfn.XLOOKUP(Table26[[#This Row],[XPATHS]],Table610119[&lt;&lt;NOLA_Exchange&gt;&gt;
Booking],Table610119[python script],"")</f>
        <v/>
      </c>
      <c r="D34" s="33" t="str">
        <f>_xlfn.XLOOKUP(Table26[[#This Row],[XPATHS]],Table610119[&lt;&lt;NOLA_Exchange&gt;&gt;
Booking],Table610119['#],"")</f>
        <v/>
      </c>
    </row>
    <row r="35" spans="1:4" x14ac:dyDescent="0.3">
      <c r="A35" s="33" t="str">
        <f t="shared" si="0"/>
        <v>34book_xpath</v>
      </c>
      <c r="B35" s="33" t="s">
        <v>3118</v>
      </c>
      <c r="C35" s="33" t="str">
        <f>_xlfn.XLOOKUP(Table26[[#This Row],[XPATHS]],Table610119[&lt;&lt;NOLA_Exchange&gt;&gt;
Booking],Table610119[python script],"")</f>
        <v/>
      </c>
      <c r="D35" s="33" t="str">
        <f>_xlfn.XLOOKUP(Table26[[#This Row],[XPATHS]],Table610119[&lt;&lt;NOLA_Exchange&gt;&gt;
Booking],Table610119['#],"")</f>
        <v/>
      </c>
    </row>
    <row r="36" spans="1:4" x14ac:dyDescent="0.3">
      <c r="A36" s="33" t="str">
        <f t="shared" si="0"/>
        <v>35book_xpath</v>
      </c>
      <c r="B36" s="33" t="s">
        <v>3119</v>
      </c>
      <c r="C36" s="33" t="str">
        <f>_xlfn.XLOOKUP(Table26[[#This Row],[XPATHS]],Table610119[&lt;&lt;NOLA_Exchange&gt;&gt;
Booking],Table610119[python script],"")</f>
        <v/>
      </c>
      <c r="D36" s="33" t="str">
        <f>_xlfn.XLOOKUP(Table26[[#This Row],[XPATHS]],Table610119[&lt;&lt;NOLA_Exchange&gt;&gt;
Booking],Table610119['#],"")</f>
        <v/>
      </c>
    </row>
    <row r="37" spans="1:4" x14ac:dyDescent="0.3">
      <c r="A37" s="33" t="str">
        <f t="shared" si="0"/>
        <v>36book_xpath</v>
      </c>
      <c r="B37" s="33" t="s">
        <v>2257</v>
      </c>
      <c r="C37" s="33" t="str">
        <f>_xlfn.XLOOKUP(Table26[[#This Row],[XPATHS]],Table610119[&lt;&lt;NOLA_Exchange&gt;&gt;
Booking],Table610119[python script],"")</f>
        <v/>
      </c>
      <c r="D37" s="33" t="str">
        <f>_xlfn.XLOOKUP(Table26[[#This Row],[XPATHS]],Table610119[&lt;&lt;NOLA_Exchange&gt;&gt;
Booking],Table610119['#],"")</f>
        <v/>
      </c>
    </row>
    <row r="38" spans="1:4" x14ac:dyDescent="0.3">
      <c r="A38" s="33" t="str">
        <f t="shared" si="0"/>
        <v>37book_xpath</v>
      </c>
      <c r="B38" s="33" t="s">
        <v>3120</v>
      </c>
      <c r="C38" s="33" t="str">
        <f>_xlfn.XLOOKUP(Table26[[#This Row],[XPATHS]],Table610119[&lt;&lt;NOLA_Exchange&gt;&gt;
Booking],Table610119[python script],"")</f>
        <v/>
      </c>
      <c r="D38" s="33" t="str">
        <f>_xlfn.XLOOKUP(Table26[[#This Row],[XPATHS]],Table610119[&lt;&lt;NOLA_Exchange&gt;&gt;
Booking],Table610119['#],"")</f>
        <v/>
      </c>
    </row>
    <row r="39" spans="1:4" x14ac:dyDescent="0.3">
      <c r="A39" s="33" t="str">
        <f t="shared" si="0"/>
        <v>38book_xpath</v>
      </c>
      <c r="B39" s="33" t="s">
        <v>728</v>
      </c>
      <c r="C39" s="33" t="str">
        <f>_xlfn.XLOOKUP(Table26[[#This Row],[XPATHS]],Table610119[&lt;&lt;NOLA_Exchange&gt;&gt;
Booking],Table610119[python script],"")</f>
        <v>"IDEYES": "/j:Booking/j:BookingSubject/RoleOfPerson/j:PersonEyeColorCode",</v>
      </c>
      <c r="D39" s="33" t="str">
        <f>_xlfn.XLOOKUP(Table26[[#This Row],[XPATHS]],Table610119[&lt;&lt;NOLA_Exchange&gt;&gt;
Booking],Table610119['#],"")</f>
        <v>67expanded_IMARRD_sorted</v>
      </c>
    </row>
    <row r="40" spans="1:4" x14ac:dyDescent="0.3">
      <c r="A40" s="33" t="str">
        <f t="shared" si="0"/>
        <v>39book_xpath</v>
      </c>
      <c r="B40" s="33" t="s">
        <v>753</v>
      </c>
      <c r="C40" s="33" t="str">
        <f>_xlfn.XLOOKUP(Table26[[#This Row],[XPATHS]],Table610119[&lt;&lt;NOLA_Exchange&gt;&gt;
Booking],Table610119[python script],"")</f>
        <v>"IDHAIR": "/j:Booking/j:BookingSubject/RoleOfPerson/PersonHairColorText",</v>
      </c>
      <c r="D40" s="33" t="str">
        <f>_xlfn.XLOOKUP(Table26[[#This Row],[XPATHS]],Table610119[&lt;&lt;NOLA_Exchange&gt;&gt;
Booking],Table610119['#],"")</f>
        <v>69expanded_IMARRD_sorted</v>
      </c>
    </row>
    <row r="41" spans="1:4" x14ac:dyDescent="0.3">
      <c r="A41" s="33" t="str">
        <f t="shared" si="0"/>
        <v>40book_xpath</v>
      </c>
      <c r="B41" s="33" t="s">
        <v>3121</v>
      </c>
      <c r="C41" s="33" t="str">
        <f>_xlfn.XLOOKUP(Table26[[#This Row],[XPATHS]],Table610119[&lt;&lt;NOLA_Exchange&gt;&gt;
Booking],Table610119[python script],"")</f>
        <v/>
      </c>
      <c r="D41" s="33" t="str">
        <f>_xlfn.XLOOKUP(Table26[[#This Row],[XPATHS]],Table610119[&lt;&lt;NOLA_Exchange&gt;&gt;
Booking],Table610119['#],"")</f>
        <v/>
      </c>
    </row>
    <row r="42" spans="1:4" x14ac:dyDescent="0.3">
      <c r="A42" s="33" t="str">
        <f t="shared" si="0"/>
        <v>41book_xpath</v>
      </c>
      <c r="B42" s="33" t="s">
        <v>769</v>
      </c>
      <c r="C42" s="33" t="str">
        <f>_xlfn.XLOOKUP(Table26[[#This Row],[XPATHS]],Table610119[&lt;&lt;NOLA_Exchange&gt;&gt;
Booking],Table610119[python script],"")</f>
        <v>"IDHGHT": "/j:Booking/j:BookingSubject/RoleOfPerson/PersonHeightMeasure[1]/MeasureValueText",</v>
      </c>
      <c r="D42" s="33" t="str">
        <f>_xlfn.XLOOKUP(Table26[[#This Row],[XPATHS]],Table610119[&lt;&lt;NOLA_Exchange&gt;&gt;
Booking],Table610119['#],"")</f>
        <v>70expanded_IMARRD_sorted</v>
      </c>
    </row>
    <row r="43" spans="1:4" x14ac:dyDescent="0.3">
      <c r="A43" s="33" t="str">
        <f t="shared" si="0"/>
        <v>42book_xpath</v>
      </c>
      <c r="B43" s="33" t="s">
        <v>3122</v>
      </c>
      <c r="C43" s="33" t="str">
        <f>_xlfn.XLOOKUP(Table26[[#This Row],[XPATHS]],Table610119[&lt;&lt;NOLA_Exchange&gt;&gt;
Booking],Table610119[python script],"")</f>
        <v/>
      </c>
      <c r="D43" s="33" t="str">
        <f>_xlfn.XLOOKUP(Table26[[#This Row],[XPATHS]],Table610119[&lt;&lt;NOLA_Exchange&gt;&gt;
Booking],Table610119['#],"")</f>
        <v/>
      </c>
    </row>
    <row r="44" spans="1:4" x14ac:dyDescent="0.3">
      <c r="A44" s="33" t="str">
        <f t="shared" si="0"/>
        <v>43book_xpath</v>
      </c>
      <c r="B44" s="33" t="s">
        <v>3123</v>
      </c>
      <c r="C44" s="33" t="str">
        <f>_xlfn.XLOOKUP(Table26[[#This Row],[XPATHS]],Table610119[&lt;&lt;NOLA_Exchange&gt;&gt;
Booking],Table610119[python script],"")</f>
        <v/>
      </c>
      <c r="D44" s="33" t="str">
        <f>_xlfn.XLOOKUP(Table26[[#This Row],[XPATHS]],Table610119[&lt;&lt;NOLA_Exchange&gt;&gt;
Booking],Table610119['#],"")</f>
        <v/>
      </c>
    </row>
    <row r="45" spans="1:4" x14ac:dyDescent="0.3">
      <c r="A45" s="33" t="str">
        <f t="shared" si="0"/>
        <v>44book_xpath</v>
      </c>
      <c r="B45" s="33" t="s">
        <v>772</v>
      </c>
      <c r="C45" s="33" t="str">
        <f>_xlfn.XLOOKUP(Table26[[#This Row],[XPATHS]],Table610119[&lt;&lt;NOLA_Exchange&gt;&gt;
Booking],Table610119[python script],"")</f>
        <v/>
      </c>
      <c r="D45" s="33" t="str">
        <f>_xlfn.XLOOKUP(Table26[[#This Row],[XPATHS]],Table610119[&lt;&lt;NOLA_Exchange&gt;&gt;
Booking],Table610119['#],"")</f>
        <v/>
      </c>
    </row>
    <row r="46" spans="1:4" x14ac:dyDescent="0.3">
      <c r="A46" s="33" t="str">
        <f t="shared" si="0"/>
        <v>45book_xpath</v>
      </c>
      <c r="B46" s="33" t="s">
        <v>3124</v>
      </c>
      <c r="C46" s="33" t="str">
        <f>_xlfn.XLOOKUP(Table26[[#This Row],[XPATHS]],Table610119[&lt;&lt;NOLA_Exchange&gt;&gt;
Booking],Table610119[python script],"")</f>
        <v/>
      </c>
      <c r="D46" s="33" t="str">
        <f>_xlfn.XLOOKUP(Table26[[#This Row],[XPATHS]],Table610119[&lt;&lt;NOLA_Exchange&gt;&gt;
Booking],Table610119['#],"")</f>
        <v/>
      </c>
    </row>
    <row r="47" spans="1:4" x14ac:dyDescent="0.3">
      <c r="A47" s="33" t="str">
        <f t="shared" si="0"/>
        <v>46book_xpath</v>
      </c>
      <c r="B47" s="33" t="s">
        <v>3125</v>
      </c>
      <c r="C47" s="33" t="str">
        <f>_xlfn.XLOOKUP(Table26[[#This Row],[XPATHS]],Table610119[&lt;&lt;NOLA_Exchange&gt;&gt;
Booking],Table610119[python script],"")</f>
        <v/>
      </c>
      <c r="D47" s="33" t="str">
        <f>_xlfn.XLOOKUP(Table26[[#This Row],[XPATHS]],Table610119[&lt;&lt;NOLA_Exchange&gt;&gt;
Booking],Table610119['#],"")</f>
        <v/>
      </c>
    </row>
    <row r="48" spans="1:4" x14ac:dyDescent="0.3">
      <c r="A48" s="33" t="str">
        <f t="shared" si="0"/>
        <v>47book_xpath</v>
      </c>
      <c r="B48" s="33" t="s">
        <v>2905</v>
      </c>
      <c r="C48" s="33" t="str">
        <f>_xlfn.XLOOKUP(Table26[[#This Row],[XPATHS]],Table610119[&lt;&lt;NOLA_Exchange&gt;&gt;
Booking],Table610119[python script],"")</f>
        <v/>
      </c>
      <c r="D48" s="33" t="str">
        <f>_xlfn.XLOOKUP(Table26[[#This Row],[XPATHS]],Table610119[&lt;&lt;NOLA_Exchange&gt;&gt;
Booking],Table610119['#],"")</f>
        <v/>
      </c>
    </row>
    <row r="49" spans="1:4" x14ac:dyDescent="0.3">
      <c r="A49" s="33" t="str">
        <f t="shared" si="0"/>
        <v>48book_xpath</v>
      </c>
      <c r="B49" s="33" t="s">
        <v>964</v>
      </c>
      <c r="C49" s="33" t="str">
        <f>_xlfn.XLOOKUP(Table26[[#This Row],[XPATHS]],Table610119[&lt;&lt;NOLA_Exchange&gt;&gt;
Booking],Table610119[python script],"")</f>
        <v>"IDFNAM": "/j:Booking/j:BookingSubject/RoleOfPerson/PersonName/PersonGivenName",</v>
      </c>
      <c r="D49" s="33" t="str">
        <f>_xlfn.XLOOKUP(Table26[[#This Row],[XPATHS]],Table610119[&lt;&lt;NOLA_Exchange&gt;&gt;
Booking],Table610119['#],"")</f>
        <v>80expanded_IMARRD_sorted</v>
      </c>
    </row>
    <row r="50" spans="1:4" x14ac:dyDescent="0.3">
      <c r="A50" s="33" t="str">
        <f t="shared" si="0"/>
        <v>49book_xpath</v>
      </c>
      <c r="B50" s="33" t="s">
        <v>1083</v>
      </c>
      <c r="C50" s="33" t="str">
        <f>_xlfn.XLOOKUP(Table26[[#This Row],[XPATHS]],Table610119[&lt;&lt;NOLA_Exchange&gt;&gt;
Booking],Table610119[python script],"")</f>
        <v>"IDMINI": "/j:Booking/j:BookingSubject/RoleOfPerson/PersonName/PersonMiddleName",</v>
      </c>
      <c r="D50" s="33" t="str">
        <f>_xlfn.XLOOKUP(Table26[[#This Row],[XPATHS]],Table610119[&lt;&lt;NOLA_Exchange&gt;&gt;
Booking],Table610119['#],"")</f>
        <v>88expanded_IMARRD_sorted</v>
      </c>
    </row>
    <row r="51" spans="1:4" x14ac:dyDescent="0.3">
      <c r="A51" s="33" t="str">
        <f t="shared" si="0"/>
        <v>50book_xpath</v>
      </c>
      <c r="B51" s="33" t="s">
        <v>1038</v>
      </c>
      <c r="C51" s="33" t="str">
        <f>_xlfn.XLOOKUP(Table26[[#This Row],[XPATHS]],Table610119[&lt;&lt;NOLA_Exchange&gt;&gt;
Booking],Table610119[python script],"")</f>
        <v>"IDLNAM": "/j:Booking/j:BookingSubject/RoleOfPerson/PersonName/PersonSurName",</v>
      </c>
      <c r="D51" s="33" t="str">
        <f>_xlfn.XLOOKUP(Table26[[#This Row],[XPATHS]],Table610119[&lt;&lt;NOLA_Exchange&gt;&gt;
Booking],Table610119['#],"")</f>
        <v>85expanded_IMARRD_sorted</v>
      </c>
    </row>
    <row r="52" spans="1:4" x14ac:dyDescent="0.3">
      <c r="A52" s="33" t="str">
        <f t="shared" si="0"/>
        <v>51book_xpath</v>
      </c>
      <c r="B52" s="33" t="s">
        <v>1098</v>
      </c>
      <c r="C52" s="33" t="str">
        <f>_xlfn.XLOOKUP(Table26[[#This Row],[XPATHS]],Table610119[&lt;&lt;NOLA_Exchange&gt;&gt;
Booking],Table610119[python script],"")</f>
        <v>"IDNAMS": "/j:Booking/j:BookingSubject/RoleOfPerson/PersonName/PersonNameSuffixText",</v>
      </c>
      <c r="D52" s="33" t="str">
        <f>_xlfn.XLOOKUP(Table26[[#This Row],[XPATHS]],Table610119[&lt;&lt;NOLA_Exchange&gt;&gt;
Booking],Table610119['#],"")</f>
        <v>89expanded_IMARRD_sorted</v>
      </c>
    </row>
    <row r="53" spans="1:4" x14ac:dyDescent="0.3">
      <c r="A53" s="33" t="str">
        <f t="shared" si="0"/>
        <v>52book_xpath</v>
      </c>
      <c r="B53" s="33" t="s">
        <v>1024</v>
      </c>
      <c r="C53" s="33" t="str">
        <f>_xlfn.XLOOKUP(Table26[[#This Row],[XPATHS]],Table610119[&lt;&lt;NOLA_Exchange&gt;&gt;
Booking],Table610119[python script],"")</f>
        <v/>
      </c>
      <c r="D53" s="33" t="str">
        <f>_xlfn.XLOOKUP(Table26[[#This Row],[XPATHS]],Table610119[&lt;&lt;NOLA_Exchange&gt;&gt;
Booking],Table610119['#],"")</f>
        <v/>
      </c>
    </row>
    <row r="54" spans="1:4" x14ac:dyDescent="0.3">
      <c r="A54" s="33" t="str">
        <f t="shared" si="0"/>
        <v>53book_xpath</v>
      </c>
      <c r="B54" s="33" t="s">
        <v>3126</v>
      </c>
      <c r="C54" s="33" t="str">
        <f>_xlfn.XLOOKUP(Table26[[#This Row],[XPATHS]],Table610119[&lt;&lt;NOLA_Exchange&gt;&gt;
Booking],Table610119[python script],"")</f>
        <v/>
      </c>
      <c r="D54" s="33" t="str">
        <f>_xlfn.XLOOKUP(Table26[[#This Row],[XPATHS]],Table610119[&lt;&lt;NOLA_Exchange&gt;&gt;
Booking],Table610119['#],"")</f>
        <v/>
      </c>
    </row>
    <row r="55" spans="1:4" x14ac:dyDescent="0.3">
      <c r="A55" s="33" t="str">
        <f t="shared" si="0"/>
        <v>54book_xpath</v>
      </c>
      <c r="B55" s="33" t="s">
        <v>2734</v>
      </c>
      <c r="C55" s="33" t="str">
        <f>_xlfn.XLOOKUP(Table26[[#This Row],[XPATHS]],Table610119[&lt;&lt;NOLA_Exchange&gt;&gt;
Booking],Table610119[python script],"")</f>
        <v>"IDALFN": "/j:Booking/j:BookingSubject/RoleOfPerson/PersonName/nola-ext:PersonNameAugmentation/em:PersonAlternateName[1]",</v>
      </c>
      <c r="D55" s="33" t="str">
        <f>_xlfn.XLOOKUP(Table26[[#This Row],[XPATHS]],Table610119[&lt;&lt;NOLA_Exchange&gt;&gt;
Booking],Table610119['#],"")</f>
        <v>90expanded_IMARRD_sorted</v>
      </c>
    </row>
    <row r="56" spans="1:4" x14ac:dyDescent="0.3">
      <c r="A56" s="33" t="str">
        <f t="shared" si="0"/>
        <v>55book_xpath</v>
      </c>
      <c r="B56" s="33" t="s">
        <v>2739</v>
      </c>
      <c r="C56" s="33" t="str">
        <f>_xlfn.XLOOKUP(Table26[[#This Row],[XPATHS]],Table610119[&lt;&lt;NOLA_Exchange&gt;&gt;
Booking],Table610119[python script],"")</f>
        <v>"IDALLN": "/j:Booking/j:BookingSubject/RoleOfPerson/PersonName/nola-ext:PersonNameAugmentation/em:PersonAlternateName[2]",</v>
      </c>
      <c r="D56" s="33" t="str">
        <f>_xlfn.XLOOKUP(Table26[[#This Row],[XPATHS]],Table610119[&lt;&lt;NOLA_Exchange&gt;&gt;
Booking],Table610119['#],"")</f>
        <v>91expanded_IMARRD_sorted</v>
      </c>
    </row>
    <row r="57" spans="1:4" x14ac:dyDescent="0.3">
      <c r="A57" s="33" t="str">
        <f t="shared" si="0"/>
        <v>56book_xpath</v>
      </c>
      <c r="B57" s="33" t="s">
        <v>3127</v>
      </c>
      <c r="C57" s="33" t="str">
        <f>_xlfn.XLOOKUP(Table26[[#This Row],[XPATHS]],Table610119[&lt;&lt;NOLA_Exchange&gt;&gt;
Booking],Table610119[python script],"")</f>
        <v/>
      </c>
      <c r="D57" s="33" t="str">
        <f>_xlfn.XLOOKUP(Table26[[#This Row],[XPATHS]],Table610119[&lt;&lt;NOLA_Exchange&gt;&gt;
Booking],Table610119['#],"")</f>
        <v/>
      </c>
    </row>
    <row r="58" spans="1:4" x14ac:dyDescent="0.3">
      <c r="A58" s="33" t="str">
        <f t="shared" si="0"/>
        <v>57book_xpath</v>
      </c>
      <c r="B58" s="33" t="s">
        <v>2908</v>
      </c>
      <c r="C58" s="33" t="str">
        <f>_xlfn.XLOOKUP(Table26[[#This Row],[XPATHS]],Table610119[&lt;&lt;NOLA_Exchange&gt;&gt;
Booking],Table610119[python script],"")</f>
        <v/>
      </c>
      <c r="D58" s="33" t="str">
        <f>_xlfn.XLOOKUP(Table26[[#This Row],[XPATHS]],Table610119[&lt;&lt;NOLA_Exchange&gt;&gt;
Booking],Table610119['#],"")</f>
        <v/>
      </c>
    </row>
    <row r="59" spans="1:4" x14ac:dyDescent="0.3">
      <c r="A59" s="33" t="str">
        <f t="shared" si="0"/>
        <v>58book_xpath</v>
      </c>
      <c r="B59" s="33" t="s">
        <v>967</v>
      </c>
      <c r="C59" s="33" t="str">
        <f>_xlfn.XLOOKUP(Table26[[#This Row],[XPATHS]],Table610119[&lt;&lt;NOLA_Exchange&gt;&gt;
Booking],Table610119[python script],"")</f>
        <v/>
      </c>
      <c r="D59" s="33" t="str">
        <f>_xlfn.XLOOKUP(Table26[[#This Row],[XPATHS]],Table610119[&lt;&lt;NOLA_Exchange&gt;&gt;
Booking],Table610119['#],"")</f>
        <v/>
      </c>
    </row>
    <row r="60" spans="1:4" x14ac:dyDescent="0.3">
      <c r="A60" s="33" t="str">
        <f t="shared" si="0"/>
        <v>59book_xpath</v>
      </c>
      <c r="B60" s="33" t="s">
        <v>1086</v>
      </c>
      <c r="C60" s="33" t="str">
        <f>_xlfn.XLOOKUP(Table26[[#This Row],[XPATHS]],Table610119[&lt;&lt;NOLA_Exchange&gt;&gt;
Booking],Table610119[python script],"")</f>
        <v/>
      </c>
      <c r="D60" s="33" t="str">
        <f>_xlfn.XLOOKUP(Table26[[#This Row],[XPATHS]],Table610119[&lt;&lt;NOLA_Exchange&gt;&gt;
Booking],Table610119['#],"")</f>
        <v/>
      </c>
    </row>
    <row r="61" spans="1:4" x14ac:dyDescent="0.3">
      <c r="A61" s="33" t="str">
        <f t="shared" si="0"/>
        <v>60book_xpath</v>
      </c>
      <c r="B61" s="33" t="s">
        <v>1041</v>
      </c>
      <c r="C61" s="33" t="str">
        <f>_xlfn.XLOOKUP(Table26[[#This Row],[XPATHS]],Table610119[&lt;&lt;NOLA_Exchange&gt;&gt;
Booking],Table610119[python script],"")</f>
        <v/>
      </c>
      <c r="D61" s="33" t="str">
        <f>_xlfn.XLOOKUP(Table26[[#This Row],[XPATHS]],Table610119[&lt;&lt;NOLA_Exchange&gt;&gt;
Booking],Table610119['#],"")</f>
        <v/>
      </c>
    </row>
    <row r="62" spans="1:4" x14ac:dyDescent="0.3">
      <c r="A62" s="33" t="str">
        <f t="shared" si="0"/>
        <v>61book_xpath</v>
      </c>
      <c r="B62" s="33" t="s">
        <v>1101</v>
      </c>
      <c r="C62" s="33" t="str">
        <f>_xlfn.XLOOKUP(Table26[[#This Row],[XPATHS]],Table610119[&lt;&lt;NOLA_Exchange&gt;&gt;
Booking],Table610119[python script],"")</f>
        <v/>
      </c>
      <c r="D62" s="33" t="str">
        <f>_xlfn.XLOOKUP(Table26[[#This Row],[XPATHS]],Table610119[&lt;&lt;NOLA_Exchange&gt;&gt;
Booking],Table610119['#],"")</f>
        <v/>
      </c>
    </row>
    <row r="63" spans="1:4" x14ac:dyDescent="0.3">
      <c r="A63" s="33" t="str">
        <f t="shared" si="0"/>
        <v>62book_xpath</v>
      </c>
      <c r="B63" s="33" t="s">
        <v>1015</v>
      </c>
      <c r="C63" s="33" t="str">
        <f>_xlfn.XLOOKUP(Table26[[#This Row],[XPATHS]],Table610119[&lt;&lt;NOLA_Exchange&gt;&gt;
Booking],Table610119[python script],"")</f>
        <v/>
      </c>
      <c r="D63" s="33" t="str">
        <f>_xlfn.XLOOKUP(Table26[[#This Row],[XPATHS]],Table610119[&lt;&lt;NOLA_Exchange&gt;&gt;
Booking],Table610119['#],"")</f>
        <v/>
      </c>
    </row>
    <row r="64" spans="1:4" x14ac:dyDescent="0.3">
      <c r="A64" s="33" t="str">
        <f t="shared" si="0"/>
        <v>63book_xpath</v>
      </c>
      <c r="B64" s="33" t="s">
        <v>3128</v>
      </c>
      <c r="C64" s="33" t="str">
        <f>_xlfn.XLOOKUP(Table26[[#This Row],[XPATHS]],Table610119[&lt;&lt;NOLA_Exchange&gt;&gt;
Booking],Table610119[python script],"")</f>
        <v/>
      </c>
      <c r="D64" s="33" t="str">
        <f>_xlfn.XLOOKUP(Table26[[#This Row],[XPATHS]],Table610119[&lt;&lt;NOLA_Exchange&gt;&gt;
Booking],Table610119['#],"")</f>
        <v/>
      </c>
    </row>
    <row r="65" spans="1:4" x14ac:dyDescent="0.3">
      <c r="A65" s="33" t="str">
        <f t="shared" si="0"/>
        <v>64book_xpath</v>
      </c>
      <c r="B65" s="33" t="s">
        <v>2889</v>
      </c>
      <c r="C65" s="33" t="str">
        <f>_xlfn.XLOOKUP(Table26[[#This Row],[XPATHS]],Table610119[&lt;&lt;NOLA_Exchange&gt;&gt;
Booking],Table610119[python script],"")</f>
        <v/>
      </c>
      <c r="D65" s="33" t="str">
        <f>_xlfn.XLOOKUP(Table26[[#This Row],[XPATHS]],Table610119[&lt;&lt;NOLA_Exchange&gt;&gt;
Booking],Table610119['#],"")</f>
        <v/>
      </c>
    </row>
    <row r="66" spans="1:4" x14ac:dyDescent="0.3">
      <c r="A66" s="33" t="str">
        <f t="shared" ref="A66:A129" si="1">ROW(A65)&amp;"book_xpath"</f>
        <v>65book_xpath</v>
      </c>
      <c r="B66" s="33" t="s">
        <v>3129</v>
      </c>
      <c r="C66" s="33" t="str">
        <f>_xlfn.XLOOKUP(Table26[[#This Row],[XPATHS]],Table610119[&lt;&lt;NOLA_Exchange&gt;&gt;
Booking],Table610119[python script],"")</f>
        <v/>
      </c>
      <c r="D66" s="33" t="str">
        <f>_xlfn.XLOOKUP(Table26[[#This Row],[XPATHS]],Table610119[&lt;&lt;NOLA_Exchange&gt;&gt;
Booking],Table610119['#],"")</f>
        <v/>
      </c>
    </row>
    <row r="67" spans="1:4" x14ac:dyDescent="0.3">
      <c r="A67" s="33" t="str">
        <f t="shared" si="1"/>
        <v>66book_xpath</v>
      </c>
      <c r="B67" s="33" t="s">
        <v>2540</v>
      </c>
      <c r="C67" s="33" t="str">
        <f>_xlfn.XLOOKUP(Table26[[#This Row],[XPATHS]],Table610119[&lt;&lt;NOLA_Exchange&gt;&gt;
Booking],Table610119[python script],"")</f>
        <v/>
      </c>
      <c r="D67" s="33" t="str">
        <f>_xlfn.XLOOKUP(Table26[[#This Row],[XPATHS]],Table610119[&lt;&lt;NOLA_Exchange&gt;&gt;
Booking],Table610119['#],"")</f>
        <v/>
      </c>
    </row>
    <row r="68" spans="1:4" x14ac:dyDescent="0.3">
      <c r="A68" s="33" t="str">
        <f t="shared" si="1"/>
        <v>67book_xpath</v>
      </c>
      <c r="B68" s="33" t="s">
        <v>2543</v>
      </c>
      <c r="C68" s="33" t="str">
        <f>_xlfn.XLOOKUP(Table26[[#This Row],[XPATHS]],Table610119[&lt;&lt;NOLA_Exchange&gt;&gt;
Booking],Table610119[python script],"")</f>
        <v/>
      </c>
      <c r="D68" s="33" t="str">
        <f>_xlfn.XLOOKUP(Table26[[#This Row],[XPATHS]],Table610119[&lt;&lt;NOLA_Exchange&gt;&gt;
Booking],Table610119['#],"")</f>
        <v/>
      </c>
    </row>
    <row r="69" spans="1:4" x14ac:dyDescent="0.3">
      <c r="A69" s="33" t="str">
        <f t="shared" si="1"/>
        <v>68book_xpath</v>
      </c>
      <c r="B69" s="33" t="s">
        <v>806</v>
      </c>
      <c r="C69" s="33" t="str">
        <f>_xlfn.XLOOKUP(Table26[[#This Row],[XPATHS]],Table610119[&lt;&lt;NOLA_Exchange&gt;&gt;
Booking],Table610119[python script],"")</f>
        <v>"IDRACE": "/j:Booking/j:BookingSubject/RoleOfPerson/PersonRaceText",</v>
      </c>
      <c r="D69" s="33" t="str">
        <f>_xlfn.XLOOKUP(Table26[[#This Row],[XPATHS]],Table610119[&lt;&lt;NOLA_Exchange&gt;&gt;
Booking],Table610119['#],"")</f>
        <v>72expanded_IMARRD_sorted</v>
      </c>
    </row>
    <row r="70" spans="1:4" x14ac:dyDescent="0.3">
      <c r="A70" s="33" t="str">
        <f t="shared" si="1"/>
        <v>69book_xpath</v>
      </c>
      <c r="B70" s="33" t="s">
        <v>828</v>
      </c>
      <c r="C70" s="33" t="str">
        <f>_xlfn.XLOOKUP(Table26[[#This Row],[XPATHS]],Table610119[&lt;&lt;NOLA_Exchange&gt;&gt;
Booking],Table610119[python script],"")</f>
        <v/>
      </c>
      <c r="D70" s="33" t="str">
        <f>_xlfn.XLOOKUP(Table26[[#This Row],[XPATHS]],Table610119[&lt;&lt;NOLA_Exchange&gt;&gt;
Booking],Table610119['#],"")</f>
        <v/>
      </c>
    </row>
    <row r="71" spans="1:4" x14ac:dyDescent="0.3">
      <c r="A71" s="33" t="str">
        <f t="shared" si="1"/>
        <v>70book_xpath</v>
      </c>
      <c r="B71" s="33" t="s">
        <v>783</v>
      </c>
      <c r="C71" s="33" t="str">
        <f>_xlfn.XLOOKUP(Table26[[#This Row],[XPATHS]],Table610119[&lt;&lt;NOLA_Exchange&gt;&gt;
Booking],Table610119[python script],"")</f>
        <v/>
      </c>
      <c r="D71" s="33" t="str">
        <f>_xlfn.XLOOKUP(Table26[[#This Row],[XPATHS]],Table610119[&lt;&lt;NOLA_Exchange&gt;&gt;
Booking],Table610119['#],"")</f>
        <v/>
      </c>
    </row>
    <row r="72" spans="1:4" x14ac:dyDescent="0.3">
      <c r="A72" s="33" t="str">
        <f t="shared" si="1"/>
        <v>71book_xpath</v>
      </c>
      <c r="B72" s="33" t="s">
        <v>3130</v>
      </c>
      <c r="C72" s="33" t="str">
        <f>_xlfn.XLOOKUP(Table26[[#This Row],[XPATHS]],Table610119[&lt;&lt;NOLA_Exchange&gt;&gt;
Booking],Table610119[python script],"")</f>
        <v/>
      </c>
      <c r="D72" s="33" t="str">
        <f>_xlfn.XLOOKUP(Table26[[#This Row],[XPATHS]],Table610119[&lt;&lt;NOLA_Exchange&gt;&gt;
Booking],Table610119['#],"")</f>
        <v/>
      </c>
    </row>
    <row r="73" spans="1:4" x14ac:dyDescent="0.3">
      <c r="A73" s="33" t="str">
        <f t="shared" si="1"/>
        <v>72book_xpath</v>
      </c>
      <c r="B73" s="33" t="s">
        <v>937</v>
      </c>
      <c r="C73" s="33" t="str">
        <f>_xlfn.XLOOKUP(Table26[[#This Row],[XPATHS]],Table610119[&lt;&lt;NOLA_Exchange&gt;&gt;
Booking],Table610119[python script],"")</f>
        <v>"IDSSNO": "/j:Booking/j:BookingSubject/RoleOfPerson/PersonSSNIdentification/IdentificationID",</v>
      </c>
      <c r="D73" s="33" t="str">
        <f>_xlfn.XLOOKUP(Table26[[#This Row],[XPATHS]],Table610119[&lt;&lt;NOLA_Exchange&gt;&gt;
Booking],Table610119['#],"")</f>
        <v>78expanded_IMARRD_sorted</v>
      </c>
    </row>
    <row r="74" spans="1:4" x14ac:dyDescent="0.3">
      <c r="A74" s="33" t="str">
        <f t="shared" si="1"/>
        <v>73book_xpath</v>
      </c>
      <c r="B74" s="33" t="s">
        <v>3131</v>
      </c>
      <c r="C74" s="33" t="str">
        <f>_xlfn.XLOOKUP(Table26[[#This Row],[XPATHS]],Table610119[&lt;&lt;NOLA_Exchange&gt;&gt;
Booking],Table610119[python script],"")</f>
        <v/>
      </c>
      <c r="D74" s="33" t="str">
        <f>_xlfn.XLOOKUP(Table26[[#This Row],[XPATHS]],Table610119[&lt;&lt;NOLA_Exchange&gt;&gt;
Booking],Table610119['#],"")</f>
        <v/>
      </c>
    </row>
    <row r="75" spans="1:4" x14ac:dyDescent="0.3">
      <c r="A75" s="33" t="str">
        <f t="shared" si="1"/>
        <v>74book_xpath</v>
      </c>
      <c r="B75" s="33" t="s">
        <v>2717</v>
      </c>
      <c r="C75" s="33" t="str">
        <f>_xlfn.XLOOKUP(Table26[[#This Row],[XPATHS]],Table610119[&lt;&lt;NOLA_Exchange&gt;&gt;
Booking],Table610119[python script],"")</f>
        <v/>
      </c>
      <c r="D75" s="33" t="str">
        <f>_xlfn.XLOOKUP(Table26[[#This Row],[XPATHS]],Table610119[&lt;&lt;NOLA_Exchange&gt;&gt;
Booking],Table610119['#],"")</f>
        <v/>
      </c>
    </row>
    <row r="76" spans="1:4" x14ac:dyDescent="0.3">
      <c r="A76" s="33" t="str">
        <f t="shared" si="1"/>
        <v>75book_xpath</v>
      </c>
      <c r="B76" s="33" t="s">
        <v>3132</v>
      </c>
      <c r="C76" s="33" t="str">
        <f>_xlfn.XLOOKUP(Table26[[#This Row],[XPATHS]],Table610119[&lt;&lt;NOLA_Exchange&gt;&gt;
Booking],Table610119[python script],"")</f>
        <v/>
      </c>
      <c r="D76" s="33" t="str">
        <f>_xlfn.XLOOKUP(Table26[[#This Row],[XPATHS]],Table610119[&lt;&lt;NOLA_Exchange&gt;&gt;
Booking],Table610119['#],"")</f>
        <v/>
      </c>
    </row>
    <row r="77" spans="1:4" x14ac:dyDescent="0.3">
      <c r="A77" s="33" t="str">
        <f t="shared" si="1"/>
        <v>76book_xpath</v>
      </c>
      <c r="B77" s="33" t="s">
        <v>925</v>
      </c>
      <c r="C77" s="33" t="str">
        <f>_xlfn.XLOOKUP(Table26[[#This Row],[XPATHS]],Table610119[&lt;&lt;NOLA_Exchange&gt;&gt;
Booking],Table610119[python script],"")</f>
        <v>"IDSIDN": "/j:Booking/j:BookingSubject/RoleOfPerson/PersonStateIdentification/IdentificationID",</v>
      </c>
      <c r="D77" s="33" t="str">
        <f>_xlfn.XLOOKUP(Table26[[#This Row],[XPATHS]],Table610119[&lt;&lt;NOLA_Exchange&gt;&gt;
Booking],Table610119['#],"")</f>
        <v>77expanded_IMARRD_sorted</v>
      </c>
    </row>
    <row r="78" spans="1:4" x14ac:dyDescent="0.3">
      <c r="A78" s="33" t="str">
        <f t="shared" si="1"/>
        <v>77book_xpath</v>
      </c>
      <c r="B78" s="33" t="s">
        <v>848</v>
      </c>
      <c r="C78" s="33" t="str">
        <f>_xlfn.XLOOKUP(Table26[[#This Row],[XPATHS]],Table610119[&lt;&lt;NOLA_Exchange&gt;&gt;
Booking],Table610119[python script],"")</f>
        <v/>
      </c>
      <c r="D78" s="33" t="str">
        <f>_xlfn.XLOOKUP(Table26[[#This Row],[XPATHS]],Table610119[&lt;&lt;NOLA_Exchange&gt;&gt;
Booking],Table610119['#],"")</f>
        <v/>
      </c>
    </row>
    <row r="79" spans="1:4" x14ac:dyDescent="0.3">
      <c r="A79" s="33" t="str">
        <f t="shared" si="1"/>
        <v>78book_xpath</v>
      </c>
      <c r="B79" s="33" t="s">
        <v>858</v>
      </c>
      <c r="C79" s="33" t="str">
        <f>_xlfn.XLOOKUP(Table26[[#This Row],[XPATHS]],Table610119[&lt;&lt;NOLA_Exchange&gt;&gt;
Booking],Table610119[python script],"")</f>
        <v>"IDWGHT": "/j:Booking/j:BookingSubject/RoleOfPerson/PersonWeightDescriptionText",</v>
      </c>
      <c r="D79" s="33" t="str">
        <f>_xlfn.XLOOKUP(Table26[[#This Row],[XPATHS]],Table610119[&lt;&lt;NOLA_Exchange&gt;&gt;
Booking],Table610119['#],"")</f>
        <v>73expanded_IMARRD_sorted</v>
      </c>
    </row>
    <row r="80" spans="1:4" x14ac:dyDescent="0.3">
      <c r="A80" s="33" t="str">
        <f t="shared" si="1"/>
        <v>79book_xpath</v>
      </c>
      <c r="B80" s="33" t="s">
        <v>3133</v>
      </c>
      <c r="C80" s="33" t="str">
        <f>_xlfn.XLOOKUP(Table26[[#This Row],[XPATHS]],Table610119[&lt;&lt;NOLA_Exchange&gt;&gt;
Booking],Table610119[python script],"")</f>
        <v/>
      </c>
      <c r="D80" s="33" t="str">
        <f>_xlfn.XLOOKUP(Table26[[#This Row],[XPATHS]],Table610119[&lt;&lt;NOLA_Exchange&gt;&gt;
Booking],Table610119['#],"")</f>
        <v/>
      </c>
    </row>
    <row r="81" spans="1:4" x14ac:dyDescent="0.3">
      <c r="A81" s="33" t="str">
        <f t="shared" si="1"/>
        <v>80book_xpath</v>
      </c>
      <c r="B81" s="33" t="s">
        <v>3134</v>
      </c>
      <c r="C81" s="33" t="str">
        <f>_xlfn.XLOOKUP(Table26[[#This Row],[XPATHS]],Table610119[&lt;&lt;NOLA_Exchange&gt;&gt;
Booking],Table610119[python script],"")</f>
        <v/>
      </c>
      <c r="D81" s="33" t="str">
        <f>_xlfn.XLOOKUP(Table26[[#This Row],[XPATHS]],Table610119[&lt;&lt;NOLA_Exchange&gt;&gt;
Booking],Table610119['#],"")</f>
        <v/>
      </c>
    </row>
    <row r="82" spans="1:4" x14ac:dyDescent="0.3">
      <c r="A82" s="33" t="str">
        <f t="shared" si="1"/>
        <v>81book_xpath</v>
      </c>
      <c r="B82" s="33" t="s">
        <v>100</v>
      </c>
      <c r="C82" s="33" t="str">
        <f>_xlfn.XLOOKUP(Table26[[#This Row],[XPATHS]],Table610119[&lt;&lt;NOLA_Exchange&gt;&gt;
Booking],Table610119[python script],"")</f>
        <v>"IDNATN": "/j:Booking/j:BookingSubject/RoleOfPerson/PersonNationality/PersonNationalityCountry/CountryName",</v>
      </c>
      <c r="D82" s="33" t="str">
        <f>_xlfn.XLOOKUP(Table26[[#This Row],[XPATHS]],Table610119[&lt;&lt;NOLA_Exchange&gt;&gt;
Booking],Table610119['#],"")</f>
        <v>71expanded_IMARRD_sorted</v>
      </c>
    </row>
    <row r="83" spans="1:4" x14ac:dyDescent="0.3">
      <c r="A83" s="33" t="str">
        <f t="shared" si="1"/>
        <v>82book_xpath</v>
      </c>
      <c r="B83" s="33" t="s">
        <v>3135</v>
      </c>
      <c r="C83" s="33" t="str">
        <f>_xlfn.XLOOKUP(Table26[[#This Row],[XPATHS]],Table610119[&lt;&lt;NOLA_Exchange&gt;&gt;
Booking],Table610119[python script],"")</f>
        <v/>
      </c>
      <c r="D83" s="33" t="str">
        <f>_xlfn.XLOOKUP(Table26[[#This Row],[XPATHS]],Table610119[&lt;&lt;NOLA_Exchange&gt;&gt;
Booking],Table610119['#],"")</f>
        <v/>
      </c>
    </row>
    <row r="84" spans="1:4" x14ac:dyDescent="0.3">
      <c r="A84" s="33" t="str">
        <f t="shared" si="1"/>
        <v>83book_xpath</v>
      </c>
      <c r="B84" s="33" t="s">
        <v>3136</v>
      </c>
      <c r="C84" s="33" t="str">
        <f>_xlfn.XLOOKUP(Table26[[#This Row],[XPATHS]],Table610119[&lt;&lt;NOLA_Exchange&gt;&gt;
Booking],Table610119[python script],"")</f>
        <v/>
      </c>
      <c r="D84" s="33" t="str">
        <f>_xlfn.XLOOKUP(Table26[[#This Row],[XPATHS]],Table610119[&lt;&lt;NOLA_Exchange&gt;&gt;
Booking],Table610119['#],"")</f>
        <v/>
      </c>
    </row>
    <row r="85" spans="1:4" x14ac:dyDescent="0.3">
      <c r="A85" s="33" t="str">
        <f t="shared" si="1"/>
        <v>84book_xpath</v>
      </c>
      <c r="B85" s="33" t="s">
        <v>3137</v>
      </c>
      <c r="C85" s="33" t="str">
        <f>_xlfn.XLOOKUP(Table26[[#This Row],[XPATHS]],Table610119[&lt;&lt;NOLA_Exchange&gt;&gt;
Booking],Table610119[python script],"")</f>
        <v/>
      </c>
      <c r="D85" s="33" t="str">
        <f>_xlfn.XLOOKUP(Table26[[#This Row],[XPATHS]],Table610119[&lt;&lt;NOLA_Exchange&gt;&gt;
Booking],Table610119['#],"")</f>
        <v/>
      </c>
    </row>
    <row r="86" spans="1:4" x14ac:dyDescent="0.3">
      <c r="A86" s="33" t="str">
        <f t="shared" si="1"/>
        <v>85book_xpath</v>
      </c>
      <c r="B86" s="33" t="s">
        <v>44</v>
      </c>
      <c r="C86" s="33" t="str">
        <f>_xlfn.XLOOKUP(Table26[[#This Row],[XPATHS]],Table610119[&lt;&lt;NOLA_Exchange&gt;&gt;
Booking],Table610119[python script],"")</f>
        <v>"IDADDR": "/j:Booking/j:BookingSubject/RoleOfPerson/PersonContactInformation/ContactMailingAddress/AddressFullText",</v>
      </c>
      <c r="D86" s="33" t="str">
        <f>_xlfn.XLOOKUP(Table26[[#This Row],[XPATHS]],Table610119[&lt;&lt;NOLA_Exchange&gt;&gt;
Booking],Table610119['#],"")</f>
        <v>1expanded_IMARRD_sorted</v>
      </c>
    </row>
    <row r="87" spans="1:4" x14ac:dyDescent="0.3">
      <c r="A87" s="33" t="str">
        <f t="shared" si="1"/>
        <v>86book_xpath</v>
      </c>
      <c r="B87" s="33" t="s">
        <v>136</v>
      </c>
      <c r="C87" s="33" t="str">
        <f>_xlfn.XLOOKUP(Table26[[#This Row],[XPATHS]],Table610119[&lt;&lt;NOLA_Exchange&gt;&gt;
Booking],Table610119[python script],"")</f>
        <v>"IDABRN": "/j:Booking/j:BookingSubject/RoleOfPerson/PersonContactInformation/ContactMailingAddress/AddressSecondaryUnitText",</v>
      </c>
      <c r="D87" s="33" t="str">
        <f>_xlfn.XLOOKUP(Table26[[#This Row],[XPATHS]],Table610119[&lt;&lt;NOLA_Exchange&gt;&gt;
Booking],Table610119['#],"")</f>
        <v>4expanded_IMARRD_sorted</v>
      </c>
    </row>
    <row r="88" spans="1:4" x14ac:dyDescent="0.3">
      <c r="A88" s="33" t="str">
        <f t="shared" si="1"/>
        <v>87book_xpath</v>
      </c>
      <c r="B88" s="33" t="s">
        <v>3138</v>
      </c>
      <c r="C88" s="33" t="str">
        <f>_xlfn.XLOOKUP(Table26[[#This Row],[XPATHS]],Table610119[&lt;&lt;NOLA_Exchange&gt;&gt;
Booking],Table610119[python script],"")</f>
        <v/>
      </c>
      <c r="D88" s="33" t="str">
        <f>_xlfn.XLOOKUP(Table26[[#This Row],[XPATHS]],Table610119[&lt;&lt;NOLA_Exchange&gt;&gt;
Booking],Table610119['#],"")</f>
        <v/>
      </c>
    </row>
    <row r="89" spans="1:4" x14ac:dyDescent="0.3">
      <c r="A89" s="33" t="str">
        <f t="shared" si="1"/>
        <v>88book_xpath</v>
      </c>
      <c r="B89" s="33" t="s">
        <v>214</v>
      </c>
      <c r="C89" s="33" t="str">
        <f>_xlfn.XLOOKUP(Table26[[#This Row],[XPATHS]],Table610119[&lt;&lt;NOLA_Exchange&gt;&gt;
Booking],Table610119[python script],"")</f>
        <v>"IDSTPF": "/j:Booking/j:BookingSubject/RoleOfPerson/PersonContactInformation/ContactMailingAddress/AddressStreet/StreetFullText",</v>
      </c>
      <c r="D89" s="33" t="str">
        <f>_xlfn.XLOOKUP(Table26[[#This Row],[XPATHS]],Table610119[&lt;&lt;NOLA_Exchange&gt;&gt;
Booking],Table610119['#],"")</f>
        <v>6expanded_IMARRD_sorted</v>
      </c>
    </row>
    <row r="90" spans="1:4" x14ac:dyDescent="0.3">
      <c r="A90" s="33" t="str">
        <f t="shared" si="1"/>
        <v>89book_xpath</v>
      </c>
      <c r="B90" s="33" t="s">
        <v>261</v>
      </c>
      <c r="C90" s="33" t="str">
        <f>_xlfn.XLOOKUP(Table26[[#This Row],[XPATHS]],Table610119[&lt;&lt;NOLA_Exchange&gt;&gt;
Booking],Table610119[python script],"")</f>
        <v>"IDSTNO": "/j:Booking/j:BookingSubject/RoleOfPerson/PersonContactInformation/ContactMailingAddress/AddressStreet/StreetNumberText",</v>
      </c>
      <c r="D90" s="33" t="str">
        <f>_xlfn.XLOOKUP(Table26[[#This Row],[XPATHS]],Table610119[&lt;&lt;NOLA_Exchange&gt;&gt;
Booking],Table610119['#],"")</f>
        <v>8expanded_IMARRD_sorted</v>
      </c>
    </row>
    <row r="91" spans="1:4" x14ac:dyDescent="0.3">
      <c r="A91" s="33" t="str">
        <f t="shared" si="1"/>
        <v>90book_xpath</v>
      </c>
      <c r="B91" s="33" t="s">
        <v>3139</v>
      </c>
      <c r="C91" s="33" t="str">
        <f>_xlfn.XLOOKUP(Table26[[#This Row],[XPATHS]],Table610119[&lt;&lt;NOLA_Exchange&gt;&gt;
Booking],Table610119[python script],"")</f>
        <v/>
      </c>
      <c r="D91" s="33" t="str">
        <f>_xlfn.XLOOKUP(Table26[[#This Row],[XPATHS]],Table610119[&lt;&lt;NOLA_Exchange&gt;&gt;
Booking],Table610119['#],"")</f>
        <v/>
      </c>
    </row>
    <row r="92" spans="1:4" x14ac:dyDescent="0.3">
      <c r="A92" s="33" t="str">
        <f t="shared" si="1"/>
        <v>91book_xpath</v>
      </c>
      <c r="B92" s="33" t="s">
        <v>293</v>
      </c>
      <c r="C92" s="33" t="str">
        <f>_xlfn.XLOOKUP(Table26[[#This Row],[XPATHS]],Table610119[&lt;&lt;NOLA_Exchange&gt;&gt;
Booking],Table610119[python script],"")</f>
        <v/>
      </c>
      <c r="D92" s="33" t="str">
        <f>_xlfn.XLOOKUP(Table26[[#This Row],[XPATHS]],Table610119[&lt;&lt;NOLA_Exchange&gt;&gt;
Booking],Table610119['#],"")</f>
        <v/>
      </c>
    </row>
    <row r="93" spans="1:4" x14ac:dyDescent="0.3">
      <c r="A93" s="33" t="str">
        <f t="shared" si="1"/>
        <v>92book_xpath</v>
      </c>
      <c r="B93" s="33" t="s">
        <v>230</v>
      </c>
      <c r="C93" s="33" t="str">
        <f>_xlfn.XLOOKUP(Table26[[#This Row],[XPATHS]],Table610119[&lt;&lt;NOLA_Exchange&gt;&gt;
Booking],Table610119[python script],"")</f>
        <v>"IDSTNM": "/j:Booking/j:BookingSubject/RoleOfPerson/PersonContactInformation/ContactMailingAddress/AddressStreet/StreetName",</v>
      </c>
      <c r="D93" s="33" t="str">
        <f>_xlfn.XLOOKUP(Table26[[#This Row],[XPATHS]],Table610119[&lt;&lt;NOLA_Exchange&gt;&gt;
Booking],Table610119['#],"")</f>
        <v>7expanded_IMARRD_sorted</v>
      </c>
    </row>
    <row r="94" spans="1:4" x14ac:dyDescent="0.3">
      <c r="A94" s="33" t="str">
        <f t="shared" si="1"/>
        <v>93book_xpath</v>
      </c>
      <c r="B94" s="33" t="s">
        <v>3140</v>
      </c>
      <c r="C94" s="33" t="str">
        <f>_xlfn.XLOOKUP(Table26[[#This Row],[XPATHS]],Table610119[&lt;&lt;NOLA_Exchange&gt;&gt;
Booking],Table610119[python script],"")</f>
        <v/>
      </c>
      <c r="D94" s="33" t="str">
        <f>_xlfn.XLOOKUP(Table26[[#This Row],[XPATHS]],Table610119[&lt;&lt;NOLA_Exchange&gt;&gt;
Booking],Table610119['#],"")</f>
        <v/>
      </c>
    </row>
    <row r="95" spans="1:4" x14ac:dyDescent="0.3">
      <c r="A95" s="33" t="str">
        <f t="shared" si="1"/>
        <v>94book_xpath</v>
      </c>
      <c r="B95" s="33" t="s">
        <v>312</v>
      </c>
      <c r="C95" s="33" t="str">
        <f>_xlfn.XLOOKUP(Table26[[#This Row],[XPATHS]],Table610119[&lt;&lt;NOLA_Exchange&gt;&gt;
Booking],Table610119[python script],"")</f>
        <v>"IDSTSF": "/j:Booking/j:BookingSubject/RoleOfPerson/PersonContactInformation/ContactMailingAddress/AddressStreet/StreetPostdirectional/StreetDirectionalText",</v>
      </c>
      <c r="D95" s="33" t="str">
        <f>_xlfn.XLOOKUP(Table26[[#This Row],[XPATHS]],Table610119[&lt;&lt;NOLA_Exchange&gt;&gt;
Booking],Table610119['#],"")</f>
        <v>9expanded_IMARRD_sorted</v>
      </c>
    </row>
    <row r="96" spans="1:4" x14ac:dyDescent="0.3">
      <c r="A96" s="33" t="str">
        <f t="shared" si="1"/>
        <v>95book_xpath</v>
      </c>
      <c r="B96" s="33" t="s">
        <v>161</v>
      </c>
      <c r="C96" s="33" t="str">
        <f>_xlfn.XLOOKUP(Table26[[#This Row],[XPATHS]],Table610119[&lt;&lt;NOLA_Exchange&gt;&gt;
Booking],Table610119[python script],"")</f>
        <v>"IDABRC": "/j:Booking/j:BookingSubject/RoleOfPerson/PersonContactInformation/ContactMailingAddress/AddressDeliveryPointID",</v>
      </c>
      <c r="D96" s="33" t="str">
        <f>_xlfn.XLOOKUP(Table26[[#This Row],[XPATHS]],Table610119[&lt;&lt;NOLA_Exchange&gt;&gt;
Booking],Table610119['#],"")</f>
        <v>5expanded_IMARRD_sorted</v>
      </c>
    </row>
    <row r="97" spans="1:4" x14ac:dyDescent="0.3">
      <c r="A97" s="33" t="str">
        <f t="shared" si="1"/>
        <v>96book_xpath</v>
      </c>
      <c r="B97" s="33" t="s">
        <v>120</v>
      </c>
      <c r="C97" s="33" t="str">
        <f>_xlfn.XLOOKUP(Table26[[#This Row],[XPATHS]],Table610119[&lt;&lt;NOLA_Exchange&gt;&gt;
Booking],Table610119[python script],"")</f>
        <v/>
      </c>
      <c r="D97" s="33" t="str">
        <f>_xlfn.XLOOKUP(Table26[[#This Row],[XPATHS]],Table610119[&lt;&lt;NOLA_Exchange&gt;&gt;
Booking],Table610119['#],"")</f>
        <v/>
      </c>
    </row>
    <row r="98" spans="1:4" x14ac:dyDescent="0.3">
      <c r="A98" s="33" t="str">
        <f t="shared" si="1"/>
        <v>97book_xpath</v>
      </c>
      <c r="B98" s="33" t="s">
        <v>74</v>
      </c>
      <c r="C98" s="33" t="str">
        <f>_xlfn.XLOOKUP(Table26[[#This Row],[XPATHS]],Table610119[&lt;&lt;NOLA_Exchange&gt;&gt;
Booking],Table610119[python script],"")</f>
        <v>"IDCITY": "/j:Booking/j:BookingSubject/RoleOfPerson/PersonContactInformation/ContactMailingAddress/AddressCityName",</v>
      </c>
      <c r="D98" s="33" t="str">
        <f>_xlfn.XLOOKUP(Table26[[#This Row],[XPATHS]],Table610119[&lt;&lt;NOLA_Exchange&gt;&gt;
Booking],Table610119['#],"")</f>
        <v>2expanded_IMARRD_sorted</v>
      </c>
    </row>
    <row r="99" spans="1:4" x14ac:dyDescent="0.3">
      <c r="A99" s="33" t="str">
        <f t="shared" si="1"/>
        <v>98book_xpath</v>
      </c>
      <c r="B99" s="33" t="s">
        <v>3141</v>
      </c>
      <c r="C99" s="33" t="str">
        <f>_xlfn.XLOOKUP(Table26[[#This Row],[XPATHS]],Table610119[&lt;&lt;NOLA_Exchange&gt;&gt;
Booking],Table610119[python script],"")</f>
        <v/>
      </c>
      <c r="D99" s="33" t="str">
        <f>_xlfn.XLOOKUP(Table26[[#This Row],[XPATHS]],Table610119[&lt;&lt;NOLA_Exchange&gt;&gt;
Booking],Table610119['#],"")</f>
        <v/>
      </c>
    </row>
    <row r="100" spans="1:4" x14ac:dyDescent="0.3">
      <c r="A100" s="33" t="str">
        <f t="shared" si="1"/>
        <v>99book_xpath</v>
      </c>
      <c r="B100" s="33" t="s">
        <v>110</v>
      </c>
      <c r="C100" s="33" t="str">
        <f>_xlfn.XLOOKUP(Table26[[#This Row],[XPATHS]],Table610119[&lt;&lt;NOLA_Exchange&gt;&gt;
Booking],Table610119[python script],"")</f>
        <v>"IDSTCD": "/j:Booking/j:BookingSubject/RoleOfPerson/PersonContactInformation/ContactMailingAddress/AddressState/StateName",</v>
      </c>
      <c r="D100" s="33" t="str">
        <f>_xlfn.XLOOKUP(Table26[[#This Row],[XPATHS]],Table610119[&lt;&lt;NOLA_Exchange&gt;&gt;
Booking],Table610119['#],"")</f>
        <v>3expanded_IMARRD_sorted</v>
      </c>
    </row>
    <row r="101" spans="1:4" x14ac:dyDescent="0.3">
      <c r="A101" s="33" t="str">
        <f t="shared" si="1"/>
        <v>100book_xpath</v>
      </c>
      <c r="B101" s="49" t="s">
        <v>193</v>
      </c>
      <c r="C101" s="33" t="str">
        <f>_xlfn.XLOOKUP(Table26[[#This Row],[XPATHS]],Table610119[&lt;&lt;NOLA_Exchange&gt;&gt;
Booking],Table610119[python script],"")</f>
        <v/>
      </c>
      <c r="D101" s="33" t="str">
        <f>_xlfn.XLOOKUP(Table26[[#This Row],[XPATHS]],Table610119[&lt;&lt;NOLA_Exchange&gt;&gt;
Booking],Table610119['#],"")</f>
        <v/>
      </c>
    </row>
    <row r="102" spans="1:4" x14ac:dyDescent="0.3">
      <c r="A102" s="33" t="str">
        <f t="shared" si="1"/>
        <v>101book_xpath</v>
      </c>
      <c r="B102" s="33" t="s">
        <v>3142</v>
      </c>
      <c r="C102" s="33" t="str">
        <f>_xlfn.XLOOKUP(Table26[[#This Row],[XPATHS]],Table610119[&lt;&lt;NOLA_Exchange&gt;&gt;
Booking],Table610119[python script],"")</f>
        <v/>
      </c>
      <c r="D102" s="33" t="str">
        <f>_xlfn.XLOOKUP(Table26[[#This Row],[XPATHS]],Table610119[&lt;&lt;NOLA_Exchange&gt;&gt;
Booking],Table610119['#],"")</f>
        <v/>
      </c>
    </row>
    <row r="103" spans="1:4" x14ac:dyDescent="0.3">
      <c r="A103" s="33" t="str">
        <f t="shared" si="1"/>
        <v>102book_xpath</v>
      </c>
      <c r="B103" s="33" t="s">
        <v>102</v>
      </c>
      <c r="C103" s="33" t="str">
        <f>_xlfn.XLOOKUP(Table26[[#This Row],[XPATHS]],Table610119[&lt;&lt;NOLA_Exchange&gt;&gt;
Booking],Table610119[python script],"")</f>
        <v/>
      </c>
      <c r="D103" s="33" t="str">
        <f>_xlfn.XLOOKUP(Table26[[#This Row],[XPATHS]],Table610119[&lt;&lt;NOLA_Exchange&gt;&gt;
Booking],Table610119['#],"")</f>
        <v/>
      </c>
    </row>
    <row r="104" spans="1:4" x14ac:dyDescent="0.3">
      <c r="A104" s="33" t="str">
        <f t="shared" si="1"/>
        <v>103book_xpath</v>
      </c>
      <c r="B104" s="33" t="s">
        <v>343</v>
      </c>
      <c r="C104" s="33" t="str">
        <f>_xlfn.XLOOKUP(Table26[[#This Row],[XPATHS]],Table610119[&lt;&lt;NOLA_Exchange&gt;&gt;
Booking],Table610119[python script],"")</f>
        <v/>
      </c>
      <c r="D104" s="33" t="str">
        <f>_xlfn.XLOOKUP(Table26[[#This Row],[XPATHS]],Table610119[&lt;&lt;NOLA_Exchange&gt;&gt;
Booking],Table610119['#],"")</f>
        <v/>
      </c>
    </row>
    <row r="105" spans="1:4" x14ac:dyDescent="0.3">
      <c r="A105" s="33" t="str">
        <f t="shared" si="1"/>
        <v>104book_xpath</v>
      </c>
      <c r="B105" s="33" t="s">
        <v>351</v>
      </c>
      <c r="C105" s="33" t="str">
        <f>_xlfn.XLOOKUP(Table26[[#This Row],[XPATHS]],Table610119[&lt;&lt;NOLA_Exchange&gt;&gt;
Booking],Table610119[python script],"")</f>
        <v/>
      </c>
      <c r="D105" s="33" t="str">
        <f>_xlfn.XLOOKUP(Table26[[#This Row],[XPATHS]],Table610119[&lt;&lt;NOLA_Exchange&gt;&gt;
Booking],Table610119['#],"")</f>
        <v/>
      </c>
    </row>
    <row r="106" spans="1:4" x14ac:dyDescent="0.3">
      <c r="A106" s="33" t="str">
        <f t="shared" si="1"/>
        <v>105book_xpath</v>
      </c>
      <c r="B106" s="33" t="s">
        <v>540</v>
      </c>
      <c r="C106" s="33" t="str">
        <f>_xlfn.XLOOKUP(Table26[[#This Row],[XPATHS]],Table610119[&lt;&lt;NOLA_Exchange&gt;&gt;
Booking],Table610119[python script],"")</f>
        <v/>
      </c>
      <c r="D106" s="33" t="str">
        <f>_xlfn.XLOOKUP(Table26[[#This Row],[XPATHS]],Table610119[&lt;&lt;NOLA_Exchange&gt;&gt;
Booking],Table610119['#],"")</f>
        <v/>
      </c>
    </row>
    <row r="107" spans="1:4" x14ac:dyDescent="0.3">
      <c r="A107" s="33" t="str">
        <f t="shared" si="1"/>
        <v>106book_xpath</v>
      </c>
      <c r="B107" s="33" t="s">
        <v>3143</v>
      </c>
      <c r="C107" s="33" t="str">
        <f>_xlfn.XLOOKUP(Table26[[#This Row],[XPATHS]],Table610119[&lt;&lt;NOLA_Exchange&gt;&gt;
Booking],Table610119[python script],"")</f>
        <v/>
      </c>
      <c r="D107" s="33" t="str">
        <f>_xlfn.XLOOKUP(Table26[[#This Row],[XPATHS]],Table610119[&lt;&lt;NOLA_Exchange&gt;&gt;
Booking],Table610119['#],"")</f>
        <v/>
      </c>
    </row>
    <row r="108" spans="1:4" x14ac:dyDescent="0.3">
      <c r="A108" s="33" t="str">
        <f t="shared" si="1"/>
        <v>107book_xpath</v>
      </c>
      <c r="B108" s="33" t="s">
        <v>3144</v>
      </c>
      <c r="C108" s="33" t="str">
        <f>_xlfn.XLOOKUP(Table26[[#This Row],[XPATHS]],Table610119[&lt;&lt;NOLA_Exchange&gt;&gt;
Booking],Table610119[python script],"")</f>
        <v/>
      </c>
      <c r="D108" s="33" t="str">
        <f>_xlfn.XLOOKUP(Table26[[#This Row],[XPATHS]],Table610119[&lt;&lt;NOLA_Exchange&gt;&gt;
Booking],Table610119['#],"")</f>
        <v/>
      </c>
    </row>
    <row r="109" spans="1:4" x14ac:dyDescent="0.3">
      <c r="A109" s="33" t="str">
        <f t="shared" si="1"/>
        <v>108book_xpath</v>
      </c>
      <c r="B109" s="33" t="s">
        <v>3145</v>
      </c>
      <c r="C109" s="33" t="str">
        <f>_xlfn.XLOOKUP(Table26[[#This Row],[XPATHS]],Table610119[&lt;&lt;NOLA_Exchange&gt;&gt;
Booking],Table610119[python script],"")</f>
        <v/>
      </c>
      <c r="D109" s="33" t="str">
        <f>_xlfn.XLOOKUP(Table26[[#This Row],[XPATHS]],Table610119[&lt;&lt;NOLA_Exchange&gt;&gt;
Booking],Table610119['#],"")</f>
        <v/>
      </c>
    </row>
    <row r="110" spans="1:4" x14ac:dyDescent="0.3">
      <c r="A110" s="33" t="str">
        <f t="shared" si="1"/>
        <v>109book_xpath</v>
      </c>
      <c r="B110" s="33" t="s">
        <v>3146</v>
      </c>
      <c r="C110" s="33" t="str">
        <f>_xlfn.XLOOKUP(Table26[[#This Row],[XPATHS]],Table610119[&lt;&lt;NOLA_Exchange&gt;&gt;
Booking],Table610119[python script],"")</f>
        <v/>
      </c>
      <c r="D110" s="33" t="str">
        <f>_xlfn.XLOOKUP(Table26[[#This Row],[XPATHS]],Table610119[&lt;&lt;NOLA_Exchange&gt;&gt;
Booking],Table610119['#],"")</f>
        <v/>
      </c>
    </row>
    <row r="111" spans="1:4" x14ac:dyDescent="0.3">
      <c r="A111" s="33" t="str">
        <f t="shared" si="1"/>
        <v>110book_xpath</v>
      </c>
      <c r="B111" s="33" t="s">
        <v>3147</v>
      </c>
      <c r="C111" s="33" t="str">
        <f>_xlfn.XLOOKUP(Table26[[#This Row],[XPATHS]],Table610119[&lt;&lt;NOLA_Exchange&gt;&gt;
Booking],Table610119[python script],"")</f>
        <v/>
      </c>
      <c r="D111" s="33" t="str">
        <f>_xlfn.XLOOKUP(Table26[[#This Row],[XPATHS]],Table610119[&lt;&lt;NOLA_Exchange&gt;&gt;
Booking],Table610119['#],"")</f>
        <v/>
      </c>
    </row>
    <row r="112" spans="1:4" x14ac:dyDescent="0.3">
      <c r="A112" s="33" t="str">
        <f t="shared" si="1"/>
        <v>111book_xpath</v>
      </c>
      <c r="B112" s="33" t="s">
        <v>3148</v>
      </c>
      <c r="C112" s="33" t="str">
        <f>_xlfn.XLOOKUP(Table26[[#This Row],[XPATHS]],Table610119[&lt;&lt;NOLA_Exchange&gt;&gt;
Booking],Table610119[python script],"")</f>
        <v/>
      </c>
      <c r="D112" s="33" t="str">
        <f>_xlfn.XLOOKUP(Table26[[#This Row],[XPATHS]],Table610119[&lt;&lt;NOLA_Exchange&gt;&gt;
Booking],Table610119['#],"")</f>
        <v/>
      </c>
    </row>
    <row r="113" spans="1:4" x14ac:dyDescent="0.3">
      <c r="A113" s="33" t="str">
        <f t="shared" si="1"/>
        <v>112book_xpath</v>
      </c>
      <c r="B113" s="33" t="s">
        <v>3149</v>
      </c>
      <c r="C113" s="33" t="str">
        <f>_xlfn.XLOOKUP(Table26[[#This Row],[XPATHS]],Table610119[&lt;&lt;NOLA_Exchange&gt;&gt;
Booking],Table610119[python script],"")</f>
        <v/>
      </c>
      <c r="D113" s="33" t="str">
        <f>_xlfn.XLOOKUP(Table26[[#This Row],[XPATHS]],Table610119[&lt;&lt;NOLA_Exchange&gt;&gt;
Booking],Table610119['#],"")</f>
        <v/>
      </c>
    </row>
    <row r="114" spans="1:4" x14ac:dyDescent="0.3">
      <c r="A114" s="33" t="str">
        <f t="shared" si="1"/>
        <v>113book_xpath</v>
      </c>
      <c r="B114" s="33" t="s">
        <v>3150</v>
      </c>
      <c r="C114" s="33" t="str">
        <f>_xlfn.XLOOKUP(Table26[[#This Row],[XPATHS]],Table610119[&lt;&lt;NOLA_Exchange&gt;&gt;
Booking],Table610119[python script],"")</f>
        <v/>
      </c>
      <c r="D114" s="33" t="str">
        <f>_xlfn.XLOOKUP(Table26[[#This Row],[XPATHS]],Table610119[&lt;&lt;NOLA_Exchange&gt;&gt;
Booking],Table610119['#],"")</f>
        <v/>
      </c>
    </row>
    <row r="115" spans="1:4" x14ac:dyDescent="0.3">
      <c r="A115" s="33" t="str">
        <f t="shared" si="1"/>
        <v>114book_xpath</v>
      </c>
      <c r="B115" s="33" t="s">
        <v>3151</v>
      </c>
      <c r="C115" s="33" t="str">
        <f>_xlfn.XLOOKUP(Table26[[#This Row],[XPATHS]],Table610119[&lt;&lt;NOLA_Exchange&gt;&gt;
Booking],Table610119[python script],"")</f>
        <v/>
      </c>
      <c r="D115" s="33" t="str">
        <f>_xlfn.XLOOKUP(Table26[[#This Row],[XPATHS]],Table610119[&lt;&lt;NOLA_Exchange&gt;&gt;
Booking],Table610119['#],"")</f>
        <v/>
      </c>
    </row>
    <row r="116" spans="1:4" x14ac:dyDescent="0.3">
      <c r="A116" s="33" t="str">
        <f t="shared" si="1"/>
        <v>115book_xpath</v>
      </c>
      <c r="B116" s="33" t="s">
        <v>3152</v>
      </c>
      <c r="C116" s="33" t="str">
        <f>_xlfn.XLOOKUP(Table26[[#This Row],[XPATHS]],Table610119[&lt;&lt;NOLA_Exchange&gt;&gt;
Booking],Table610119[python script],"")</f>
        <v/>
      </c>
      <c r="D116" s="33" t="str">
        <f>_xlfn.XLOOKUP(Table26[[#This Row],[XPATHS]],Table610119[&lt;&lt;NOLA_Exchange&gt;&gt;
Booking],Table610119['#],"")</f>
        <v/>
      </c>
    </row>
    <row r="117" spans="1:4" x14ac:dyDescent="0.3">
      <c r="A117" s="33" t="str">
        <f t="shared" si="1"/>
        <v>116book_xpath</v>
      </c>
      <c r="B117" s="33" t="s">
        <v>3153</v>
      </c>
      <c r="C117" s="33" t="str">
        <f>_xlfn.XLOOKUP(Table26[[#This Row],[XPATHS]],Table610119[&lt;&lt;NOLA_Exchange&gt;&gt;
Booking],Table610119[python script],"")</f>
        <v/>
      </c>
      <c r="D117" s="33" t="str">
        <f>_xlfn.XLOOKUP(Table26[[#This Row],[XPATHS]],Table610119[&lt;&lt;NOLA_Exchange&gt;&gt;
Booking],Table610119['#],"")</f>
        <v/>
      </c>
    </row>
    <row r="118" spans="1:4" x14ac:dyDescent="0.3">
      <c r="A118" s="33" t="str">
        <f t="shared" si="1"/>
        <v>117book_xpath</v>
      </c>
      <c r="B118" s="33" t="s">
        <v>50</v>
      </c>
      <c r="C118" s="33" t="str">
        <f>_xlfn.XLOOKUP(Table26[[#This Row],[XPATHS]],Table610119[&lt;&lt;NOLA_Exchange&gt;&gt;
Booking],Table610119[python script],"")</f>
        <v/>
      </c>
      <c r="D118" s="33" t="str">
        <f>_xlfn.XLOOKUP(Table26[[#This Row],[XPATHS]],Table610119[&lt;&lt;NOLA_Exchange&gt;&gt;
Booking],Table610119['#],"")</f>
        <v/>
      </c>
    </row>
    <row r="119" spans="1:4" x14ac:dyDescent="0.3">
      <c r="A119" s="33" t="str">
        <f t="shared" si="1"/>
        <v>118book_xpath</v>
      </c>
      <c r="B119" s="33" t="s">
        <v>139</v>
      </c>
      <c r="C119" s="33" t="str">
        <f>_xlfn.XLOOKUP(Table26[[#This Row],[XPATHS]],Table610119[&lt;&lt;NOLA_Exchange&gt;&gt;
Booking],Table610119[python script],"")</f>
        <v/>
      </c>
      <c r="D119" s="33" t="str">
        <f>_xlfn.XLOOKUP(Table26[[#This Row],[XPATHS]],Table610119[&lt;&lt;NOLA_Exchange&gt;&gt;
Booking],Table610119['#],"")</f>
        <v/>
      </c>
    </row>
    <row r="120" spans="1:4" x14ac:dyDescent="0.3">
      <c r="A120" s="33" t="str">
        <f t="shared" si="1"/>
        <v>119book_xpath</v>
      </c>
      <c r="B120" s="33" t="s">
        <v>3154</v>
      </c>
      <c r="C120" s="33" t="str">
        <f>_xlfn.XLOOKUP(Table26[[#This Row],[XPATHS]],Table610119[&lt;&lt;NOLA_Exchange&gt;&gt;
Booking],Table610119[python script],"")</f>
        <v/>
      </c>
      <c r="D120" s="33" t="str">
        <f>_xlfn.XLOOKUP(Table26[[#This Row],[XPATHS]],Table610119[&lt;&lt;NOLA_Exchange&gt;&gt;
Booking],Table610119['#],"")</f>
        <v/>
      </c>
    </row>
    <row r="121" spans="1:4" x14ac:dyDescent="0.3">
      <c r="A121" s="33" t="str">
        <f t="shared" si="1"/>
        <v>120book_xpath</v>
      </c>
      <c r="B121" s="33" t="s">
        <v>217</v>
      </c>
      <c r="C121" s="33" t="str">
        <f>_xlfn.XLOOKUP(Table26[[#This Row],[XPATHS]],Table610119[&lt;&lt;NOLA_Exchange&gt;&gt;
Booking],Table610119[python script],"")</f>
        <v/>
      </c>
      <c r="D121" s="33" t="str">
        <f>_xlfn.XLOOKUP(Table26[[#This Row],[XPATHS]],Table610119[&lt;&lt;NOLA_Exchange&gt;&gt;
Booking],Table610119['#],"")</f>
        <v/>
      </c>
    </row>
    <row r="122" spans="1:4" x14ac:dyDescent="0.3">
      <c r="A122" s="33" t="str">
        <f t="shared" si="1"/>
        <v>121book_xpath</v>
      </c>
      <c r="B122" s="33" t="s">
        <v>265</v>
      </c>
      <c r="C122" s="33" t="str">
        <f>_xlfn.XLOOKUP(Table26[[#This Row],[XPATHS]],Table610119[&lt;&lt;NOLA_Exchange&gt;&gt;
Booking],Table610119[python script],"")</f>
        <v/>
      </c>
      <c r="D122" s="33" t="str">
        <f>_xlfn.XLOOKUP(Table26[[#This Row],[XPATHS]],Table610119[&lt;&lt;NOLA_Exchange&gt;&gt;
Booking],Table610119['#],"")</f>
        <v/>
      </c>
    </row>
    <row r="123" spans="1:4" x14ac:dyDescent="0.3">
      <c r="A123" s="33" t="str">
        <f t="shared" si="1"/>
        <v>122book_xpath</v>
      </c>
      <c r="B123" s="33" t="s">
        <v>3155</v>
      </c>
      <c r="C123" s="33" t="str">
        <f>_xlfn.XLOOKUP(Table26[[#This Row],[XPATHS]],Table610119[&lt;&lt;NOLA_Exchange&gt;&gt;
Booking],Table610119[python script],"")</f>
        <v/>
      </c>
      <c r="D123" s="33" t="str">
        <f>_xlfn.XLOOKUP(Table26[[#This Row],[XPATHS]],Table610119[&lt;&lt;NOLA_Exchange&gt;&gt;
Booking],Table610119['#],"")</f>
        <v/>
      </c>
    </row>
    <row r="124" spans="1:4" x14ac:dyDescent="0.3">
      <c r="A124" s="33" t="str">
        <f t="shared" si="1"/>
        <v>123book_xpath</v>
      </c>
      <c r="B124" s="33" t="s">
        <v>296</v>
      </c>
      <c r="C124" s="33" t="str">
        <f>_xlfn.XLOOKUP(Table26[[#This Row],[XPATHS]],Table610119[&lt;&lt;NOLA_Exchange&gt;&gt;
Booking],Table610119[python script],"")</f>
        <v/>
      </c>
      <c r="D124" s="33" t="str">
        <f>_xlfn.XLOOKUP(Table26[[#This Row],[XPATHS]],Table610119[&lt;&lt;NOLA_Exchange&gt;&gt;
Booking],Table610119['#],"")</f>
        <v/>
      </c>
    </row>
    <row r="125" spans="1:4" x14ac:dyDescent="0.3">
      <c r="A125" s="33" t="str">
        <f t="shared" si="1"/>
        <v>124book_xpath</v>
      </c>
      <c r="B125" s="33" t="s">
        <v>233</v>
      </c>
      <c r="C125" s="33" t="str">
        <f>_xlfn.XLOOKUP(Table26[[#This Row],[XPATHS]],Table610119[&lt;&lt;NOLA_Exchange&gt;&gt;
Booking],Table610119[python script],"")</f>
        <v/>
      </c>
      <c r="D125" s="33" t="str">
        <f>_xlfn.XLOOKUP(Table26[[#This Row],[XPATHS]],Table610119[&lt;&lt;NOLA_Exchange&gt;&gt;
Booking],Table610119['#],"")</f>
        <v/>
      </c>
    </row>
    <row r="126" spans="1:4" x14ac:dyDescent="0.3">
      <c r="A126" s="33" t="str">
        <f t="shared" si="1"/>
        <v>125book_xpath</v>
      </c>
      <c r="B126" s="33" t="s">
        <v>3156</v>
      </c>
      <c r="C126" s="33" t="str">
        <f>_xlfn.XLOOKUP(Table26[[#This Row],[XPATHS]],Table610119[&lt;&lt;NOLA_Exchange&gt;&gt;
Booking],Table610119[python script],"")</f>
        <v/>
      </c>
      <c r="D126" s="33" t="str">
        <f>_xlfn.XLOOKUP(Table26[[#This Row],[XPATHS]],Table610119[&lt;&lt;NOLA_Exchange&gt;&gt;
Booking],Table610119['#],"")</f>
        <v/>
      </c>
    </row>
    <row r="127" spans="1:4" x14ac:dyDescent="0.3">
      <c r="A127" s="33" t="str">
        <f t="shared" si="1"/>
        <v>126book_xpath</v>
      </c>
      <c r="B127" s="33" t="s">
        <v>315</v>
      </c>
      <c r="C127" s="33" t="str">
        <f>_xlfn.XLOOKUP(Table26[[#This Row],[XPATHS]],Table610119[&lt;&lt;NOLA_Exchange&gt;&gt;
Booking],Table610119[python script],"")</f>
        <v/>
      </c>
      <c r="D127" s="33" t="str">
        <f>_xlfn.XLOOKUP(Table26[[#This Row],[XPATHS]],Table610119[&lt;&lt;NOLA_Exchange&gt;&gt;
Booking],Table610119['#],"")</f>
        <v/>
      </c>
    </row>
    <row r="128" spans="1:4" x14ac:dyDescent="0.3">
      <c r="A128" s="33" t="str">
        <f t="shared" si="1"/>
        <v>127book_xpath</v>
      </c>
      <c r="B128" s="33" t="s">
        <v>164</v>
      </c>
      <c r="C128" s="33" t="str">
        <f>_xlfn.XLOOKUP(Table26[[#This Row],[XPATHS]],Table610119[&lt;&lt;NOLA_Exchange&gt;&gt;
Booking],Table610119[python script],"")</f>
        <v/>
      </c>
      <c r="D128" s="33" t="str">
        <f>_xlfn.XLOOKUP(Table26[[#This Row],[XPATHS]],Table610119[&lt;&lt;NOLA_Exchange&gt;&gt;
Booking],Table610119['#],"")</f>
        <v/>
      </c>
    </row>
    <row r="129" spans="1:4" x14ac:dyDescent="0.3">
      <c r="A129" s="33" t="str">
        <f t="shared" si="1"/>
        <v>128book_xpath</v>
      </c>
      <c r="B129" s="33" t="s">
        <v>123</v>
      </c>
      <c r="C129" s="33" t="str">
        <f>_xlfn.XLOOKUP(Table26[[#This Row],[XPATHS]],Table610119[&lt;&lt;NOLA_Exchange&gt;&gt;
Booking],Table610119[python script],"")</f>
        <v/>
      </c>
      <c r="D129" s="33" t="str">
        <f>_xlfn.XLOOKUP(Table26[[#This Row],[XPATHS]],Table610119[&lt;&lt;NOLA_Exchange&gt;&gt;
Booking],Table610119['#],"")</f>
        <v/>
      </c>
    </row>
    <row r="130" spans="1:4" x14ac:dyDescent="0.3">
      <c r="A130" s="33" t="str">
        <f t="shared" ref="A130:A193" si="2">ROW(A129)&amp;"book_xpath"</f>
        <v>129book_xpath</v>
      </c>
      <c r="B130" s="33" t="s">
        <v>77</v>
      </c>
      <c r="C130" s="33" t="str">
        <f>_xlfn.XLOOKUP(Table26[[#This Row],[XPATHS]],Table610119[&lt;&lt;NOLA_Exchange&gt;&gt;
Booking],Table610119[python script],"")</f>
        <v/>
      </c>
      <c r="D130" s="33" t="str">
        <f>_xlfn.XLOOKUP(Table26[[#This Row],[XPATHS]],Table610119[&lt;&lt;NOLA_Exchange&gt;&gt;
Booking],Table610119['#],"")</f>
        <v/>
      </c>
    </row>
    <row r="131" spans="1:4" x14ac:dyDescent="0.3">
      <c r="A131" s="33" t="str">
        <f t="shared" si="2"/>
        <v>130book_xpath</v>
      </c>
      <c r="B131" s="33" t="s">
        <v>3157</v>
      </c>
      <c r="C131" s="33" t="str">
        <f>_xlfn.XLOOKUP(Table26[[#This Row],[XPATHS]],Table610119[&lt;&lt;NOLA_Exchange&gt;&gt;
Booking],Table610119[python script],"")</f>
        <v/>
      </c>
      <c r="D131" s="33" t="str">
        <f>_xlfn.XLOOKUP(Table26[[#This Row],[XPATHS]],Table610119[&lt;&lt;NOLA_Exchange&gt;&gt;
Booking],Table610119['#],"")</f>
        <v/>
      </c>
    </row>
    <row r="132" spans="1:4" x14ac:dyDescent="0.3">
      <c r="A132" s="33" t="str">
        <f t="shared" si="2"/>
        <v>131book_xpath</v>
      </c>
      <c r="B132" s="33" t="s">
        <v>111</v>
      </c>
      <c r="C132" s="33" t="str">
        <f>_xlfn.XLOOKUP(Table26[[#This Row],[XPATHS]],Table610119[&lt;&lt;NOLA_Exchange&gt;&gt;
Booking],Table610119[python script],"")</f>
        <v/>
      </c>
      <c r="D132" s="33" t="str">
        <f>_xlfn.XLOOKUP(Table26[[#This Row],[XPATHS]],Table610119[&lt;&lt;NOLA_Exchange&gt;&gt;
Booking],Table610119['#],"")</f>
        <v/>
      </c>
    </row>
    <row r="133" spans="1:4" x14ac:dyDescent="0.3">
      <c r="A133" s="33" t="str">
        <f t="shared" si="2"/>
        <v>132book_xpath</v>
      </c>
      <c r="B133" s="49" t="s">
        <v>196</v>
      </c>
      <c r="C133" s="33" t="str">
        <f>_xlfn.XLOOKUP(Table26[[#This Row],[XPATHS]],Table610119[&lt;&lt;NOLA_Exchange&gt;&gt;
Booking],Table610119[python script],"")</f>
        <v/>
      </c>
      <c r="D133" s="33" t="str">
        <f>_xlfn.XLOOKUP(Table26[[#This Row],[XPATHS]],Table610119[&lt;&lt;NOLA_Exchange&gt;&gt;
Booking],Table610119['#],"")</f>
        <v/>
      </c>
    </row>
    <row r="134" spans="1:4" x14ac:dyDescent="0.3">
      <c r="A134" s="33" t="str">
        <f t="shared" si="2"/>
        <v>133book_xpath</v>
      </c>
      <c r="B134" s="33" t="s">
        <v>3158</v>
      </c>
      <c r="C134" s="33" t="str">
        <f>_xlfn.XLOOKUP(Table26[[#This Row],[XPATHS]],Table610119[&lt;&lt;NOLA_Exchange&gt;&gt;
Booking],Table610119[python script],"")</f>
        <v/>
      </c>
      <c r="D134" s="33" t="str">
        <f>_xlfn.XLOOKUP(Table26[[#This Row],[XPATHS]],Table610119[&lt;&lt;NOLA_Exchange&gt;&gt;
Booking],Table610119['#],"")</f>
        <v/>
      </c>
    </row>
    <row r="135" spans="1:4" x14ac:dyDescent="0.3">
      <c r="A135" s="33" t="str">
        <f t="shared" si="2"/>
        <v>134book_xpath</v>
      </c>
      <c r="B135" s="33" t="s">
        <v>103</v>
      </c>
      <c r="C135" s="33" t="str">
        <f>_xlfn.XLOOKUP(Table26[[#This Row],[XPATHS]],Table610119[&lt;&lt;NOLA_Exchange&gt;&gt;
Booking],Table610119[python script],"")</f>
        <v/>
      </c>
      <c r="D135" s="33" t="str">
        <f>_xlfn.XLOOKUP(Table26[[#This Row],[XPATHS]],Table610119[&lt;&lt;NOLA_Exchange&gt;&gt;
Booking],Table610119['#],"")</f>
        <v/>
      </c>
    </row>
    <row r="136" spans="1:4" x14ac:dyDescent="0.3">
      <c r="A136" s="33" t="str">
        <f t="shared" si="2"/>
        <v>135book_xpath</v>
      </c>
      <c r="B136" s="33" t="s">
        <v>346</v>
      </c>
      <c r="C136" s="33" t="str">
        <f>_xlfn.XLOOKUP(Table26[[#This Row],[XPATHS]],Table610119[&lt;&lt;NOLA_Exchange&gt;&gt;
Booking],Table610119[python script],"")</f>
        <v/>
      </c>
      <c r="D136" s="33" t="str">
        <f>_xlfn.XLOOKUP(Table26[[#This Row],[XPATHS]],Table610119[&lt;&lt;NOLA_Exchange&gt;&gt;
Booking],Table610119['#],"")</f>
        <v/>
      </c>
    </row>
    <row r="137" spans="1:4" x14ac:dyDescent="0.3">
      <c r="A137" s="33" t="str">
        <f t="shared" si="2"/>
        <v>136book_xpath</v>
      </c>
      <c r="B137" s="33" t="s">
        <v>352</v>
      </c>
      <c r="C137" s="33" t="str">
        <f>_xlfn.XLOOKUP(Table26[[#This Row],[XPATHS]],Table610119[&lt;&lt;NOLA_Exchange&gt;&gt;
Booking],Table610119[python script],"")</f>
        <v/>
      </c>
      <c r="D137" s="33" t="str">
        <f>_xlfn.XLOOKUP(Table26[[#This Row],[XPATHS]],Table610119[&lt;&lt;NOLA_Exchange&gt;&gt;
Booking],Table610119['#],"")</f>
        <v/>
      </c>
    </row>
    <row r="138" spans="1:4" x14ac:dyDescent="0.3">
      <c r="A138" s="33" t="str">
        <f t="shared" si="2"/>
        <v>137book_xpath</v>
      </c>
      <c r="B138" s="33" t="s">
        <v>543</v>
      </c>
      <c r="C138" s="33" t="str">
        <f>_xlfn.XLOOKUP(Table26[[#This Row],[XPATHS]],Table610119[&lt;&lt;NOLA_Exchange&gt;&gt;
Booking],Table610119[python script],"")</f>
        <v/>
      </c>
      <c r="D138" s="33" t="str">
        <f>_xlfn.XLOOKUP(Table26[[#This Row],[XPATHS]],Table610119[&lt;&lt;NOLA_Exchange&gt;&gt;
Booking],Table610119['#],"")</f>
        <v/>
      </c>
    </row>
    <row r="139" spans="1:4" x14ac:dyDescent="0.3">
      <c r="A139" s="33" t="str">
        <f t="shared" si="2"/>
        <v>138book_xpath</v>
      </c>
      <c r="B139" s="33" t="s">
        <v>3159</v>
      </c>
      <c r="C139" s="33" t="str">
        <f>_xlfn.XLOOKUP(Table26[[#This Row],[XPATHS]],Table610119[&lt;&lt;NOLA_Exchange&gt;&gt;
Booking],Table610119[python script],"")</f>
        <v/>
      </c>
      <c r="D139" s="33" t="str">
        <f>_xlfn.XLOOKUP(Table26[[#This Row],[XPATHS]],Table610119[&lt;&lt;NOLA_Exchange&gt;&gt;
Booking],Table610119['#],"")</f>
        <v/>
      </c>
    </row>
    <row r="140" spans="1:4" x14ac:dyDescent="0.3">
      <c r="A140" s="33" t="str">
        <f t="shared" si="2"/>
        <v>139book_xpath</v>
      </c>
      <c r="B140" s="33" t="s">
        <v>3160</v>
      </c>
      <c r="C140" s="33" t="str">
        <f>_xlfn.XLOOKUP(Table26[[#This Row],[XPATHS]],Table610119[&lt;&lt;NOLA_Exchange&gt;&gt;
Booking],Table610119[python script],"")</f>
        <v/>
      </c>
      <c r="D140" s="33" t="str">
        <f>_xlfn.XLOOKUP(Table26[[#This Row],[XPATHS]],Table610119[&lt;&lt;NOLA_Exchange&gt;&gt;
Booking],Table610119['#],"")</f>
        <v/>
      </c>
    </row>
    <row r="141" spans="1:4" x14ac:dyDescent="0.3">
      <c r="A141" s="33" t="str">
        <f t="shared" si="2"/>
        <v>140book_xpath</v>
      </c>
      <c r="B141" s="33" t="s">
        <v>3161</v>
      </c>
      <c r="C141" s="33" t="str">
        <f>_xlfn.XLOOKUP(Table26[[#This Row],[XPATHS]],Table610119[&lt;&lt;NOLA_Exchange&gt;&gt;
Booking],Table610119[python script],"")</f>
        <v/>
      </c>
      <c r="D141" s="33" t="str">
        <f>_xlfn.XLOOKUP(Table26[[#This Row],[XPATHS]],Table610119[&lt;&lt;NOLA_Exchange&gt;&gt;
Booking],Table610119['#],"")</f>
        <v/>
      </c>
    </row>
    <row r="142" spans="1:4" x14ac:dyDescent="0.3">
      <c r="A142" s="33" t="str">
        <f t="shared" si="2"/>
        <v>141book_xpath</v>
      </c>
      <c r="B142" s="33" t="s">
        <v>3162</v>
      </c>
      <c r="C142" s="33" t="str">
        <f>_xlfn.XLOOKUP(Table26[[#This Row],[XPATHS]],Table610119[&lt;&lt;NOLA_Exchange&gt;&gt;
Booking],Table610119[python script],"")</f>
        <v/>
      </c>
      <c r="D142" s="33" t="str">
        <f>_xlfn.XLOOKUP(Table26[[#This Row],[XPATHS]],Table610119[&lt;&lt;NOLA_Exchange&gt;&gt;
Booking],Table610119['#],"")</f>
        <v/>
      </c>
    </row>
    <row r="143" spans="1:4" x14ac:dyDescent="0.3">
      <c r="A143" s="33" t="str">
        <f t="shared" si="2"/>
        <v>142book_xpath</v>
      </c>
      <c r="B143" s="33" t="s">
        <v>3163</v>
      </c>
      <c r="C143" s="33" t="str">
        <f>_xlfn.XLOOKUP(Table26[[#This Row],[XPATHS]],Table610119[&lt;&lt;NOLA_Exchange&gt;&gt;
Booking],Table610119[python script],"")</f>
        <v/>
      </c>
      <c r="D143" s="33" t="str">
        <f>_xlfn.XLOOKUP(Table26[[#This Row],[XPATHS]],Table610119[&lt;&lt;NOLA_Exchange&gt;&gt;
Booking],Table610119['#],"")</f>
        <v/>
      </c>
    </row>
    <row r="144" spans="1:4" x14ac:dyDescent="0.3">
      <c r="A144" s="33" t="str">
        <f t="shared" si="2"/>
        <v>143book_xpath</v>
      </c>
      <c r="B144" s="33" t="s">
        <v>3164</v>
      </c>
      <c r="C144" s="33" t="str">
        <f>_xlfn.XLOOKUP(Table26[[#This Row],[XPATHS]],Table610119[&lt;&lt;NOLA_Exchange&gt;&gt;
Booking],Table610119[python script],"")</f>
        <v/>
      </c>
      <c r="D144" s="33" t="str">
        <f>_xlfn.XLOOKUP(Table26[[#This Row],[XPATHS]],Table610119[&lt;&lt;NOLA_Exchange&gt;&gt;
Booking],Table610119['#],"")</f>
        <v/>
      </c>
    </row>
    <row r="145" spans="1:4" x14ac:dyDescent="0.3">
      <c r="A145" s="33" t="str">
        <f t="shared" si="2"/>
        <v>144book_xpath</v>
      </c>
      <c r="B145" s="33" t="s">
        <v>3165</v>
      </c>
      <c r="C145" s="33" t="str">
        <f>_xlfn.XLOOKUP(Table26[[#This Row],[XPATHS]],Table610119[&lt;&lt;NOLA_Exchange&gt;&gt;
Booking],Table610119[python script],"")</f>
        <v/>
      </c>
      <c r="D145" s="33" t="str">
        <f>_xlfn.XLOOKUP(Table26[[#This Row],[XPATHS]],Table610119[&lt;&lt;NOLA_Exchange&gt;&gt;
Booking],Table610119['#],"")</f>
        <v/>
      </c>
    </row>
    <row r="146" spans="1:4" x14ac:dyDescent="0.3">
      <c r="A146" s="33" t="str">
        <f t="shared" si="2"/>
        <v>145book_xpath</v>
      </c>
      <c r="B146" s="33" t="s">
        <v>3166</v>
      </c>
      <c r="C146" s="33" t="str">
        <f>_xlfn.XLOOKUP(Table26[[#This Row],[XPATHS]],Table610119[&lt;&lt;NOLA_Exchange&gt;&gt;
Booking],Table610119[python script],"")</f>
        <v/>
      </c>
      <c r="D146" s="33" t="str">
        <f>_xlfn.XLOOKUP(Table26[[#This Row],[XPATHS]],Table610119[&lt;&lt;NOLA_Exchange&gt;&gt;
Booking],Table610119['#],"")</f>
        <v/>
      </c>
    </row>
    <row r="147" spans="1:4" x14ac:dyDescent="0.3">
      <c r="A147" s="33" t="str">
        <f t="shared" si="2"/>
        <v>146book_xpath</v>
      </c>
      <c r="B147" s="33" t="s">
        <v>3167</v>
      </c>
      <c r="C147" s="33" t="str">
        <f>_xlfn.XLOOKUP(Table26[[#This Row],[XPATHS]],Table610119[&lt;&lt;NOLA_Exchange&gt;&gt;
Booking],Table610119[python script],"")</f>
        <v/>
      </c>
      <c r="D147" s="33" t="str">
        <f>_xlfn.XLOOKUP(Table26[[#This Row],[XPATHS]],Table610119[&lt;&lt;NOLA_Exchange&gt;&gt;
Booking],Table610119['#],"")</f>
        <v/>
      </c>
    </row>
    <row r="148" spans="1:4" x14ac:dyDescent="0.3">
      <c r="A148" s="33" t="str">
        <f t="shared" si="2"/>
        <v>147book_xpath</v>
      </c>
      <c r="B148" s="33" t="s">
        <v>3168</v>
      </c>
      <c r="C148" s="33" t="str">
        <f>_xlfn.XLOOKUP(Table26[[#This Row],[XPATHS]],Table610119[&lt;&lt;NOLA_Exchange&gt;&gt;
Booking],Table610119[python script],"")</f>
        <v/>
      </c>
      <c r="D148" s="33" t="str">
        <f>_xlfn.XLOOKUP(Table26[[#This Row],[XPATHS]],Table610119[&lt;&lt;NOLA_Exchange&gt;&gt;
Booking],Table610119['#],"")</f>
        <v/>
      </c>
    </row>
    <row r="149" spans="1:4" x14ac:dyDescent="0.3">
      <c r="A149" s="33" t="str">
        <f t="shared" si="2"/>
        <v>148book_xpath</v>
      </c>
      <c r="B149" s="33" t="s">
        <v>3169</v>
      </c>
      <c r="C149" s="33" t="str">
        <f>_xlfn.XLOOKUP(Table26[[#This Row],[XPATHS]],Table610119[&lt;&lt;NOLA_Exchange&gt;&gt;
Booking],Table610119[python script],"")</f>
        <v/>
      </c>
      <c r="D149" s="33" t="str">
        <f>_xlfn.XLOOKUP(Table26[[#This Row],[XPATHS]],Table610119[&lt;&lt;NOLA_Exchange&gt;&gt;
Booking],Table610119['#],"")</f>
        <v/>
      </c>
    </row>
    <row r="150" spans="1:4" x14ac:dyDescent="0.3">
      <c r="A150" s="33" t="str">
        <f t="shared" si="2"/>
        <v>149book_xpath</v>
      </c>
      <c r="B150" s="33" t="s">
        <v>3170</v>
      </c>
      <c r="C150" s="33" t="str">
        <f>_xlfn.XLOOKUP(Table26[[#This Row],[XPATHS]],Table610119[&lt;&lt;NOLA_Exchange&gt;&gt;
Booking],Table610119[python script],"")</f>
        <v/>
      </c>
      <c r="D150" s="33" t="str">
        <f>_xlfn.XLOOKUP(Table26[[#This Row],[XPATHS]],Table610119[&lt;&lt;NOLA_Exchange&gt;&gt;
Booking],Table610119['#],"")</f>
        <v/>
      </c>
    </row>
    <row r="151" spans="1:4" x14ac:dyDescent="0.3">
      <c r="A151" s="33" t="str">
        <f t="shared" si="2"/>
        <v>150book_xpath</v>
      </c>
      <c r="B151" s="33" t="s">
        <v>3171</v>
      </c>
      <c r="C151" s="33" t="str">
        <f>_xlfn.XLOOKUP(Table26[[#This Row],[XPATHS]],Table610119[&lt;&lt;NOLA_Exchange&gt;&gt;
Booking],Table610119[python script],"")</f>
        <v/>
      </c>
      <c r="D151" s="33" t="str">
        <f>_xlfn.XLOOKUP(Table26[[#This Row],[XPATHS]],Table610119[&lt;&lt;NOLA_Exchange&gt;&gt;
Booking],Table610119['#],"")</f>
        <v/>
      </c>
    </row>
    <row r="152" spans="1:4" x14ac:dyDescent="0.3">
      <c r="A152" s="33" t="str">
        <f t="shared" si="2"/>
        <v>151book_xpath</v>
      </c>
      <c r="B152" s="33" t="s">
        <v>2270</v>
      </c>
      <c r="C152" s="33" t="str">
        <f>_xlfn.XLOOKUP(Table26[[#This Row],[XPATHS]],Table610119[&lt;&lt;NOLA_Exchange&gt;&gt;
Booking],Table610119[python script],"")</f>
        <v/>
      </c>
      <c r="D152" s="33" t="str">
        <f>_xlfn.XLOOKUP(Table26[[#This Row],[XPATHS]],Table610119[&lt;&lt;NOLA_Exchange&gt;&gt;
Booking],Table610119['#],"")</f>
        <v/>
      </c>
    </row>
    <row r="153" spans="1:4" x14ac:dyDescent="0.3">
      <c r="A153" s="33" t="str">
        <f t="shared" si="2"/>
        <v>152book_xpath</v>
      </c>
      <c r="B153" s="33" t="s">
        <v>3172</v>
      </c>
      <c r="C153" s="33" t="str">
        <f>_xlfn.XLOOKUP(Table26[[#This Row],[XPATHS]],Table610119[&lt;&lt;NOLA_Exchange&gt;&gt;
Booking],Table610119[python script],"")</f>
        <v/>
      </c>
      <c r="D153" s="33" t="str">
        <f>_xlfn.XLOOKUP(Table26[[#This Row],[XPATHS]],Table610119[&lt;&lt;NOLA_Exchange&gt;&gt;
Booking],Table610119['#],"")</f>
        <v/>
      </c>
    </row>
    <row r="154" spans="1:4" x14ac:dyDescent="0.3">
      <c r="A154" s="33" t="str">
        <f t="shared" si="2"/>
        <v>153book_xpath</v>
      </c>
      <c r="B154" s="33" t="s">
        <v>628</v>
      </c>
      <c r="C154" s="33" t="str">
        <f>_xlfn.XLOOKUP(Table26[[#This Row],[XPATHS]],Table610119[&lt;&lt;NOLA_Exchange&gt;&gt;
Booking],Table610119[python script],"")</f>
        <v>"IDEMPR": "/j:Booking/j:BookingSubject/RoleOfPerson/nola-ext:PersonAugmentation/PersonEmploymentAssociation/Employer/hs:EmployerAugmentation/hs:EmployerName",</v>
      </c>
      <c r="D154" s="33" t="str">
        <f>_xlfn.XLOOKUP(Table26[[#This Row],[XPATHS]],Table610119[&lt;&lt;NOLA_Exchange&gt;&gt;
Booking],Table610119['#],"")</f>
        <v>60expanded_IMARRD_sorted</v>
      </c>
    </row>
    <row r="155" spans="1:4" x14ac:dyDescent="0.3">
      <c r="A155" s="33" t="str">
        <f t="shared" si="2"/>
        <v>154book_xpath</v>
      </c>
      <c r="B155" s="33" t="s">
        <v>641</v>
      </c>
      <c r="C155" s="33" t="str">
        <f>_xlfn.XLOOKUP(Table26[[#This Row],[XPATHS]],Table610119[&lt;&lt;NOLA_Exchange&gt;&gt;
Booking],Table610119[python script],"")</f>
        <v>"IDOCUP": "/j:Booking/j:BookingSubject/RoleOfPerson/nola-ext:PersonAugmentation/PersonEmploymentAssociation/EmployeeOccupationText",</v>
      </c>
      <c r="D155" s="33" t="str">
        <f>_xlfn.XLOOKUP(Table26[[#This Row],[XPATHS]],Table610119[&lt;&lt;NOLA_Exchange&gt;&gt;
Booking],Table610119['#],"")</f>
        <v>61expanded_IMARRD_sorted</v>
      </c>
    </row>
    <row r="156" spans="1:4" x14ac:dyDescent="0.3">
      <c r="A156" s="33" t="str">
        <f t="shared" si="2"/>
        <v>155book_xpath</v>
      </c>
      <c r="B156" s="33" t="s">
        <v>912</v>
      </c>
      <c r="C156" s="33" t="str">
        <f>_xlfn.XLOOKUP(Table26[[#This Row],[XPATHS]],Table610119[&lt;&lt;NOLA_Exchange&gt;&gt;
Booking],Table610119[python script],"")</f>
        <v>"IDCCNO": "/j:Booking/j:BookingSubject/RoleOfPerson/nola-ext:PersonAugmentation/nola-ext:PersonComputerControlIdentifier",</v>
      </c>
      <c r="D156" s="33" t="str">
        <f>_xlfn.XLOOKUP(Table26[[#This Row],[XPATHS]],Table610119[&lt;&lt;NOLA_Exchange&gt;&gt;
Booking],Table610119['#],"")</f>
        <v>76expanded_IMARRD_sorted</v>
      </c>
    </row>
    <row r="157" spans="1:4" x14ac:dyDescent="0.3">
      <c r="A157" s="33" t="str">
        <f t="shared" si="2"/>
        <v>156book_xpath</v>
      </c>
      <c r="B157" s="33" t="s">
        <v>2146</v>
      </c>
      <c r="C157" s="33" t="str">
        <f>_xlfn.XLOOKUP(Table26[[#This Row],[XPATHS]],Table610119[&lt;&lt;NOLA_Exchange&gt;&gt;
Booking],Table610119[python script],"")</f>
        <v/>
      </c>
      <c r="D157" s="33" t="str">
        <f>_xlfn.XLOOKUP(Table26[[#This Row],[XPATHS]],Table610119[&lt;&lt;NOLA_Exchange&gt;&gt;
Booking],Table610119['#],"")</f>
        <v/>
      </c>
    </row>
    <row r="158" spans="1:4" x14ac:dyDescent="0.3">
      <c r="A158" s="33" t="str">
        <f t="shared" si="2"/>
        <v>157book_xpath</v>
      </c>
      <c r="B158" s="33" t="s">
        <v>3173</v>
      </c>
      <c r="C158" s="33" t="str">
        <f>_xlfn.XLOOKUP(Table26[[#This Row],[XPATHS]],Table610119[&lt;&lt;NOLA_Exchange&gt;&gt;
Booking],Table610119[python script],"")</f>
        <v/>
      </c>
      <c r="D158" s="33" t="str">
        <f>_xlfn.XLOOKUP(Table26[[#This Row],[XPATHS]],Table610119[&lt;&lt;NOLA_Exchange&gt;&gt;
Booking],Table610119['#],"")</f>
        <v/>
      </c>
    </row>
    <row r="159" spans="1:4" x14ac:dyDescent="0.3">
      <c r="A159" s="33" t="str">
        <f t="shared" si="2"/>
        <v>158book_xpath</v>
      </c>
      <c r="B159" s="33" t="s">
        <v>3174</v>
      </c>
      <c r="C159" s="33" t="str">
        <f>_xlfn.XLOOKUP(Table26[[#This Row],[XPATHS]],Table610119[&lt;&lt;NOLA_Exchange&gt;&gt;
Booking],Table610119[python script],"")</f>
        <v/>
      </c>
      <c r="D159" s="33" t="str">
        <f>_xlfn.XLOOKUP(Table26[[#This Row],[XPATHS]],Table610119[&lt;&lt;NOLA_Exchange&gt;&gt;
Booking],Table610119['#],"")</f>
        <v/>
      </c>
    </row>
    <row r="160" spans="1:4" x14ac:dyDescent="0.3">
      <c r="A160" s="33" t="str">
        <f t="shared" si="2"/>
        <v>159book_xpath</v>
      </c>
      <c r="B160" s="33" t="s">
        <v>3175</v>
      </c>
      <c r="C160" s="33" t="str">
        <f>_xlfn.XLOOKUP(Table26[[#This Row],[XPATHS]],Table610119[&lt;&lt;NOLA_Exchange&gt;&gt;
Booking],Table610119[python script],"")</f>
        <v/>
      </c>
      <c r="D160" s="33" t="str">
        <f>_xlfn.XLOOKUP(Table26[[#This Row],[XPATHS]],Table610119[&lt;&lt;NOLA_Exchange&gt;&gt;
Booking],Table610119['#],"")</f>
        <v/>
      </c>
    </row>
    <row r="161" spans="1:4" x14ac:dyDescent="0.3">
      <c r="A161" s="33" t="str">
        <f t="shared" si="2"/>
        <v>160book_xpath</v>
      </c>
      <c r="B161" s="33" t="s">
        <v>584</v>
      </c>
      <c r="C161" s="33" t="str">
        <f>_xlfn.XLOOKUP(Table26[[#This Row],[XPATHS]],Table610119[&lt;&lt;NOLA_Exchange&gt;&gt;
Booking],Table610119[python script],"")</f>
        <v>"IDLICN": "/j:Booking/j:BookingSubject/RoleOfPerson/j:PersonAugmentation/j:DriverLicense/j:DriverLicenseCardIdentification/IdentificationID",</v>
      </c>
      <c r="D161" s="33" t="str">
        <f>_xlfn.XLOOKUP(Table26[[#This Row],[XPATHS]],Table610119[&lt;&lt;NOLA_Exchange&gt;&gt;
Booking],Table610119['#],"")</f>
        <v>57expanded_IMARRD_sorted</v>
      </c>
    </row>
    <row r="162" spans="1:4" x14ac:dyDescent="0.3">
      <c r="A162" s="33" t="str">
        <f t="shared" si="2"/>
        <v>161book_xpath</v>
      </c>
      <c r="B162" s="33" t="s">
        <v>3176</v>
      </c>
      <c r="C162" s="33" t="str">
        <f>_xlfn.XLOOKUP(Table26[[#This Row],[XPATHS]],Table610119[&lt;&lt;NOLA_Exchange&gt;&gt;
Booking],Table610119[python script],"")</f>
        <v/>
      </c>
      <c r="D162" s="33" t="str">
        <f>_xlfn.XLOOKUP(Table26[[#This Row],[XPATHS]],Table610119[&lt;&lt;NOLA_Exchange&gt;&gt;
Booking],Table610119['#],"")</f>
        <v/>
      </c>
    </row>
    <row r="163" spans="1:4" x14ac:dyDescent="0.3">
      <c r="A163" s="33" t="str">
        <f t="shared" si="2"/>
        <v>162book_xpath</v>
      </c>
      <c r="B163" s="33" t="s">
        <v>3177</v>
      </c>
      <c r="C163" s="33" t="str">
        <f>_xlfn.XLOOKUP(Table26[[#This Row],[XPATHS]],Table610119[&lt;&lt;NOLA_Exchange&gt;&gt;
Booking],Table610119[python script],"")</f>
        <v/>
      </c>
      <c r="D163" s="33" t="str">
        <f>_xlfn.XLOOKUP(Table26[[#This Row],[XPATHS]],Table610119[&lt;&lt;NOLA_Exchange&gt;&gt;
Booking],Table610119['#],"")</f>
        <v/>
      </c>
    </row>
    <row r="164" spans="1:4" x14ac:dyDescent="0.3">
      <c r="A164" s="33" t="str">
        <f t="shared" si="2"/>
        <v>163book_xpath</v>
      </c>
      <c r="B164" s="33" t="s">
        <v>3178</v>
      </c>
      <c r="C164" s="33" t="str">
        <f>_xlfn.XLOOKUP(Table26[[#This Row],[XPATHS]],Table610119[&lt;&lt;NOLA_Exchange&gt;&gt;
Booking],Table610119[python script],"")</f>
        <v/>
      </c>
      <c r="D164" s="33" t="str">
        <f>_xlfn.XLOOKUP(Table26[[#This Row],[XPATHS]],Table610119[&lt;&lt;NOLA_Exchange&gt;&gt;
Booking],Table610119['#],"")</f>
        <v/>
      </c>
    </row>
    <row r="165" spans="1:4" x14ac:dyDescent="0.3">
      <c r="A165" s="33" t="str">
        <f t="shared" si="2"/>
        <v>164book_xpath</v>
      </c>
      <c r="B165" s="33" t="s">
        <v>3179</v>
      </c>
      <c r="C165" s="33" t="str">
        <f>_xlfn.XLOOKUP(Table26[[#This Row],[XPATHS]],Table610119[&lt;&lt;NOLA_Exchange&gt;&gt;
Booking],Table610119[python script],"")</f>
        <v/>
      </c>
      <c r="D165" s="33" t="str">
        <f>_xlfn.XLOOKUP(Table26[[#This Row],[XPATHS]],Table610119[&lt;&lt;NOLA_Exchange&gt;&gt;
Booking],Table610119['#],"")</f>
        <v/>
      </c>
    </row>
    <row r="166" spans="1:4" x14ac:dyDescent="0.3">
      <c r="A166" s="33" t="str">
        <f t="shared" si="2"/>
        <v>165book_xpath</v>
      </c>
      <c r="B166" s="49" t="s">
        <v>197</v>
      </c>
      <c r="C166" s="33" t="str">
        <f>_xlfn.XLOOKUP(Table26[[#This Row],[XPATHS]],Table610119[&lt;&lt;NOLA_Exchange&gt;&gt;
Booking],Table610119[python script],"")</f>
        <v>"IDSTCDL": "/j:Booking/j:BookingSubject/RoleOfPerson/j:PersonAugmentation/j:DriverLicense/j:DriverLicenseCardIdentification/IdentificationJurisdiction/JurisdictionLocation/Address/AddressState/ncic:StateUSCode",</v>
      </c>
      <c r="D166" s="33" t="str">
        <f>_xlfn.XLOOKUP(Table26[[#This Row],[XPATHS]],Table610119[&lt;&lt;NOLA_Exchange&gt;&gt;
Booking],Table610119['#],"")</f>
        <v>58expanded_IMARRD_sorted</v>
      </c>
    </row>
    <row r="167" spans="1:4" x14ac:dyDescent="0.3">
      <c r="A167" s="33" t="str">
        <f t="shared" si="2"/>
        <v>166book_xpath</v>
      </c>
      <c r="B167" s="33" t="s">
        <v>3180</v>
      </c>
      <c r="C167" s="33" t="str">
        <f>_xlfn.XLOOKUP(Table26[[#This Row],[XPATHS]],Table610119[&lt;&lt;NOLA_Exchange&gt;&gt;
Booking],Table610119[python script],"")</f>
        <v/>
      </c>
      <c r="D167" s="33" t="str">
        <f>_xlfn.XLOOKUP(Table26[[#This Row],[XPATHS]],Table610119[&lt;&lt;NOLA_Exchange&gt;&gt;
Booking],Table610119['#],"")</f>
        <v/>
      </c>
    </row>
    <row r="168" spans="1:4" x14ac:dyDescent="0.3">
      <c r="A168" s="33" t="str">
        <f t="shared" si="2"/>
        <v>167book_xpath</v>
      </c>
      <c r="B168" s="33" t="s">
        <v>2235</v>
      </c>
      <c r="C168" s="33" t="str">
        <f>_xlfn.XLOOKUP(Table26[[#This Row],[XPATHS]],Table610119[&lt;&lt;NOLA_Exchange&gt;&gt;
Booking],Table610119[python script],"")</f>
        <v>"IDLICY": "/j:Booking/j:BookingSubject/RoleOfPerson/j:PersonAugmentation/j:DriverLicense/j:DriverLicenseCardIdentification/IdentificationExpirationDate/YearDate",</v>
      </c>
      <c r="D168" s="33" t="str">
        <f>_xlfn.XLOOKUP(Table26[[#This Row],[XPATHS]],Table610119[&lt;&lt;NOLA_Exchange&gt;&gt;
Booking],Table610119['#],"")</f>
        <v>59expanded_IMARRD_sorted</v>
      </c>
    </row>
    <row r="169" spans="1:4" x14ac:dyDescent="0.3">
      <c r="A169" s="33" t="str">
        <f t="shared" si="2"/>
        <v>168book_xpath</v>
      </c>
      <c r="B169" s="33" t="s">
        <v>3181</v>
      </c>
      <c r="C169" s="33" t="str">
        <f>_xlfn.XLOOKUP(Table26[[#This Row],[XPATHS]],Table610119[&lt;&lt;NOLA_Exchange&gt;&gt;
Booking],Table610119[python script],"")</f>
        <v/>
      </c>
      <c r="D169" s="33" t="str">
        <f>_xlfn.XLOOKUP(Table26[[#This Row],[XPATHS]],Table610119[&lt;&lt;NOLA_Exchange&gt;&gt;
Booking],Table610119['#],"")</f>
        <v/>
      </c>
    </row>
    <row r="170" spans="1:4" x14ac:dyDescent="0.3">
      <c r="A170" s="33" t="str">
        <f t="shared" si="2"/>
        <v>169book_xpath</v>
      </c>
      <c r="B170" s="33" t="s">
        <v>900</v>
      </c>
      <c r="C170" s="33" t="str">
        <f>_xlfn.XLOOKUP(Table26[[#This Row],[XPATHS]],Table610119[&lt;&lt;NOLA_Exchange&gt;&gt;
Booking],Table610119[python script],"")</f>
        <v>"IDFBIN": "/j:Booking/j:BookingSubject/RoleOfPerson/j:PersonAugmentation/j:PersonFBIIdentification/IdentificationID",</v>
      </c>
      <c r="D170" s="33" t="str">
        <f>_xlfn.XLOOKUP(Table26[[#This Row],[XPATHS]],Table610119[&lt;&lt;NOLA_Exchange&gt;&gt;
Booking],Table610119['#],"")</f>
        <v>75expanded_IMARRD_sorted</v>
      </c>
    </row>
    <row r="171" spans="1:4" x14ac:dyDescent="0.3">
      <c r="A171" s="33" t="str">
        <f t="shared" si="2"/>
        <v>170book_xpath</v>
      </c>
      <c r="B171" s="33" t="s">
        <v>3182</v>
      </c>
      <c r="C171" s="33" t="str">
        <f>_xlfn.XLOOKUP(Table26[[#This Row],[XPATHS]],Table610119[&lt;&lt;NOLA_Exchange&gt;&gt;
Booking],Table610119[python script],"")</f>
        <v/>
      </c>
      <c r="D171" s="33" t="str">
        <f>_xlfn.XLOOKUP(Table26[[#This Row],[XPATHS]],Table610119[&lt;&lt;NOLA_Exchange&gt;&gt;
Booking],Table610119['#],"")</f>
        <v/>
      </c>
    </row>
    <row r="172" spans="1:4" x14ac:dyDescent="0.3">
      <c r="A172" s="33" t="str">
        <f t="shared" si="2"/>
        <v>171book_xpath</v>
      </c>
      <c r="B172" s="33" t="s">
        <v>3183</v>
      </c>
      <c r="C172" s="33" t="str">
        <f>_xlfn.XLOOKUP(Table26[[#This Row],[XPATHS]],Table610119[&lt;&lt;NOLA_Exchange&gt;&gt;
Booking],Table610119[python script],"")</f>
        <v/>
      </c>
      <c r="D172" s="33" t="str">
        <f>_xlfn.XLOOKUP(Table26[[#This Row],[XPATHS]],Table610119[&lt;&lt;NOLA_Exchange&gt;&gt;
Booking],Table610119['#],"")</f>
        <v/>
      </c>
    </row>
    <row r="173" spans="1:4" x14ac:dyDescent="0.3">
      <c r="A173" s="33" t="str">
        <f t="shared" si="2"/>
        <v>172book_xpath</v>
      </c>
      <c r="B173" s="33" t="s">
        <v>3184</v>
      </c>
      <c r="C173" s="33" t="str">
        <f>_xlfn.XLOOKUP(Table26[[#This Row],[XPATHS]],Table610119[&lt;&lt;NOLA_Exchange&gt;&gt;
Booking],Table610119[python script],"")</f>
        <v/>
      </c>
      <c r="D173" s="33" t="str">
        <f>_xlfn.XLOOKUP(Table26[[#This Row],[XPATHS]],Table610119[&lt;&lt;NOLA_Exchange&gt;&gt;
Booking],Table610119['#],"")</f>
        <v/>
      </c>
    </row>
    <row r="174" spans="1:4" x14ac:dyDescent="0.3">
      <c r="A174" s="33" t="str">
        <f t="shared" si="2"/>
        <v>173book_xpath</v>
      </c>
      <c r="B174" s="33" t="s">
        <v>3185</v>
      </c>
      <c r="C174" s="33" t="str">
        <f>_xlfn.XLOOKUP(Table26[[#This Row],[XPATHS]],Table610119[&lt;&lt;NOLA_Exchange&gt;&gt;
Booking],Table610119[python script],"")</f>
        <v/>
      </c>
      <c r="D174" s="33" t="str">
        <f>_xlfn.XLOOKUP(Table26[[#This Row],[XPATHS]],Table610119[&lt;&lt;NOLA_Exchange&gt;&gt;
Booking],Table610119['#],"")</f>
        <v/>
      </c>
    </row>
    <row r="175" spans="1:4" x14ac:dyDescent="0.3">
      <c r="A175" s="33" t="str">
        <f t="shared" si="2"/>
        <v>174book_xpath</v>
      </c>
      <c r="B175" s="33" t="s">
        <v>51</v>
      </c>
      <c r="C175" s="33" t="str">
        <f>_xlfn.XLOOKUP(Table26[[#This Row],[XPATHS]],Table610119[&lt;&lt;NOLA_Exchange&gt;&gt;
Booking],Table610119[python script],"")</f>
        <v/>
      </c>
      <c r="D175" s="33" t="str">
        <f>_xlfn.XLOOKUP(Table26[[#This Row],[XPATHS]],Table610119[&lt;&lt;NOLA_Exchange&gt;&gt;
Booking],Table610119['#],"")</f>
        <v/>
      </c>
    </row>
    <row r="176" spans="1:4" x14ac:dyDescent="0.3">
      <c r="A176" s="33" t="str">
        <f t="shared" si="2"/>
        <v>175book_xpath</v>
      </c>
      <c r="B176" s="33" t="s">
        <v>140</v>
      </c>
      <c r="C176" s="33" t="str">
        <f>_xlfn.XLOOKUP(Table26[[#This Row],[XPATHS]],Table610119[&lt;&lt;NOLA_Exchange&gt;&gt;
Booking],Table610119[python script],"")</f>
        <v/>
      </c>
      <c r="D176" s="33" t="str">
        <f>_xlfn.XLOOKUP(Table26[[#This Row],[XPATHS]],Table610119[&lt;&lt;NOLA_Exchange&gt;&gt;
Booking],Table610119['#],"")</f>
        <v/>
      </c>
    </row>
    <row r="177" spans="1:4" x14ac:dyDescent="0.3">
      <c r="A177" s="33" t="str">
        <f t="shared" si="2"/>
        <v>176book_xpath</v>
      </c>
      <c r="B177" s="33" t="s">
        <v>3186</v>
      </c>
      <c r="C177" s="33" t="str">
        <f>_xlfn.XLOOKUP(Table26[[#This Row],[XPATHS]],Table610119[&lt;&lt;NOLA_Exchange&gt;&gt;
Booking],Table610119[python script],"")</f>
        <v/>
      </c>
      <c r="D177" s="33" t="str">
        <f>_xlfn.XLOOKUP(Table26[[#This Row],[XPATHS]],Table610119[&lt;&lt;NOLA_Exchange&gt;&gt;
Booking],Table610119['#],"")</f>
        <v/>
      </c>
    </row>
    <row r="178" spans="1:4" x14ac:dyDescent="0.3">
      <c r="A178" s="33" t="str">
        <f t="shared" si="2"/>
        <v>177book_xpath</v>
      </c>
      <c r="B178" s="33" t="s">
        <v>218</v>
      </c>
      <c r="C178" s="33" t="str">
        <f>_xlfn.XLOOKUP(Table26[[#This Row],[XPATHS]],Table610119[&lt;&lt;NOLA_Exchange&gt;&gt;
Booking],Table610119[python script],"")</f>
        <v/>
      </c>
      <c r="D178" s="33" t="str">
        <f>_xlfn.XLOOKUP(Table26[[#This Row],[XPATHS]],Table610119[&lt;&lt;NOLA_Exchange&gt;&gt;
Booking],Table610119['#],"")</f>
        <v/>
      </c>
    </row>
    <row r="179" spans="1:4" x14ac:dyDescent="0.3">
      <c r="A179" s="33" t="str">
        <f t="shared" si="2"/>
        <v>178book_xpath</v>
      </c>
      <c r="B179" s="33" t="s">
        <v>266</v>
      </c>
      <c r="C179" s="33" t="str">
        <f>_xlfn.XLOOKUP(Table26[[#This Row],[XPATHS]],Table610119[&lt;&lt;NOLA_Exchange&gt;&gt;
Booking],Table610119[python script],"")</f>
        <v/>
      </c>
      <c r="D179" s="33" t="str">
        <f>_xlfn.XLOOKUP(Table26[[#This Row],[XPATHS]],Table610119[&lt;&lt;NOLA_Exchange&gt;&gt;
Booking],Table610119['#],"")</f>
        <v/>
      </c>
    </row>
    <row r="180" spans="1:4" x14ac:dyDescent="0.3">
      <c r="A180" s="33" t="str">
        <f t="shared" si="2"/>
        <v>179book_xpath</v>
      </c>
      <c r="B180" s="33" t="s">
        <v>3187</v>
      </c>
      <c r="C180" s="33" t="str">
        <f>_xlfn.XLOOKUP(Table26[[#This Row],[XPATHS]],Table610119[&lt;&lt;NOLA_Exchange&gt;&gt;
Booking],Table610119[python script],"")</f>
        <v/>
      </c>
      <c r="D180" s="33" t="str">
        <f>_xlfn.XLOOKUP(Table26[[#This Row],[XPATHS]],Table610119[&lt;&lt;NOLA_Exchange&gt;&gt;
Booking],Table610119['#],"")</f>
        <v/>
      </c>
    </row>
    <row r="181" spans="1:4" x14ac:dyDescent="0.3">
      <c r="A181" s="33" t="str">
        <f t="shared" si="2"/>
        <v>180book_xpath</v>
      </c>
      <c r="B181" s="33" t="s">
        <v>297</v>
      </c>
      <c r="C181" s="33" t="str">
        <f>_xlfn.XLOOKUP(Table26[[#This Row],[XPATHS]],Table610119[&lt;&lt;NOLA_Exchange&gt;&gt;
Booking],Table610119[python script],"")</f>
        <v/>
      </c>
      <c r="D181" s="33" t="str">
        <f>_xlfn.XLOOKUP(Table26[[#This Row],[XPATHS]],Table610119[&lt;&lt;NOLA_Exchange&gt;&gt;
Booking],Table610119['#],"")</f>
        <v/>
      </c>
    </row>
    <row r="182" spans="1:4" x14ac:dyDescent="0.3">
      <c r="A182" s="33" t="str">
        <f t="shared" si="2"/>
        <v>181book_xpath</v>
      </c>
      <c r="B182" s="33" t="s">
        <v>234</v>
      </c>
      <c r="C182" s="33" t="str">
        <f>_xlfn.XLOOKUP(Table26[[#This Row],[XPATHS]],Table610119[&lt;&lt;NOLA_Exchange&gt;&gt;
Booking],Table610119[python script],"")</f>
        <v/>
      </c>
      <c r="D182" s="33" t="str">
        <f>_xlfn.XLOOKUP(Table26[[#This Row],[XPATHS]],Table610119[&lt;&lt;NOLA_Exchange&gt;&gt;
Booking],Table610119['#],"")</f>
        <v/>
      </c>
    </row>
    <row r="183" spans="1:4" x14ac:dyDescent="0.3">
      <c r="A183" s="33" t="str">
        <f t="shared" si="2"/>
        <v>182book_xpath</v>
      </c>
      <c r="B183" s="33" t="s">
        <v>3188</v>
      </c>
      <c r="C183" s="33" t="str">
        <f>_xlfn.XLOOKUP(Table26[[#This Row],[XPATHS]],Table610119[&lt;&lt;NOLA_Exchange&gt;&gt;
Booking],Table610119[python script],"")</f>
        <v/>
      </c>
      <c r="D183" s="33" t="str">
        <f>_xlfn.XLOOKUP(Table26[[#This Row],[XPATHS]],Table610119[&lt;&lt;NOLA_Exchange&gt;&gt;
Booking],Table610119['#],"")</f>
        <v/>
      </c>
    </row>
    <row r="184" spans="1:4" x14ac:dyDescent="0.3">
      <c r="A184" s="33" t="str">
        <f t="shared" si="2"/>
        <v>183book_xpath</v>
      </c>
      <c r="B184" s="33" t="s">
        <v>316</v>
      </c>
      <c r="C184" s="33" t="str">
        <f>_xlfn.XLOOKUP(Table26[[#This Row],[XPATHS]],Table610119[&lt;&lt;NOLA_Exchange&gt;&gt;
Booking],Table610119[python script],"")</f>
        <v/>
      </c>
      <c r="D184" s="33" t="str">
        <f>_xlfn.XLOOKUP(Table26[[#This Row],[XPATHS]],Table610119[&lt;&lt;NOLA_Exchange&gt;&gt;
Booking],Table610119['#],"")</f>
        <v/>
      </c>
    </row>
    <row r="185" spans="1:4" x14ac:dyDescent="0.3">
      <c r="A185" s="33" t="str">
        <f t="shared" si="2"/>
        <v>184book_xpath</v>
      </c>
      <c r="B185" s="33" t="s">
        <v>165</v>
      </c>
      <c r="C185" s="33" t="str">
        <f>_xlfn.XLOOKUP(Table26[[#This Row],[XPATHS]],Table610119[&lt;&lt;NOLA_Exchange&gt;&gt;
Booking],Table610119[python script],"")</f>
        <v/>
      </c>
      <c r="D185" s="33" t="str">
        <f>_xlfn.XLOOKUP(Table26[[#This Row],[XPATHS]],Table610119[&lt;&lt;NOLA_Exchange&gt;&gt;
Booking],Table610119['#],"")</f>
        <v/>
      </c>
    </row>
    <row r="186" spans="1:4" x14ac:dyDescent="0.3">
      <c r="A186" s="33" t="str">
        <f t="shared" si="2"/>
        <v>185book_xpath</v>
      </c>
      <c r="B186" s="33" t="s">
        <v>124</v>
      </c>
      <c r="C186" s="33" t="str">
        <f>_xlfn.XLOOKUP(Table26[[#This Row],[XPATHS]],Table610119[&lt;&lt;NOLA_Exchange&gt;&gt;
Booking],Table610119[python script],"")</f>
        <v/>
      </c>
      <c r="D186" s="33" t="str">
        <f>_xlfn.XLOOKUP(Table26[[#This Row],[XPATHS]],Table610119[&lt;&lt;NOLA_Exchange&gt;&gt;
Booking],Table610119['#],"")</f>
        <v/>
      </c>
    </row>
    <row r="187" spans="1:4" x14ac:dyDescent="0.3">
      <c r="A187" s="33" t="str">
        <f t="shared" si="2"/>
        <v>186book_xpath</v>
      </c>
      <c r="B187" s="33" t="s">
        <v>78</v>
      </c>
      <c r="C187" s="33" t="str">
        <f>_xlfn.XLOOKUP(Table26[[#This Row],[XPATHS]],Table610119[&lt;&lt;NOLA_Exchange&gt;&gt;
Booking],Table610119[python script],"")</f>
        <v/>
      </c>
      <c r="D187" s="33" t="str">
        <f>_xlfn.XLOOKUP(Table26[[#This Row],[XPATHS]],Table610119[&lt;&lt;NOLA_Exchange&gt;&gt;
Booking],Table610119['#],"")</f>
        <v/>
      </c>
    </row>
    <row r="188" spans="1:4" x14ac:dyDescent="0.3">
      <c r="A188" s="33" t="str">
        <f t="shared" si="2"/>
        <v>187book_xpath</v>
      </c>
      <c r="B188" s="33" t="s">
        <v>3189</v>
      </c>
      <c r="C188" s="33" t="str">
        <f>_xlfn.XLOOKUP(Table26[[#This Row],[XPATHS]],Table610119[&lt;&lt;NOLA_Exchange&gt;&gt;
Booking],Table610119[python script],"")</f>
        <v/>
      </c>
      <c r="D188" s="33" t="str">
        <f>_xlfn.XLOOKUP(Table26[[#This Row],[XPATHS]],Table610119[&lt;&lt;NOLA_Exchange&gt;&gt;
Booking],Table610119['#],"")</f>
        <v/>
      </c>
    </row>
    <row r="189" spans="1:4" x14ac:dyDescent="0.3">
      <c r="A189" s="33" t="str">
        <f t="shared" si="2"/>
        <v>188book_xpath</v>
      </c>
      <c r="B189" s="33" t="s">
        <v>112</v>
      </c>
      <c r="C189" s="33" t="str">
        <f>_xlfn.XLOOKUP(Table26[[#This Row],[XPATHS]],Table610119[&lt;&lt;NOLA_Exchange&gt;&gt;
Booking],Table610119[python script],"")</f>
        <v/>
      </c>
      <c r="D189" s="33" t="str">
        <f>_xlfn.XLOOKUP(Table26[[#This Row],[XPATHS]],Table610119[&lt;&lt;NOLA_Exchange&gt;&gt;
Booking],Table610119['#],"")</f>
        <v/>
      </c>
    </row>
    <row r="190" spans="1:4" x14ac:dyDescent="0.3">
      <c r="A190" s="33" t="str">
        <f t="shared" si="2"/>
        <v>189book_xpath</v>
      </c>
      <c r="B190" s="49" t="s">
        <v>198</v>
      </c>
      <c r="C190" s="33" t="str">
        <f>_xlfn.XLOOKUP(Table26[[#This Row],[XPATHS]],Table610119[&lt;&lt;NOLA_Exchange&gt;&gt;
Booking],Table610119[python script],"")</f>
        <v/>
      </c>
      <c r="D190" s="33" t="str">
        <f>_xlfn.XLOOKUP(Table26[[#This Row],[XPATHS]],Table610119[&lt;&lt;NOLA_Exchange&gt;&gt;
Booking],Table610119['#],"")</f>
        <v/>
      </c>
    </row>
    <row r="191" spans="1:4" x14ac:dyDescent="0.3">
      <c r="A191" s="33" t="str">
        <f t="shared" si="2"/>
        <v>190book_xpath</v>
      </c>
      <c r="B191" s="33" t="s">
        <v>3190</v>
      </c>
      <c r="C191" s="33" t="str">
        <f>_xlfn.XLOOKUP(Table26[[#This Row],[XPATHS]],Table610119[&lt;&lt;NOLA_Exchange&gt;&gt;
Booking],Table610119[python script],"")</f>
        <v/>
      </c>
      <c r="D191" s="33" t="str">
        <f>_xlfn.XLOOKUP(Table26[[#This Row],[XPATHS]],Table610119[&lt;&lt;NOLA_Exchange&gt;&gt;
Booking],Table610119['#],"")</f>
        <v/>
      </c>
    </row>
    <row r="192" spans="1:4" x14ac:dyDescent="0.3">
      <c r="A192" s="33" t="str">
        <f t="shared" si="2"/>
        <v>191book_xpath</v>
      </c>
      <c r="B192" s="33" t="s">
        <v>104</v>
      </c>
      <c r="C192" s="33" t="str">
        <f>_xlfn.XLOOKUP(Table26[[#This Row],[XPATHS]],Table610119[&lt;&lt;NOLA_Exchange&gt;&gt;
Booking],Table610119[python script],"")</f>
        <v/>
      </c>
      <c r="D192" s="33" t="str">
        <f>_xlfn.XLOOKUP(Table26[[#This Row],[XPATHS]],Table610119[&lt;&lt;NOLA_Exchange&gt;&gt;
Booking],Table610119['#],"")</f>
        <v/>
      </c>
    </row>
    <row r="193" spans="1:4" x14ac:dyDescent="0.3">
      <c r="A193" s="33" t="str">
        <f t="shared" si="2"/>
        <v>192book_xpath</v>
      </c>
      <c r="B193" s="33" t="s">
        <v>347</v>
      </c>
      <c r="C193" s="33" t="str">
        <f>_xlfn.XLOOKUP(Table26[[#This Row],[XPATHS]],Table610119[&lt;&lt;NOLA_Exchange&gt;&gt;
Booking],Table610119[python script],"")</f>
        <v/>
      </c>
      <c r="D193" s="33" t="str">
        <f>_xlfn.XLOOKUP(Table26[[#This Row],[XPATHS]],Table610119[&lt;&lt;NOLA_Exchange&gt;&gt;
Booking],Table610119['#],"")</f>
        <v/>
      </c>
    </row>
    <row r="194" spans="1:4" x14ac:dyDescent="0.3">
      <c r="A194" s="33" t="str">
        <f t="shared" ref="A194:A257" si="3">ROW(A193)&amp;"book_xpath"</f>
        <v>193book_xpath</v>
      </c>
      <c r="B194" s="33" t="s">
        <v>353</v>
      </c>
      <c r="C194" s="33" t="str">
        <f>_xlfn.XLOOKUP(Table26[[#This Row],[XPATHS]],Table610119[&lt;&lt;NOLA_Exchange&gt;&gt;
Booking],Table610119[python script],"")</f>
        <v/>
      </c>
      <c r="D194" s="33" t="str">
        <f>_xlfn.XLOOKUP(Table26[[#This Row],[XPATHS]],Table610119[&lt;&lt;NOLA_Exchange&gt;&gt;
Booking],Table610119['#],"")</f>
        <v/>
      </c>
    </row>
    <row r="195" spans="1:4" x14ac:dyDescent="0.3">
      <c r="A195" s="33" t="str">
        <f t="shared" si="3"/>
        <v>194book_xpath</v>
      </c>
      <c r="B195" s="33" t="s">
        <v>544</v>
      </c>
      <c r="C195" s="33" t="str">
        <f>_xlfn.XLOOKUP(Table26[[#This Row],[XPATHS]],Table610119[&lt;&lt;NOLA_Exchange&gt;&gt;
Booking],Table610119[python script],"")</f>
        <v/>
      </c>
      <c r="D195" s="33" t="str">
        <f>_xlfn.XLOOKUP(Table26[[#This Row],[XPATHS]],Table610119[&lt;&lt;NOLA_Exchange&gt;&gt;
Booking],Table610119['#],"")</f>
        <v/>
      </c>
    </row>
    <row r="196" spans="1:4" x14ac:dyDescent="0.3">
      <c r="A196" s="33" t="str">
        <f t="shared" si="3"/>
        <v>195book_xpath</v>
      </c>
      <c r="B196" s="33" t="s">
        <v>3191</v>
      </c>
      <c r="C196" s="33" t="str">
        <f>_xlfn.XLOOKUP(Table26[[#This Row],[XPATHS]],Table610119[&lt;&lt;NOLA_Exchange&gt;&gt;
Booking],Table610119[python script],"")</f>
        <v/>
      </c>
      <c r="D196" s="33" t="str">
        <f>_xlfn.XLOOKUP(Table26[[#This Row],[XPATHS]],Table610119[&lt;&lt;NOLA_Exchange&gt;&gt;
Booking],Table610119['#],"")</f>
        <v/>
      </c>
    </row>
    <row r="197" spans="1:4" x14ac:dyDescent="0.3">
      <c r="A197" s="33" t="str">
        <f t="shared" si="3"/>
        <v>196book_xpath</v>
      </c>
      <c r="B197" s="33" t="s">
        <v>3192</v>
      </c>
      <c r="C197" s="33" t="str">
        <f>_xlfn.XLOOKUP(Table26[[#This Row],[XPATHS]],Table610119[&lt;&lt;NOLA_Exchange&gt;&gt;
Booking],Table610119[python script],"")</f>
        <v/>
      </c>
      <c r="D197" s="33" t="str">
        <f>_xlfn.XLOOKUP(Table26[[#This Row],[XPATHS]],Table610119[&lt;&lt;NOLA_Exchange&gt;&gt;
Booking],Table610119['#],"")</f>
        <v/>
      </c>
    </row>
    <row r="198" spans="1:4" x14ac:dyDescent="0.3">
      <c r="A198" s="33" t="str">
        <f t="shared" si="3"/>
        <v>197book_xpath</v>
      </c>
      <c r="B198" s="33" t="s">
        <v>3193</v>
      </c>
      <c r="C198" s="33" t="str">
        <f>_xlfn.XLOOKUP(Table26[[#This Row],[XPATHS]],Table610119[&lt;&lt;NOLA_Exchange&gt;&gt;
Booking],Table610119[python script],"")</f>
        <v/>
      </c>
      <c r="D198" s="33" t="str">
        <f>_xlfn.XLOOKUP(Table26[[#This Row],[XPATHS]],Table610119[&lt;&lt;NOLA_Exchange&gt;&gt;
Booking],Table610119['#],"")</f>
        <v/>
      </c>
    </row>
    <row r="199" spans="1:4" x14ac:dyDescent="0.3">
      <c r="A199" s="33" t="str">
        <f t="shared" si="3"/>
        <v>198book_xpath</v>
      </c>
      <c r="B199" s="33" t="s">
        <v>3194</v>
      </c>
      <c r="C199" s="33" t="str">
        <f>_xlfn.XLOOKUP(Table26[[#This Row],[XPATHS]],Table610119[&lt;&lt;NOLA_Exchange&gt;&gt;
Booking],Table610119[python script],"")</f>
        <v/>
      </c>
      <c r="D199" s="33" t="str">
        <f>_xlfn.XLOOKUP(Table26[[#This Row],[XPATHS]],Table610119[&lt;&lt;NOLA_Exchange&gt;&gt;
Booking],Table610119['#],"")</f>
        <v/>
      </c>
    </row>
    <row r="200" spans="1:4" x14ac:dyDescent="0.3">
      <c r="A200" s="33" t="str">
        <f t="shared" si="3"/>
        <v>199book_xpath</v>
      </c>
      <c r="B200" s="33" t="s">
        <v>3195</v>
      </c>
      <c r="C200" s="33" t="str">
        <f>_xlfn.XLOOKUP(Table26[[#This Row],[XPATHS]],Table610119[&lt;&lt;NOLA_Exchange&gt;&gt;
Booking],Table610119[python script],"")</f>
        <v/>
      </c>
      <c r="D200" s="33" t="str">
        <f>_xlfn.XLOOKUP(Table26[[#This Row],[XPATHS]],Table610119[&lt;&lt;NOLA_Exchange&gt;&gt;
Booking],Table610119['#],"")</f>
        <v/>
      </c>
    </row>
    <row r="201" spans="1:4" x14ac:dyDescent="0.3">
      <c r="A201" s="33" t="str">
        <f t="shared" si="3"/>
        <v>200book_xpath</v>
      </c>
      <c r="B201" s="33" t="s">
        <v>3196</v>
      </c>
      <c r="C201" s="33" t="str">
        <f>_xlfn.XLOOKUP(Table26[[#This Row],[XPATHS]],Table610119[&lt;&lt;NOLA_Exchange&gt;&gt;
Booking],Table610119[python script],"")</f>
        <v/>
      </c>
      <c r="D201" s="33" t="str">
        <f>_xlfn.XLOOKUP(Table26[[#This Row],[XPATHS]],Table610119[&lt;&lt;NOLA_Exchange&gt;&gt;
Booking],Table610119['#],"")</f>
        <v/>
      </c>
    </row>
    <row r="202" spans="1:4" x14ac:dyDescent="0.3">
      <c r="A202" s="33" t="str">
        <f t="shared" si="3"/>
        <v>201book_xpath</v>
      </c>
      <c r="B202" s="33" t="s">
        <v>3197</v>
      </c>
      <c r="C202" s="33" t="str">
        <f>_xlfn.XLOOKUP(Table26[[#This Row],[XPATHS]],Table610119[&lt;&lt;NOLA_Exchange&gt;&gt;
Booking],Table610119[python script],"")</f>
        <v/>
      </c>
      <c r="D202" s="33" t="str">
        <f>_xlfn.XLOOKUP(Table26[[#This Row],[XPATHS]],Table610119[&lt;&lt;NOLA_Exchange&gt;&gt;
Booking],Table610119['#],"")</f>
        <v/>
      </c>
    </row>
    <row r="203" spans="1:4" x14ac:dyDescent="0.3">
      <c r="A203" s="33" t="str">
        <f t="shared" si="3"/>
        <v>202book_xpath</v>
      </c>
      <c r="B203" s="33" t="s">
        <v>3198</v>
      </c>
      <c r="C203" s="33" t="str">
        <f>_xlfn.XLOOKUP(Table26[[#This Row],[XPATHS]],Table610119[&lt;&lt;NOLA_Exchange&gt;&gt;
Booking],Table610119[python script],"")</f>
        <v/>
      </c>
      <c r="D203" s="33" t="str">
        <f>_xlfn.XLOOKUP(Table26[[#This Row],[XPATHS]],Table610119[&lt;&lt;NOLA_Exchange&gt;&gt;
Booking],Table610119['#],"")</f>
        <v/>
      </c>
    </row>
    <row r="204" spans="1:4" x14ac:dyDescent="0.3">
      <c r="A204" s="33" t="str">
        <f t="shared" si="3"/>
        <v>203book_xpath</v>
      </c>
      <c r="B204" s="33" t="s">
        <v>3199</v>
      </c>
      <c r="C204" s="33" t="str">
        <f>_xlfn.XLOOKUP(Table26[[#This Row],[XPATHS]],Table610119[&lt;&lt;NOLA_Exchange&gt;&gt;
Booking],Table610119[python script],"")</f>
        <v/>
      </c>
      <c r="D204" s="33" t="str">
        <f>_xlfn.XLOOKUP(Table26[[#This Row],[XPATHS]],Table610119[&lt;&lt;NOLA_Exchange&gt;&gt;
Booking],Table610119['#],"")</f>
        <v/>
      </c>
    </row>
    <row r="205" spans="1:4" x14ac:dyDescent="0.3">
      <c r="A205" s="33" t="str">
        <f t="shared" si="3"/>
        <v>204book_xpath</v>
      </c>
      <c r="B205" s="33" t="s">
        <v>871</v>
      </c>
      <c r="C205" s="33" t="str">
        <f>_xlfn.XLOOKUP(Table26[[#This Row],[XPATHS]],Table610119[&lt;&lt;NOLA_Exchange&gt;&gt;
Booking],Table610119[python script],"")</f>
        <v/>
      </c>
      <c r="D205" s="33" t="str">
        <f>_xlfn.XLOOKUP(Table26[[#This Row],[XPATHS]],Table610119[&lt;&lt;NOLA_Exchange&gt;&gt;
Booking],Table610119['#],"")</f>
        <v/>
      </c>
    </row>
    <row r="206" spans="1:4" x14ac:dyDescent="0.3">
      <c r="A206" s="33" t="str">
        <f t="shared" si="3"/>
        <v>205book_xpath</v>
      </c>
      <c r="B206" s="33" t="s">
        <v>742</v>
      </c>
      <c r="C206" s="33" t="str">
        <f>_xlfn.XLOOKUP(Table26[[#This Row],[XPATHS]],Table610119[&lt;&lt;NOLA_Exchange&gt;&gt;
Booking],Table610119[python script],"")</f>
        <v>"IDSEXC": "/j:Booking/j:BookingSubject/RoleOfPerson/hs:PersonAugmentation/hs:PersonGenderIdentityText",</v>
      </c>
      <c r="D206" s="33" t="str">
        <f>_xlfn.XLOOKUP(Table26[[#This Row],[XPATHS]],Table610119[&lt;&lt;NOLA_Exchange&gt;&gt;
Booking],Table610119['#],"")</f>
        <v>68expanded_IMARRD_sorted</v>
      </c>
    </row>
    <row r="207" spans="1:4" x14ac:dyDescent="0.3">
      <c r="A207" s="33" t="str">
        <f t="shared" si="3"/>
        <v>206book_xpath</v>
      </c>
      <c r="B207" s="33" t="s">
        <v>2422</v>
      </c>
      <c r="C207" s="33" t="str">
        <f>_xlfn.XLOOKUP(Table26[[#This Row],[XPATHS]],Table610119[&lt;&lt;NOLA_Exchange&gt;&gt;
Booking],Table610119[python script],"")</f>
        <v/>
      </c>
      <c r="D207" s="33" t="str">
        <f>_xlfn.XLOOKUP(Table26[[#This Row],[XPATHS]],Table610119[&lt;&lt;NOLA_Exchange&gt;&gt;
Booking],Table610119['#],"")</f>
        <v/>
      </c>
    </row>
    <row r="208" spans="1:4" x14ac:dyDescent="0.3">
      <c r="A208" s="33" t="str">
        <f t="shared" si="3"/>
        <v>207book_xpath</v>
      </c>
      <c r="B208" s="33" t="s">
        <v>3200</v>
      </c>
      <c r="C208" s="33" t="str">
        <f>_xlfn.XLOOKUP(Table26[[#This Row],[XPATHS]],Table610119[&lt;&lt;NOLA_Exchange&gt;&gt;
Booking],Table610119[python script],"")</f>
        <v/>
      </c>
      <c r="D208" s="33" t="str">
        <f>_xlfn.XLOOKUP(Table26[[#This Row],[XPATHS]],Table610119[&lt;&lt;NOLA_Exchange&gt;&gt;
Booking],Table610119['#],"")</f>
        <v/>
      </c>
    </row>
    <row r="209" spans="1:4" x14ac:dyDescent="0.3">
      <c r="A209" s="33" t="str">
        <f t="shared" si="3"/>
        <v>208book_xpath</v>
      </c>
      <c r="B209" s="33" t="s">
        <v>435</v>
      </c>
      <c r="C209" s="33" t="str">
        <f>_xlfn.XLOOKUP(Table26[[#This Row],[XPATHS]],Table610119[&lt;&lt;NOLA_Exchange&gt;&gt;
Booking],Table610119[python script],"")</f>
        <v/>
      </c>
      <c r="D209" s="33" t="str">
        <f>_xlfn.XLOOKUP(Table26[[#This Row],[XPATHS]],Table610119[&lt;&lt;NOLA_Exchange&gt;&gt;
Booking],Table610119['#],"")</f>
        <v/>
      </c>
    </row>
    <row r="210" spans="1:4" x14ac:dyDescent="0.3">
      <c r="A210" s="33" t="str">
        <f t="shared" si="3"/>
        <v>209book_xpath</v>
      </c>
      <c r="B210" s="33" t="s">
        <v>1665</v>
      </c>
      <c r="C210" s="33" t="str">
        <f>_xlfn.XLOOKUP(Table26[[#This Row],[XPATHS]],Table610119[&lt;&lt;NOLA_Exchange&gt;&gt;
Booking],Table610119[python script],"")</f>
        <v/>
      </c>
      <c r="D210" s="33" t="str">
        <f>_xlfn.XLOOKUP(Table26[[#This Row],[XPATHS]],Table610119[&lt;&lt;NOLA_Exchange&gt;&gt;
Booking],Table610119['#],"")</f>
        <v/>
      </c>
    </row>
    <row r="211" spans="1:4" x14ac:dyDescent="0.3">
      <c r="A211" s="33" t="str">
        <f t="shared" si="3"/>
        <v>210book_xpath</v>
      </c>
      <c r="B211" s="33" t="s">
        <v>3201</v>
      </c>
      <c r="C211" s="33" t="str">
        <f>_xlfn.XLOOKUP(Table26[[#This Row],[XPATHS]],Table610119[&lt;&lt;NOLA_Exchange&gt;&gt;
Booking],Table610119[python script],"")</f>
        <v/>
      </c>
      <c r="D211" s="33" t="str">
        <f>_xlfn.XLOOKUP(Table26[[#This Row],[XPATHS]],Table610119[&lt;&lt;NOLA_Exchange&gt;&gt;
Booking],Table610119['#],"")</f>
        <v/>
      </c>
    </row>
    <row r="212" spans="1:4" x14ac:dyDescent="0.3">
      <c r="A212" s="33" t="str">
        <f t="shared" si="3"/>
        <v>211book_xpath</v>
      </c>
      <c r="B212" s="33" t="s">
        <v>3202</v>
      </c>
      <c r="C212" s="33" t="str">
        <f>_xlfn.XLOOKUP(Table26[[#This Row],[XPATHS]],Table610119[&lt;&lt;NOLA_Exchange&gt;&gt;
Booking],Table610119[python script],"")</f>
        <v/>
      </c>
      <c r="D212" s="33" t="str">
        <f>_xlfn.XLOOKUP(Table26[[#This Row],[XPATHS]],Table610119[&lt;&lt;NOLA_Exchange&gt;&gt;
Booking],Table610119['#],"")</f>
        <v/>
      </c>
    </row>
    <row r="213" spans="1:4" x14ac:dyDescent="0.3">
      <c r="A213" s="33" t="str">
        <f t="shared" si="3"/>
        <v>212book_xpath</v>
      </c>
      <c r="B213" s="33" t="s">
        <v>365</v>
      </c>
      <c r="C213" s="33" t="str">
        <f>_xlfn.XLOOKUP(Table26[[#This Row],[XPATHS]],Table610119[&lt;&lt;NOLA_Exchange&gt;&gt;
Booking],Table610119[python script],"")</f>
        <v/>
      </c>
      <c r="D213" s="33" t="str">
        <f>_xlfn.XLOOKUP(Table26[[#This Row],[XPATHS]],Table610119[&lt;&lt;NOLA_Exchange&gt;&gt;
Booking],Table610119['#],"")</f>
        <v/>
      </c>
    </row>
    <row r="214" spans="1:4" x14ac:dyDescent="0.3">
      <c r="A214" s="33" t="str">
        <f t="shared" si="3"/>
        <v>213book_xpath</v>
      </c>
      <c r="B214" s="33" t="s">
        <v>3203</v>
      </c>
      <c r="C214" s="33" t="str">
        <f>_xlfn.XLOOKUP(Table26[[#This Row],[XPATHS]],Table610119[&lt;&lt;NOLA_Exchange&gt;&gt;
Booking],Table610119[python script],"")</f>
        <v/>
      </c>
      <c r="D214" s="33" t="str">
        <f>_xlfn.XLOOKUP(Table26[[#This Row],[XPATHS]],Table610119[&lt;&lt;NOLA_Exchange&gt;&gt;
Booking],Table610119['#],"")</f>
        <v/>
      </c>
    </row>
    <row r="215" spans="1:4" x14ac:dyDescent="0.3">
      <c r="A215" s="33" t="str">
        <f t="shared" si="3"/>
        <v>214book_xpath</v>
      </c>
      <c r="B215" s="33" t="s">
        <v>3204</v>
      </c>
      <c r="C215" s="33" t="str">
        <f>_xlfn.XLOOKUP(Table26[[#This Row],[XPATHS]],Table610119[&lt;&lt;NOLA_Exchange&gt;&gt;
Booking],Table610119[python script],"")</f>
        <v/>
      </c>
      <c r="D215" s="33" t="str">
        <f>_xlfn.XLOOKUP(Table26[[#This Row],[XPATHS]],Table610119[&lt;&lt;NOLA_Exchange&gt;&gt;
Booking],Table610119['#],"")</f>
        <v/>
      </c>
    </row>
    <row r="216" spans="1:4" x14ac:dyDescent="0.3">
      <c r="A216" s="33" t="str">
        <f t="shared" si="3"/>
        <v>215book_xpath</v>
      </c>
      <c r="B216" s="33" t="s">
        <v>1431</v>
      </c>
      <c r="C216" s="33" t="str">
        <f>_xlfn.XLOOKUP(Table26[[#This Row],[XPATHS]],Table610119[&lt;&lt;NOLA_Exchange&gt;&gt;
Booking],Table610119[python script],"")</f>
        <v/>
      </c>
      <c r="D216" s="33" t="str">
        <f>_xlfn.XLOOKUP(Table26[[#This Row],[XPATHS]],Table610119[&lt;&lt;NOLA_Exchange&gt;&gt;
Booking],Table610119['#],"")</f>
        <v/>
      </c>
    </row>
    <row r="217" spans="1:4" x14ac:dyDescent="0.3">
      <c r="A217" s="33" t="str">
        <f t="shared" si="3"/>
        <v>216book_xpath</v>
      </c>
      <c r="B217" s="33" t="s">
        <v>3205</v>
      </c>
      <c r="C217" s="33" t="str">
        <f>_xlfn.XLOOKUP(Table26[[#This Row],[XPATHS]],Table610119[&lt;&lt;NOLA_Exchange&gt;&gt;
Booking],Table610119[python script],"")</f>
        <v/>
      </c>
      <c r="D217" s="33" t="str">
        <f>_xlfn.XLOOKUP(Table26[[#This Row],[XPATHS]],Table610119[&lt;&lt;NOLA_Exchange&gt;&gt;
Booking],Table610119['#],"")</f>
        <v/>
      </c>
    </row>
    <row r="218" spans="1:4" x14ac:dyDescent="0.3">
      <c r="A218" s="33" t="str">
        <f t="shared" si="3"/>
        <v>217book_xpath</v>
      </c>
      <c r="B218" s="33" t="s">
        <v>1739</v>
      </c>
      <c r="C218" s="33" t="str">
        <f>_xlfn.XLOOKUP(Table26[[#This Row],[XPATHS]],Table610119[&lt;&lt;NOLA_Exchange&gt;&gt;
Booking],Table610119[python script],"")</f>
        <v>"IDCHD1": "/j:Booking/j:Arrest/j:ArrestCharge[1]/j:ChargeCategoryDescriptionText",</v>
      </c>
      <c r="D218" s="33" t="str">
        <f>_xlfn.XLOOKUP(Table26[[#This Row],[XPATHS]],Table610119[&lt;&lt;NOLA_Exchange&gt;&gt;
Booking],Table610119['#],"")</f>
        <v>28expanded_IMARRD_sorted</v>
      </c>
    </row>
    <row r="219" spans="1:4" x14ac:dyDescent="0.3">
      <c r="A219" s="33" t="str">
        <f t="shared" si="3"/>
        <v>218book_xpath</v>
      </c>
      <c r="B219" s="33" t="s">
        <v>1723</v>
      </c>
      <c r="C219" s="33" t="str">
        <f>_xlfn.XLOOKUP(Table26[[#This Row],[XPATHS]],Table610119[&lt;&lt;NOLA_Exchange&gt;&gt;
Booking],Table610119[python script],"")</f>
        <v/>
      </c>
      <c r="D219" s="33" t="str">
        <f>_xlfn.XLOOKUP(Table26[[#This Row],[XPATHS]],Table610119[&lt;&lt;NOLA_Exchange&gt;&gt;
Booking],Table610119['#],"")</f>
        <v/>
      </c>
    </row>
    <row r="220" spans="1:4" x14ac:dyDescent="0.3">
      <c r="A220" s="33" t="str">
        <f t="shared" si="3"/>
        <v>219book_xpath</v>
      </c>
      <c r="B220" s="33" t="s">
        <v>3206</v>
      </c>
      <c r="C220" s="33" t="str">
        <f>_xlfn.XLOOKUP(Table26[[#This Row],[XPATHS]],Table610119[&lt;&lt;NOLA_Exchange&gt;&gt;
Booking],Table610119[python script],"")</f>
        <v/>
      </c>
      <c r="D220" s="33" t="str">
        <f>_xlfn.XLOOKUP(Table26[[#This Row],[XPATHS]],Table610119[&lt;&lt;NOLA_Exchange&gt;&gt;
Booking],Table610119['#],"")</f>
        <v/>
      </c>
    </row>
    <row r="221" spans="1:4" x14ac:dyDescent="0.3">
      <c r="A221" s="33" t="str">
        <f t="shared" si="3"/>
        <v>220book_xpath</v>
      </c>
      <c r="B221" s="33" t="s">
        <v>1812</v>
      </c>
      <c r="C221" s="33" t="str">
        <f>_xlfn.XLOOKUP(Table26[[#This Row],[XPATHS]],Table610119[&lt;&lt;NOLA_Exchange&gt;&gt;
Booking],Table610119[python script],"")</f>
        <v/>
      </c>
      <c r="D221" s="33" t="str">
        <f>_xlfn.XLOOKUP(Table26[[#This Row],[XPATHS]],Table610119[&lt;&lt;NOLA_Exchange&gt;&gt;
Booking],Table610119['#],"")</f>
        <v/>
      </c>
    </row>
    <row r="222" spans="1:4" x14ac:dyDescent="0.3">
      <c r="A222" s="33" t="str">
        <f t="shared" si="3"/>
        <v>221book_xpath</v>
      </c>
      <c r="B222" s="33" t="s">
        <v>1904</v>
      </c>
      <c r="C222" s="33" t="str">
        <f>_xlfn.XLOOKUP(Table26[[#This Row],[XPATHS]],Table610119[&lt;&lt;NOLA_Exchange&gt;&gt;
Booking],Table610119[python script],"")</f>
        <v/>
      </c>
      <c r="D222" s="33" t="str">
        <f>_xlfn.XLOOKUP(Table26[[#This Row],[XPATHS]],Table610119[&lt;&lt;NOLA_Exchange&gt;&gt;
Booking],Table610119['#],"")</f>
        <v/>
      </c>
    </row>
    <row r="223" spans="1:4" x14ac:dyDescent="0.3">
      <c r="A223" s="33" t="str">
        <f t="shared" si="3"/>
        <v>222book_xpath</v>
      </c>
      <c r="B223" s="33" t="s">
        <v>3207</v>
      </c>
      <c r="C223" s="33" t="str">
        <f>_xlfn.XLOOKUP(Table26[[#This Row],[XPATHS]],Table610119[&lt;&lt;NOLA_Exchange&gt;&gt;
Booking],Table610119[python script],"")</f>
        <v/>
      </c>
      <c r="D223" s="33" t="str">
        <f>_xlfn.XLOOKUP(Table26[[#This Row],[XPATHS]],Table610119[&lt;&lt;NOLA_Exchange&gt;&gt;
Booking],Table610119['#],"")</f>
        <v/>
      </c>
    </row>
    <row r="224" spans="1:4" x14ac:dyDescent="0.3">
      <c r="A224" s="33" t="str">
        <f t="shared" si="3"/>
        <v>223book_xpath</v>
      </c>
      <c r="B224" s="33" t="s">
        <v>3208</v>
      </c>
      <c r="C224" s="33" t="str">
        <f>_xlfn.XLOOKUP(Table26[[#This Row],[XPATHS]],Table610119[&lt;&lt;NOLA_Exchange&gt;&gt;
Booking],Table610119[python script],"")</f>
        <v/>
      </c>
      <c r="D224" s="33" t="str">
        <f>_xlfn.XLOOKUP(Table26[[#This Row],[XPATHS]],Table610119[&lt;&lt;NOLA_Exchange&gt;&gt;
Booking],Table610119['#],"")</f>
        <v/>
      </c>
    </row>
    <row r="225" spans="1:4" x14ac:dyDescent="0.3">
      <c r="A225" s="33" t="str">
        <f t="shared" si="3"/>
        <v>224book_xpath</v>
      </c>
      <c r="B225" s="33" t="s">
        <v>2944</v>
      </c>
      <c r="C225" s="33" t="str">
        <f>_xlfn.XLOOKUP(Table26[[#This Row],[XPATHS]],Table610119[&lt;&lt;NOLA_Exchange&gt;&gt;
Booking],Table610119[python script],"")</f>
        <v>"IDSTA1": "/j:Booking/j:Arrest/j:ArrestCharge[1]/j:ChargeStatute/j:StatuteCodeIdentification/IdentificationID",</v>
      </c>
      <c r="D225" s="33" t="str">
        <f>_xlfn.XLOOKUP(Table26[[#This Row],[XPATHS]],Table610119[&lt;&lt;NOLA_Exchange&gt;&gt;
Booking],Table610119['#],"")</f>
        <v>92expanded_IMARRD_sorted</v>
      </c>
    </row>
    <row r="226" spans="1:4" x14ac:dyDescent="0.3">
      <c r="A226" s="33" t="str">
        <f t="shared" si="3"/>
        <v>225book_xpath</v>
      </c>
      <c r="B226" s="33" t="s">
        <v>3209</v>
      </c>
      <c r="C226" s="33" t="str">
        <f>_xlfn.XLOOKUP(Table26[[#This Row],[XPATHS]],Table610119[&lt;&lt;NOLA_Exchange&gt;&gt;
Booking],Table610119[python script],"")</f>
        <v/>
      </c>
      <c r="D226" s="33" t="str">
        <f>_xlfn.XLOOKUP(Table26[[#This Row],[XPATHS]],Table610119[&lt;&lt;NOLA_Exchange&gt;&gt;
Booking],Table610119['#],"")</f>
        <v/>
      </c>
    </row>
    <row r="227" spans="1:4" x14ac:dyDescent="0.3">
      <c r="A227" s="33" t="str">
        <f t="shared" si="3"/>
        <v>226book_xpath</v>
      </c>
      <c r="B227" s="33" t="s">
        <v>3029</v>
      </c>
      <c r="C227" s="33" t="str">
        <f>_xlfn.XLOOKUP(Table26[[#This Row],[XPATHS]],Table610119[&lt;&lt;NOLA_Exchange&gt;&gt;
Booking],Table610119[python script],"")</f>
        <v>"IDVIO1": "/j:Booking/j:Arrest/j:ArrestCharge[1]/j:ChargeStatute/j:StatuteCodeSectionIdentification/IdentificationID",</v>
      </c>
      <c r="D227" s="33" t="str">
        <f>_xlfn.XLOOKUP(Table26[[#This Row],[XPATHS]],Table610119[&lt;&lt;NOLA_Exchange&gt;&gt;
Booking],Table610119['#],"")</f>
        <v>104expanded_IMARRD_sorted</v>
      </c>
    </row>
    <row r="228" spans="1:4" x14ac:dyDescent="0.3">
      <c r="A228" s="33" t="str">
        <f t="shared" si="3"/>
        <v>227book_xpath</v>
      </c>
      <c r="B228" s="33" t="s">
        <v>2941</v>
      </c>
      <c r="C228" s="33" t="str">
        <f>_xlfn.XLOOKUP(Table26[[#This Row],[XPATHS]],Table610119[&lt;&lt;NOLA_Exchange&gt;&gt;
Booking],Table610119[python script],"")</f>
        <v/>
      </c>
      <c r="D228" s="33" t="str">
        <f>_xlfn.XLOOKUP(Table26[[#This Row],[XPATHS]],Table610119[&lt;&lt;NOLA_Exchange&gt;&gt;
Booking],Table610119['#],"")</f>
        <v/>
      </c>
    </row>
    <row r="229" spans="1:4" x14ac:dyDescent="0.3">
      <c r="A229" s="33" t="str">
        <f t="shared" si="3"/>
        <v>228book_xpath</v>
      </c>
      <c r="B229" s="33" t="s">
        <v>3059</v>
      </c>
      <c r="C229" s="33" t="str">
        <f>_xlfn.XLOOKUP(Table26[[#This Row],[XPATHS]],Table610119[&lt;&lt;NOLA_Exchange&gt;&gt;
Booking],Table610119[python script],"")</f>
        <v/>
      </c>
      <c r="D229" s="33" t="str">
        <f>_xlfn.XLOOKUP(Table26[[#This Row],[XPATHS]],Table610119[&lt;&lt;NOLA_Exchange&gt;&gt;
Booking],Table610119['#],"")</f>
        <v/>
      </c>
    </row>
    <row r="230" spans="1:4" x14ac:dyDescent="0.3">
      <c r="A230" s="33" t="str">
        <f t="shared" si="3"/>
        <v>229book_xpath</v>
      </c>
      <c r="B230" s="33" t="s">
        <v>3210</v>
      </c>
      <c r="C230" s="33" t="str">
        <f>_xlfn.XLOOKUP(Table26[[#This Row],[XPATHS]],Table610119[&lt;&lt;NOLA_Exchange&gt;&gt;
Booking],Table610119[python script],"")</f>
        <v/>
      </c>
      <c r="D230" s="33" t="str">
        <f>_xlfn.XLOOKUP(Table26[[#This Row],[XPATHS]],Table610119[&lt;&lt;NOLA_Exchange&gt;&gt;
Booking],Table610119['#],"")</f>
        <v/>
      </c>
    </row>
    <row r="231" spans="1:4" x14ac:dyDescent="0.3">
      <c r="A231" s="33" t="str">
        <f t="shared" si="3"/>
        <v>230book_xpath</v>
      </c>
      <c r="B231" s="33" t="s">
        <v>3211</v>
      </c>
      <c r="C231" s="33" t="str">
        <f>_xlfn.XLOOKUP(Table26[[#This Row],[XPATHS]],Table610119[&lt;&lt;NOLA_Exchange&gt;&gt;
Booking],Table610119[python script],"")</f>
        <v/>
      </c>
      <c r="D231" s="33" t="str">
        <f>_xlfn.XLOOKUP(Table26[[#This Row],[XPATHS]],Table610119[&lt;&lt;NOLA_Exchange&gt;&gt;
Booking],Table610119['#],"")</f>
        <v/>
      </c>
    </row>
    <row r="232" spans="1:4" x14ac:dyDescent="0.3">
      <c r="A232" s="33" t="str">
        <f t="shared" si="3"/>
        <v>231book_xpath</v>
      </c>
      <c r="B232" s="33" t="s">
        <v>3002</v>
      </c>
      <c r="C232" s="33" t="str">
        <f>_xlfn.XLOOKUP(Table26[[#This Row],[XPATHS]],Table610119[&lt;&lt;NOLA_Exchange&gt;&gt;
Booking],Table610119[python script],"")</f>
        <v>"IDSUB1": "/j:Booking/j:Arrest/j:ArrestCharge[1]/j:ChargeStatute/nola-ext:ChargeStatuteAugmentation/nola-ext:StatuteCodeSectionSubparagraphIdentification/IdentificationID",</v>
      </c>
      <c r="D232" s="33" t="str">
        <f>_xlfn.XLOOKUP(Table26[[#This Row],[XPATHS]],Table610119[&lt;&lt;NOLA_Exchange&gt;&gt;
Booking],Table610119['#],"")</f>
        <v>98expanded_IMARRD_sorted</v>
      </c>
    </row>
    <row r="233" spans="1:4" x14ac:dyDescent="0.3">
      <c r="A233" s="33" t="str">
        <f t="shared" si="3"/>
        <v>232book_xpath</v>
      </c>
      <c r="B233" s="33" t="s">
        <v>3212</v>
      </c>
      <c r="C233" s="33" t="str">
        <f>_xlfn.XLOOKUP(Table26[[#This Row],[XPATHS]],Table610119[&lt;&lt;NOLA_Exchange&gt;&gt;
Booking],Table610119[python script],"")</f>
        <v/>
      </c>
      <c r="D233" s="33" t="str">
        <f>_xlfn.XLOOKUP(Table26[[#This Row],[XPATHS]],Table610119[&lt;&lt;NOLA_Exchange&gt;&gt;
Booking],Table610119['#],"")</f>
        <v/>
      </c>
    </row>
    <row r="234" spans="1:4" x14ac:dyDescent="0.3">
      <c r="A234" s="33" t="str">
        <f t="shared" si="3"/>
        <v>233book_xpath</v>
      </c>
      <c r="B234" s="33" t="s">
        <v>1842</v>
      </c>
      <c r="C234" s="33" t="str">
        <f>_xlfn.XLOOKUP(Table26[[#This Row],[XPATHS]],Table610119[&lt;&lt;NOLA_Exchange&gt;&gt;
Booking],Table610119[python script],"")</f>
        <v>"IDLBR1": "/j:Booking/j:Arrest/j:ArrestCharge[1]/nola-ext:ChargeAugmentation/nola-ext:ChargeLIBRSCode",</v>
      </c>
      <c r="D234" s="33" t="str">
        <f>_xlfn.XLOOKUP(Table26[[#This Row],[XPATHS]],Table610119[&lt;&lt;NOLA_Exchange&gt;&gt;
Booking],Table610119['#],"")</f>
        <v>40expanded_IMARRD_sorted</v>
      </c>
    </row>
    <row r="235" spans="1:4" x14ac:dyDescent="0.3">
      <c r="A235" s="33" t="str">
        <f t="shared" si="3"/>
        <v>234book_xpath</v>
      </c>
      <c r="B235" s="33" t="s">
        <v>1815</v>
      </c>
      <c r="C235" s="33" t="str">
        <f>_xlfn.XLOOKUP(Table26[[#This Row],[XPATHS]],Table610119[&lt;&lt;NOLA_Exchange&gt;&gt;
Booking],Table610119[python script],"")</f>
        <v>"IDCHK1": "/j:Booking/j:Arrest/j:ArrestCharge[1]/nola-ext:ChargeAugmentation/nola-ext:ChargeKey",</v>
      </c>
      <c r="D235" s="33" t="str">
        <f>_xlfn.XLOOKUP(Table26[[#This Row],[XPATHS]],Table610119[&lt;&lt;NOLA_Exchange&gt;&gt;
Booking],Table610119['#],"")</f>
        <v>34expanded_IMARRD_sorted</v>
      </c>
    </row>
    <row r="236" spans="1:4" x14ac:dyDescent="0.3">
      <c r="A236" s="33" t="str">
        <f t="shared" si="3"/>
        <v>235book_xpath</v>
      </c>
      <c r="B236" s="33" t="s">
        <v>1478</v>
      </c>
      <c r="C236" s="33" t="str">
        <f>_xlfn.XLOOKUP(Table26[[#This Row],[XPATHS]],Table610119[&lt;&lt;NOLA_Exchange&gt;&gt;
Booking],Table610119[python script],"")</f>
        <v>"IDATN1": "/j:Booking/j:Arrest/j:ArrestCharge[1]/nola-ext:ChargeAugmentation/nola-ext:StatewideArrestTrackingNumber",</v>
      </c>
      <c r="D236" s="33" t="str">
        <f>_xlfn.XLOOKUP(Table26[[#This Row],[XPATHS]],Table610119[&lt;&lt;NOLA_Exchange&gt;&gt;
Booking],Table610119['#],"")</f>
        <v>10expanded_IMARRD_sorted</v>
      </c>
    </row>
    <row r="237" spans="1:4" x14ac:dyDescent="0.3">
      <c r="A237" s="33" t="str">
        <f t="shared" si="3"/>
        <v>236book_xpath</v>
      </c>
      <c r="B237" s="33" t="s">
        <v>1500</v>
      </c>
      <c r="C237" s="33" t="str">
        <f>_xlfn.XLOOKUP(Table26[[#This Row],[XPATHS]],Table610119[&lt;&lt;NOLA_Exchange&gt;&gt;
Booking],Table610119[python script],"")</f>
        <v>"IDATS1": "/j:Booking/j:Arrest/j:ArrestCharge[1]/nola-ext:ChargeAugmentation/nola-ext:StatewideATNChargeSequenceID",</v>
      </c>
      <c r="D237" s="33" t="str">
        <f>_xlfn.XLOOKUP(Table26[[#This Row],[XPATHS]],Table610119[&lt;&lt;NOLA_Exchange&gt;&gt;
Booking],Table610119['#],"")</f>
        <v>16expanded_IMARRD_sorted</v>
      </c>
    </row>
    <row r="238" spans="1:4" x14ac:dyDescent="0.3">
      <c r="A238" s="33" t="str">
        <f t="shared" si="3"/>
        <v>237book_xpath</v>
      </c>
      <c r="B238" s="33" t="s">
        <v>1862</v>
      </c>
      <c r="C238" s="33" t="str">
        <f>_xlfn.XLOOKUP(Table26[[#This Row],[XPATHS]],Table610119[&lt;&lt;NOLA_Exchange&gt;&gt;
Booking],Table610119[python script],"")</f>
        <v>"IDCHN1": "/j:Booking/j:Arrest/j:ArrestCharge[1]/nola-ext:ChargeAugmentation/nola-ext:JMSChargeNumber",</v>
      </c>
      <c r="D238" s="33" t="str">
        <f>_xlfn.XLOOKUP(Table26[[#This Row],[XPATHS]],Table610119[&lt;&lt;NOLA_Exchange&gt;&gt;
Booking],Table610119['#],"")</f>
        <v>46expanded_IMARRD_sorted</v>
      </c>
    </row>
    <row r="239" spans="1:4" x14ac:dyDescent="0.3">
      <c r="A239" s="33" t="str">
        <f t="shared" si="3"/>
        <v>238book_xpath</v>
      </c>
      <c r="B239" s="33" t="s">
        <v>3213</v>
      </c>
      <c r="C239" s="33" t="str">
        <f>_xlfn.XLOOKUP(Table26[[#This Row],[XPATHS]],Table610119[&lt;&lt;NOLA_Exchange&gt;&gt;
Booking],Table610119[python script],"")</f>
        <v/>
      </c>
      <c r="D239" s="33" t="str">
        <f>_xlfn.XLOOKUP(Table26[[#This Row],[XPATHS]],Table610119[&lt;&lt;NOLA_Exchange&gt;&gt;
Booking],Table610119['#],"")</f>
        <v/>
      </c>
    </row>
    <row r="240" spans="1:4" x14ac:dyDescent="0.3">
      <c r="A240" s="33" t="str">
        <f t="shared" si="3"/>
        <v>239book_xpath</v>
      </c>
      <c r="B240" s="33" t="s">
        <v>3214</v>
      </c>
      <c r="C240" s="33" t="str">
        <f>_xlfn.XLOOKUP(Table26[[#This Row],[XPATHS]],Table610119[&lt;&lt;NOLA_Exchange&gt;&gt;
Booking],Table610119[python script],"")</f>
        <v/>
      </c>
      <c r="D240" s="33" t="str">
        <f>_xlfn.XLOOKUP(Table26[[#This Row],[XPATHS]],Table610119[&lt;&lt;NOLA_Exchange&gt;&gt;
Booking],Table610119['#],"")</f>
        <v/>
      </c>
    </row>
    <row r="241" spans="1:4" x14ac:dyDescent="0.3">
      <c r="A241" s="33" t="str">
        <f t="shared" si="3"/>
        <v>240book_xpath</v>
      </c>
      <c r="B241" s="33" t="s">
        <v>3215</v>
      </c>
      <c r="C241" s="33" t="str">
        <f>_xlfn.XLOOKUP(Table26[[#This Row],[XPATHS]],Table610119[&lt;&lt;NOLA_Exchange&gt;&gt;
Booking],Table610119[python script],"")</f>
        <v/>
      </c>
      <c r="D241" s="33" t="str">
        <f>_xlfn.XLOOKUP(Table26[[#This Row],[XPATHS]],Table610119[&lt;&lt;NOLA_Exchange&gt;&gt;
Booking],Table610119['#],"")</f>
        <v/>
      </c>
    </row>
    <row r="242" spans="1:4" x14ac:dyDescent="0.3">
      <c r="A242" s="33" t="str">
        <f t="shared" si="3"/>
        <v>241book_xpath</v>
      </c>
      <c r="B242" s="33" t="s">
        <v>1596</v>
      </c>
      <c r="C242" s="33" t="str">
        <f>_xlfn.XLOOKUP(Table26[[#This Row],[XPATHS]],Table610119[&lt;&lt;NOLA_Exchange&gt;&gt;
Booking],Table610119[python script],"")</f>
        <v>"IDBOND": "/j:Booking/j:Arrest/j:ArrestCharge[1]/hs:ChargeAugmentation/j:BailBond/j:BailBondAmount/Amount",</v>
      </c>
      <c r="D242" s="33" t="str">
        <f>_xlfn.XLOOKUP(Table26[[#This Row],[XPATHS]],Table610119[&lt;&lt;NOLA_Exchange&gt;&gt;
Booking],Table610119['#],"")</f>
        <v>23expanded_IMARRD_sorted</v>
      </c>
    </row>
    <row r="243" spans="1:4" x14ac:dyDescent="0.3">
      <c r="A243" s="33" t="str">
        <f t="shared" si="3"/>
        <v>242book_xpath</v>
      </c>
      <c r="B243" s="33" t="s">
        <v>3216</v>
      </c>
      <c r="C243" s="33" t="str">
        <f>_xlfn.XLOOKUP(Table26[[#This Row],[XPATHS]],Table610119[&lt;&lt;NOLA_Exchange&gt;&gt;
Booking],Table610119[python script],"")</f>
        <v/>
      </c>
      <c r="D243" s="33" t="str">
        <f>_xlfn.XLOOKUP(Table26[[#This Row],[XPATHS]],Table610119[&lt;&lt;NOLA_Exchange&gt;&gt;
Booking],Table610119['#],"")</f>
        <v/>
      </c>
    </row>
    <row r="244" spans="1:4" x14ac:dyDescent="0.3">
      <c r="A244" s="33" t="str">
        <f t="shared" si="3"/>
        <v>243book_xpath</v>
      </c>
      <c r="B244" s="33" t="s">
        <v>1742</v>
      </c>
      <c r="C244" s="33" t="str">
        <f>_xlfn.XLOOKUP(Table26[[#This Row],[XPATHS]],Table610119[&lt;&lt;NOLA_Exchange&gt;&gt;
Booking],Table610119[python script],"")</f>
        <v>"IDCHD2": "/j:Booking/j:Arrest/j:ArrestCharge[2]/j:ChargeCategoryDescriptionText",</v>
      </c>
      <c r="D244" s="33" t="str">
        <f>_xlfn.XLOOKUP(Table26[[#This Row],[XPATHS]],Table610119[&lt;&lt;NOLA_Exchange&gt;&gt;
Booking],Table610119['#],"")</f>
        <v>29expanded_IMARRD_sorted</v>
      </c>
    </row>
    <row r="245" spans="1:4" x14ac:dyDescent="0.3">
      <c r="A245" s="33" t="str">
        <f t="shared" si="3"/>
        <v>244book_xpath</v>
      </c>
      <c r="B245" s="33" t="s">
        <v>3217</v>
      </c>
      <c r="C245" s="33" t="str">
        <f>_xlfn.XLOOKUP(Table26[[#This Row],[XPATHS]],Table610119[&lt;&lt;NOLA_Exchange&gt;&gt;
Booking],Table610119[python script],"")</f>
        <v/>
      </c>
      <c r="D245" s="33" t="str">
        <f>_xlfn.XLOOKUP(Table26[[#This Row],[XPATHS]],Table610119[&lt;&lt;NOLA_Exchange&gt;&gt;
Booking],Table610119['#],"")</f>
        <v/>
      </c>
    </row>
    <row r="246" spans="1:4" x14ac:dyDescent="0.3">
      <c r="A246" s="33" t="str">
        <f t="shared" si="3"/>
        <v>245book_xpath</v>
      </c>
      <c r="B246" s="33" t="s">
        <v>3218</v>
      </c>
      <c r="C246" s="33" t="str">
        <f>_xlfn.XLOOKUP(Table26[[#This Row],[XPATHS]],Table610119[&lt;&lt;NOLA_Exchange&gt;&gt;
Booking],Table610119[python script],"")</f>
        <v/>
      </c>
      <c r="D246" s="33" t="str">
        <f>_xlfn.XLOOKUP(Table26[[#This Row],[XPATHS]],Table610119[&lt;&lt;NOLA_Exchange&gt;&gt;
Booking],Table610119['#],"")</f>
        <v/>
      </c>
    </row>
    <row r="247" spans="1:4" x14ac:dyDescent="0.3">
      <c r="A247" s="33" t="str">
        <f t="shared" si="3"/>
        <v>246book_xpath</v>
      </c>
      <c r="B247" s="33" t="s">
        <v>2945</v>
      </c>
      <c r="C247" s="33" t="str">
        <f>_xlfn.XLOOKUP(Table26[[#This Row],[XPATHS]],Table610119[&lt;&lt;NOLA_Exchange&gt;&gt;
Booking],Table610119[python script],"")</f>
        <v>"IDSTA2": "/j:Booking/j:Arrest/j:ArrestCharge[2]/j:ChargeStatute/j:StatuteCodeIdentification/IdentificationID",</v>
      </c>
      <c r="D247" s="33" t="str">
        <f>_xlfn.XLOOKUP(Table26[[#This Row],[XPATHS]],Table610119[&lt;&lt;NOLA_Exchange&gt;&gt;
Booking],Table610119['#],"")</f>
        <v>93expanded_IMARRD_sorted</v>
      </c>
    </row>
    <row r="248" spans="1:4" x14ac:dyDescent="0.3">
      <c r="A248" s="33" t="str">
        <f t="shared" si="3"/>
        <v>247book_xpath</v>
      </c>
      <c r="B248" s="33" t="s">
        <v>3219</v>
      </c>
      <c r="C248" s="33" t="str">
        <f>_xlfn.XLOOKUP(Table26[[#This Row],[XPATHS]],Table610119[&lt;&lt;NOLA_Exchange&gt;&gt;
Booking],Table610119[python script],"")</f>
        <v/>
      </c>
      <c r="D248" s="33" t="str">
        <f>_xlfn.XLOOKUP(Table26[[#This Row],[XPATHS]],Table610119[&lt;&lt;NOLA_Exchange&gt;&gt;
Booking],Table610119['#],"")</f>
        <v/>
      </c>
    </row>
    <row r="249" spans="1:4" x14ac:dyDescent="0.3">
      <c r="A249" s="33" t="str">
        <f t="shared" si="3"/>
        <v>248book_xpath</v>
      </c>
      <c r="B249" s="33" t="s">
        <v>3030</v>
      </c>
      <c r="C249" s="33" t="str">
        <f>_xlfn.XLOOKUP(Table26[[#This Row],[XPATHS]],Table610119[&lt;&lt;NOLA_Exchange&gt;&gt;
Booking],Table610119[python script],"")</f>
        <v>"IDVIO2": "/j:Booking/j:Arrest/j:ArrestCharge[2]/j:ChargeStatute/j:StatuteCodeSectionIdentification/IdentificationID",</v>
      </c>
      <c r="D249" s="33" t="str">
        <f>_xlfn.XLOOKUP(Table26[[#This Row],[XPATHS]],Table610119[&lt;&lt;NOLA_Exchange&gt;&gt;
Booking],Table610119['#],"")</f>
        <v>105expanded_IMARRD_sorted</v>
      </c>
    </row>
    <row r="250" spans="1:4" x14ac:dyDescent="0.3">
      <c r="A250" s="33" t="str">
        <f t="shared" si="3"/>
        <v>249book_xpath</v>
      </c>
      <c r="B250" s="33" t="s">
        <v>3220</v>
      </c>
      <c r="C250" s="33" t="str">
        <f>_xlfn.XLOOKUP(Table26[[#This Row],[XPATHS]],Table610119[&lt;&lt;NOLA_Exchange&gt;&gt;
Booking],Table610119[python script],"")</f>
        <v/>
      </c>
      <c r="D250" s="33" t="str">
        <f>_xlfn.XLOOKUP(Table26[[#This Row],[XPATHS]],Table610119[&lt;&lt;NOLA_Exchange&gt;&gt;
Booking],Table610119['#],"")</f>
        <v/>
      </c>
    </row>
    <row r="251" spans="1:4" x14ac:dyDescent="0.3">
      <c r="A251" s="33" t="str">
        <f t="shared" si="3"/>
        <v>250book_xpath</v>
      </c>
      <c r="B251" s="33" t="s">
        <v>3221</v>
      </c>
      <c r="C251" s="33" t="str">
        <f>_xlfn.XLOOKUP(Table26[[#This Row],[XPATHS]],Table610119[&lt;&lt;NOLA_Exchange&gt;&gt;
Booking],Table610119[python script],"")</f>
        <v/>
      </c>
      <c r="D251" s="33" t="str">
        <f>_xlfn.XLOOKUP(Table26[[#This Row],[XPATHS]],Table610119[&lt;&lt;NOLA_Exchange&gt;&gt;
Booking],Table610119['#],"")</f>
        <v/>
      </c>
    </row>
    <row r="252" spans="1:4" x14ac:dyDescent="0.3">
      <c r="A252" s="33" t="str">
        <f t="shared" si="3"/>
        <v>251book_xpath</v>
      </c>
      <c r="B252" s="33" t="s">
        <v>3003</v>
      </c>
      <c r="C252" s="33" t="str">
        <f>_xlfn.XLOOKUP(Table26[[#This Row],[XPATHS]],Table610119[&lt;&lt;NOLA_Exchange&gt;&gt;
Booking],Table610119[python script],"")</f>
        <v>"IDSUB2": "/j:Booking/j:Arrest/j:ArrestCharge[2]/j:ChargeStatute/nola-ext:ChargeStatuteAugmentation/nola-ext:StatuteCodeSectionSubparagraphIdentification/IdentificationID",</v>
      </c>
      <c r="D252" s="33" t="str">
        <f>_xlfn.XLOOKUP(Table26[[#This Row],[XPATHS]],Table610119[&lt;&lt;NOLA_Exchange&gt;&gt;
Booking],Table610119['#],"")</f>
        <v>99expanded_IMARRD_sorted</v>
      </c>
    </row>
    <row r="253" spans="1:4" x14ac:dyDescent="0.3">
      <c r="A253" s="33" t="str">
        <f t="shared" si="3"/>
        <v>252book_xpath</v>
      </c>
      <c r="B253" s="33" t="s">
        <v>3222</v>
      </c>
      <c r="C253" s="33" t="str">
        <f>_xlfn.XLOOKUP(Table26[[#This Row],[XPATHS]],Table610119[&lt;&lt;NOLA_Exchange&gt;&gt;
Booking],Table610119[python script],"")</f>
        <v/>
      </c>
      <c r="D253" s="33" t="str">
        <f>_xlfn.XLOOKUP(Table26[[#This Row],[XPATHS]],Table610119[&lt;&lt;NOLA_Exchange&gt;&gt;
Booking],Table610119['#],"")</f>
        <v/>
      </c>
    </row>
    <row r="254" spans="1:4" x14ac:dyDescent="0.3">
      <c r="A254" s="33" t="str">
        <f t="shared" si="3"/>
        <v>253book_xpath</v>
      </c>
      <c r="B254" s="33" t="s">
        <v>1843</v>
      </c>
      <c r="C254" s="33" t="str">
        <f>_xlfn.XLOOKUP(Table26[[#This Row],[XPATHS]],Table610119[&lt;&lt;NOLA_Exchange&gt;&gt;
Booking],Table610119[python script],"")</f>
        <v>"IDLBR2": "/j:Booking/j:Arrest/j:ArrestCharge[2]/nola-ext:ChargeAugmentation/nola-ext:ChargeLIBRSCode",</v>
      </c>
      <c r="D254" s="33" t="str">
        <f>_xlfn.XLOOKUP(Table26[[#This Row],[XPATHS]],Table610119[&lt;&lt;NOLA_Exchange&gt;&gt;
Booking],Table610119['#],"")</f>
        <v>41expanded_IMARRD_sorted</v>
      </c>
    </row>
    <row r="255" spans="1:4" x14ac:dyDescent="0.3">
      <c r="A255" s="33" t="str">
        <f t="shared" si="3"/>
        <v>254book_xpath</v>
      </c>
      <c r="B255" s="33" t="s">
        <v>1816</v>
      </c>
      <c r="C255" s="33" t="str">
        <f>_xlfn.XLOOKUP(Table26[[#This Row],[XPATHS]],Table610119[&lt;&lt;NOLA_Exchange&gt;&gt;
Booking],Table610119[python script],"")</f>
        <v>"IDCHK2": "/j:Booking/j:Arrest/j:ArrestCharge[2]/nola-ext:ChargeAugmentation/nola-ext:ChargeKey",</v>
      </c>
      <c r="D255" s="33" t="str">
        <f>_xlfn.XLOOKUP(Table26[[#This Row],[XPATHS]],Table610119[&lt;&lt;NOLA_Exchange&gt;&gt;
Booking],Table610119['#],"")</f>
        <v>35expanded_IMARRD_sorted</v>
      </c>
    </row>
    <row r="256" spans="1:4" x14ac:dyDescent="0.3">
      <c r="A256" s="33" t="str">
        <f t="shared" si="3"/>
        <v>255book_xpath</v>
      </c>
      <c r="B256" s="33" t="s">
        <v>1479</v>
      </c>
      <c r="C256" s="33" t="str">
        <f>_xlfn.XLOOKUP(Table26[[#This Row],[XPATHS]],Table610119[&lt;&lt;NOLA_Exchange&gt;&gt;
Booking],Table610119[python script],"")</f>
        <v>"IDATN2": "/j:Booking/j:Arrest/j:ArrestCharge[2]/nola-ext:ChargeAugmentation/nola-ext:StatewideArrestTrackingNumber",</v>
      </c>
      <c r="D256" s="33" t="str">
        <f>_xlfn.XLOOKUP(Table26[[#This Row],[XPATHS]],Table610119[&lt;&lt;NOLA_Exchange&gt;&gt;
Booking],Table610119['#],"")</f>
        <v>11expanded_IMARRD_sorted</v>
      </c>
    </row>
    <row r="257" spans="1:4" x14ac:dyDescent="0.3">
      <c r="A257" s="33" t="str">
        <f t="shared" si="3"/>
        <v>256book_xpath</v>
      </c>
      <c r="B257" s="33" t="s">
        <v>1504</v>
      </c>
      <c r="C257" s="33" t="str">
        <f>_xlfn.XLOOKUP(Table26[[#This Row],[XPATHS]],Table610119[&lt;&lt;NOLA_Exchange&gt;&gt;
Booking],Table610119[python script],"")</f>
        <v>"IDATS2": "/j:Booking/j:Arrest/j:ArrestCharge[2]/nola-ext:ChargeAugmentation/nola-ext:StatewideATNChargeSequenceID",</v>
      </c>
      <c r="D257" s="33" t="str">
        <f>_xlfn.XLOOKUP(Table26[[#This Row],[XPATHS]],Table610119[&lt;&lt;NOLA_Exchange&gt;&gt;
Booking],Table610119['#],"")</f>
        <v>17expanded_IMARRD_sorted</v>
      </c>
    </row>
    <row r="258" spans="1:4" x14ac:dyDescent="0.3">
      <c r="A258" s="33" t="str">
        <f t="shared" ref="A258:A321" si="4">ROW(A257)&amp;"book_xpath"</f>
        <v>257book_xpath</v>
      </c>
      <c r="B258" s="33" t="s">
        <v>1865</v>
      </c>
      <c r="C258" s="33" t="str">
        <f>_xlfn.XLOOKUP(Table26[[#This Row],[XPATHS]],Table610119[&lt;&lt;NOLA_Exchange&gt;&gt;
Booking],Table610119[python script],"")</f>
        <v>"IDCHN2": "/j:Booking/j:Arrest/j:ArrestCharge[2]/nola-ext:ChargeAugmentation/nola-ext:JMSChargeNumber",</v>
      </c>
      <c r="D258" s="33" t="str">
        <f>_xlfn.XLOOKUP(Table26[[#This Row],[XPATHS]],Table610119[&lt;&lt;NOLA_Exchange&gt;&gt;
Booking],Table610119['#],"")</f>
        <v>47expanded_IMARRD_sorted</v>
      </c>
    </row>
    <row r="259" spans="1:4" x14ac:dyDescent="0.3">
      <c r="A259" s="33" t="str">
        <f t="shared" si="4"/>
        <v>258book_xpath</v>
      </c>
      <c r="B259" s="33" t="s">
        <v>3223</v>
      </c>
      <c r="C259" s="33" t="str">
        <f>_xlfn.XLOOKUP(Table26[[#This Row],[XPATHS]],Table610119[&lt;&lt;NOLA_Exchange&gt;&gt;
Booking],Table610119[python script],"")</f>
        <v/>
      </c>
      <c r="D259" s="33" t="str">
        <f>_xlfn.XLOOKUP(Table26[[#This Row],[XPATHS]],Table610119[&lt;&lt;NOLA_Exchange&gt;&gt;
Booking],Table610119['#],"")</f>
        <v/>
      </c>
    </row>
    <row r="260" spans="1:4" x14ac:dyDescent="0.3">
      <c r="A260" s="33" t="str">
        <f t="shared" si="4"/>
        <v>259book_xpath</v>
      </c>
      <c r="B260" s="33" t="s">
        <v>1743</v>
      </c>
      <c r="C260" s="33" t="str">
        <f>_xlfn.XLOOKUP(Table26[[#This Row],[XPATHS]],Table610119[&lt;&lt;NOLA_Exchange&gt;&gt;
Booking],Table610119[python script],"")</f>
        <v>"IDCHD3": "/j:Booking/j:Arrest/j:ArrestCharge[3]/j:ChargeCategoryDescriptionText",</v>
      </c>
      <c r="D260" s="33" t="str">
        <f>_xlfn.XLOOKUP(Table26[[#This Row],[XPATHS]],Table610119[&lt;&lt;NOLA_Exchange&gt;&gt;
Booking],Table610119['#],"")</f>
        <v>30expanded_IMARRD_sorted</v>
      </c>
    </row>
    <row r="261" spans="1:4" x14ac:dyDescent="0.3">
      <c r="A261" s="33" t="str">
        <f t="shared" si="4"/>
        <v>260book_xpath</v>
      </c>
      <c r="B261" s="33" t="s">
        <v>3224</v>
      </c>
      <c r="C261" s="33" t="str">
        <f>_xlfn.XLOOKUP(Table26[[#This Row],[XPATHS]],Table610119[&lt;&lt;NOLA_Exchange&gt;&gt;
Booking],Table610119[python script],"")</f>
        <v/>
      </c>
      <c r="D261" s="33" t="str">
        <f>_xlfn.XLOOKUP(Table26[[#This Row],[XPATHS]],Table610119[&lt;&lt;NOLA_Exchange&gt;&gt;
Booking],Table610119['#],"")</f>
        <v/>
      </c>
    </row>
    <row r="262" spans="1:4" x14ac:dyDescent="0.3">
      <c r="A262" s="33" t="str">
        <f t="shared" si="4"/>
        <v>261book_xpath</v>
      </c>
      <c r="B262" s="33" t="s">
        <v>3225</v>
      </c>
      <c r="C262" s="33" t="str">
        <f>_xlfn.XLOOKUP(Table26[[#This Row],[XPATHS]],Table610119[&lt;&lt;NOLA_Exchange&gt;&gt;
Booking],Table610119[python script],"")</f>
        <v/>
      </c>
      <c r="D262" s="33" t="str">
        <f>_xlfn.XLOOKUP(Table26[[#This Row],[XPATHS]],Table610119[&lt;&lt;NOLA_Exchange&gt;&gt;
Booking],Table610119['#],"")</f>
        <v/>
      </c>
    </row>
    <row r="263" spans="1:4" x14ac:dyDescent="0.3">
      <c r="A263" s="33" t="str">
        <f t="shared" si="4"/>
        <v>262book_xpath</v>
      </c>
      <c r="B263" s="33" t="s">
        <v>2946</v>
      </c>
      <c r="C263" s="33" t="str">
        <f>_xlfn.XLOOKUP(Table26[[#This Row],[XPATHS]],Table610119[&lt;&lt;NOLA_Exchange&gt;&gt;
Booking],Table610119[python script],"")</f>
        <v>"IDSTA3": "/j:Booking/j:Arrest/j:ArrestCharge[3]/j:ChargeStatute/j:StatuteCodeIdentification/IdentificationID",</v>
      </c>
      <c r="D263" s="33" t="str">
        <f>_xlfn.XLOOKUP(Table26[[#This Row],[XPATHS]],Table610119[&lt;&lt;NOLA_Exchange&gt;&gt;
Booking],Table610119['#],"")</f>
        <v>94expanded_IMARRD_sorted</v>
      </c>
    </row>
    <row r="264" spans="1:4" x14ac:dyDescent="0.3">
      <c r="A264" s="33" t="str">
        <f t="shared" si="4"/>
        <v>263book_xpath</v>
      </c>
      <c r="B264" s="33" t="s">
        <v>3226</v>
      </c>
      <c r="C264" s="33" t="str">
        <f>_xlfn.XLOOKUP(Table26[[#This Row],[XPATHS]],Table610119[&lt;&lt;NOLA_Exchange&gt;&gt;
Booking],Table610119[python script],"")</f>
        <v/>
      </c>
      <c r="D264" s="33" t="str">
        <f>_xlfn.XLOOKUP(Table26[[#This Row],[XPATHS]],Table610119[&lt;&lt;NOLA_Exchange&gt;&gt;
Booking],Table610119['#],"")</f>
        <v/>
      </c>
    </row>
    <row r="265" spans="1:4" x14ac:dyDescent="0.3">
      <c r="A265" s="33" t="str">
        <f t="shared" si="4"/>
        <v>264book_xpath</v>
      </c>
      <c r="B265" s="33" t="s">
        <v>3031</v>
      </c>
      <c r="C265" s="33" t="str">
        <f>_xlfn.XLOOKUP(Table26[[#This Row],[XPATHS]],Table610119[&lt;&lt;NOLA_Exchange&gt;&gt;
Booking],Table610119[python script],"")</f>
        <v>"IDVIO3": "/j:Booking/j:Arrest/j:ArrestCharge[3]/j:ChargeStatute/j:StatuteCodeSectionIdentification/IdentificationID",</v>
      </c>
      <c r="D265" s="33" t="str">
        <f>_xlfn.XLOOKUP(Table26[[#This Row],[XPATHS]],Table610119[&lt;&lt;NOLA_Exchange&gt;&gt;
Booking],Table610119['#],"")</f>
        <v>106expanded_IMARRD_sorted</v>
      </c>
    </row>
    <row r="266" spans="1:4" x14ac:dyDescent="0.3">
      <c r="A266" s="33" t="str">
        <f t="shared" si="4"/>
        <v>265book_xpath</v>
      </c>
      <c r="B266" s="33" t="s">
        <v>3227</v>
      </c>
      <c r="C266" s="33" t="str">
        <f>_xlfn.XLOOKUP(Table26[[#This Row],[XPATHS]],Table610119[&lt;&lt;NOLA_Exchange&gt;&gt;
Booking],Table610119[python script],"")</f>
        <v/>
      </c>
      <c r="D266" s="33" t="str">
        <f>_xlfn.XLOOKUP(Table26[[#This Row],[XPATHS]],Table610119[&lt;&lt;NOLA_Exchange&gt;&gt;
Booking],Table610119['#],"")</f>
        <v/>
      </c>
    </row>
    <row r="267" spans="1:4" x14ac:dyDescent="0.3">
      <c r="A267" s="33" t="str">
        <f t="shared" si="4"/>
        <v>266book_xpath</v>
      </c>
      <c r="B267" s="33" t="s">
        <v>3228</v>
      </c>
      <c r="C267" s="33" t="str">
        <f>_xlfn.XLOOKUP(Table26[[#This Row],[XPATHS]],Table610119[&lt;&lt;NOLA_Exchange&gt;&gt;
Booking],Table610119[python script],"")</f>
        <v/>
      </c>
      <c r="D267" s="33" t="str">
        <f>_xlfn.XLOOKUP(Table26[[#This Row],[XPATHS]],Table610119[&lt;&lt;NOLA_Exchange&gt;&gt;
Booking],Table610119['#],"")</f>
        <v/>
      </c>
    </row>
    <row r="268" spans="1:4" x14ac:dyDescent="0.3">
      <c r="A268" s="33" t="str">
        <f t="shared" si="4"/>
        <v>267book_xpath</v>
      </c>
      <c r="B268" s="33" t="s">
        <v>3004</v>
      </c>
      <c r="C268" s="33" t="str">
        <f>_xlfn.XLOOKUP(Table26[[#This Row],[XPATHS]],Table610119[&lt;&lt;NOLA_Exchange&gt;&gt;
Booking],Table610119[python script],"")</f>
        <v>"IDSUB3": "/j:Booking/j:Arrest/j:ArrestCharge[3]/j:ChargeStatute/nola-ext:ChargeStatuteAugmentation/nola-ext:StatuteCodeSectionSubparagraphIdentification/IdentificationID",</v>
      </c>
      <c r="D268" s="33" t="str">
        <f>_xlfn.XLOOKUP(Table26[[#This Row],[XPATHS]],Table610119[&lt;&lt;NOLA_Exchange&gt;&gt;
Booking],Table610119['#],"")</f>
        <v>100expanded_IMARRD_sorted</v>
      </c>
    </row>
    <row r="269" spans="1:4" x14ac:dyDescent="0.3">
      <c r="A269" s="33" t="str">
        <f t="shared" si="4"/>
        <v>268book_xpath</v>
      </c>
      <c r="B269" s="33" t="s">
        <v>3229</v>
      </c>
      <c r="C269" s="33" t="str">
        <f>_xlfn.XLOOKUP(Table26[[#This Row],[XPATHS]],Table610119[&lt;&lt;NOLA_Exchange&gt;&gt;
Booking],Table610119[python script],"")</f>
        <v/>
      </c>
      <c r="D269" s="33" t="str">
        <f>_xlfn.XLOOKUP(Table26[[#This Row],[XPATHS]],Table610119[&lt;&lt;NOLA_Exchange&gt;&gt;
Booking],Table610119['#],"")</f>
        <v/>
      </c>
    </row>
    <row r="270" spans="1:4" x14ac:dyDescent="0.3">
      <c r="A270" s="33" t="str">
        <f t="shared" si="4"/>
        <v>269book_xpath</v>
      </c>
      <c r="B270" s="33" t="s">
        <v>1844</v>
      </c>
      <c r="C270" s="33" t="str">
        <f>_xlfn.XLOOKUP(Table26[[#This Row],[XPATHS]],Table610119[&lt;&lt;NOLA_Exchange&gt;&gt;
Booking],Table610119[python script],"")</f>
        <v>"IDLBR3": "/j:Booking/j:Arrest/j:ArrestCharge[3]/nola-ext:ChargeAugmentation/nola-ext:ChargeLIBRSCode",</v>
      </c>
      <c r="D270" s="33" t="str">
        <f>_xlfn.XLOOKUP(Table26[[#This Row],[XPATHS]],Table610119[&lt;&lt;NOLA_Exchange&gt;&gt;
Booking],Table610119['#],"")</f>
        <v>42expanded_IMARRD_sorted</v>
      </c>
    </row>
    <row r="271" spans="1:4" x14ac:dyDescent="0.3">
      <c r="A271" s="33" t="str">
        <f t="shared" si="4"/>
        <v>270book_xpath</v>
      </c>
      <c r="B271" s="33" t="s">
        <v>1817</v>
      </c>
      <c r="C271" s="33" t="str">
        <f>_xlfn.XLOOKUP(Table26[[#This Row],[XPATHS]],Table610119[&lt;&lt;NOLA_Exchange&gt;&gt;
Booking],Table610119[python script],"")</f>
        <v>"IDCHK3": "/j:Booking/j:Arrest/j:ArrestCharge[3]/nola-ext:ChargeAugmentation/nola-ext:ChargeKey",</v>
      </c>
      <c r="D271" s="33" t="str">
        <f>_xlfn.XLOOKUP(Table26[[#This Row],[XPATHS]],Table610119[&lt;&lt;NOLA_Exchange&gt;&gt;
Booking],Table610119['#],"")</f>
        <v>36expanded_IMARRD_sorted</v>
      </c>
    </row>
    <row r="272" spans="1:4" x14ac:dyDescent="0.3">
      <c r="A272" s="33" t="str">
        <f t="shared" si="4"/>
        <v>271book_xpath</v>
      </c>
      <c r="B272" s="33" t="s">
        <v>1480</v>
      </c>
      <c r="C272" s="33" t="str">
        <f>_xlfn.XLOOKUP(Table26[[#This Row],[XPATHS]],Table610119[&lt;&lt;NOLA_Exchange&gt;&gt;
Booking],Table610119[python script],"")</f>
        <v>"IDATN3": "/j:Booking/j:Arrest/j:ArrestCharge[3]/nola-ext:ChargeAugmentation/nola-ext:StatewideArrestTrackingNumber",</v>
      </c>
      <c r="D272" s="33" t="str">
        <f>_xlfn.XLOOKUP(Table26[[#This Row],[XPATHS]],Table610119[&lt;&lt;NOLA_Exchange&gt;&gt;
Booking],Table610119['#],"")</f>
        <v>12expanded_IMARRD_sorted</v>
      </c>
    </row>
    <row r="273" spans="1:4" x14ac:dyDescent="0.3">
      <c r="A273" s="33" t="str">
        <f t="shared" si="4"/>
        <v>272book_xpath</v>
      </c>
      <c r="B273" s="33" t="s">
        <v>1505</v>
      </c>
      <c r="C273" s="33" t="str">
        <f>_xlfn.XLOOKUP(Table26[[#This Row],[XPATHS]],Table610119[&lt;&lt;NOLA_Exchange&gt;&gt;
Booking],Table610119[python script],"")</f>
        <v>"IDATS3": "/j:Booking/j:Arrest/j:ArrestCharge[3]/nola-ext:ChargeAugmentation/nola-ext:StatewideATNChargeSequenceID",</v>
      </c>
      <c r="D273" s="33" t="str">
        <f>_xlfn.XLOOKUP(Table26[[#This Row],[XPATHS]],Table610119[&lt;&lt;NOLA_Exchange&gt;&gt;
Booking],Table610119['#],"")</f>
        <v>18expanded_IMARRD_sorted</v>
      </c>
    </row>
    <row r="274" spans="1:4" x14ac:dyDescent="0.3">
      <c r="A274" s="33" t="str">
        <f t="shared" si="4"/>
        <v>273book_xpath</v>
      </c>
      <c r="B274" s="33" t="s">
        <v>1866</v>
      </c>
      <c r="C274" s="33" t="str">
        <f>_xlfn.XLOOKUP(Table26[[#This Row],[XPATHS]],Table610119[&lt;&lt;NOLA_Exchange&gt;&gt;
Booking],Table610119[python script],"")</f>
        <v>"IDCHN3": "/j:Booking/j:Arrest/j:ArrestCharge[3]/nola-ext:ChargeAugmentation/nola-ext:JMSChargeNumber",</v>
      </c>
      <c r="D274" s="33" t="str">
        <f>_xlfn.XLOOKUP(Table26[[#This Row],[XPATHS]],Table610119[&lt;&lt;NOLA_Exchange&gt;&gt;
Booking],Table610119['#],"")</f>
        <v>48expanded_IMARRD_sorted</v>
      </c>
    </row>
    <row r="275" spans="1:4" x14ac:dyDescent="0.3">
      <c r="A275" s="33" t="str">
        <f t="shared" si="4"/>
        <v>274book_xpath</v>
      </c>
      <c r="B275" s="33" t="s">
        <v>3230</v>
      </c>
      <c r="C275" s="33" t="str">
        <f>_xlfn.XLOOKUP(Table26[[#This Row],[XPATHS]],Table610119[&lt;&lt;NOLA_Exchange&gt;&gt;
Booking],Table610119[python script],"")</f>
        <v/>
      </c>
      <c r="D275" s="33" t="str">
        <f>_xlfn.XLOOKUP(Table26[[#This Row],[XPATHS]],Table610119[&lt;&lt;NOLA_Exchange&gt;&gt;
Booking],Table610119['#],"")</f>
        <v/>
      </c>
    </row>
    <row r="276" spans="1:4" x14ac:dyDescent="0.3">
      <c r="A276" s="33" t="str">
        <f t="shared" si="4"/>
        <v>275book_xpath</v>
      </c>
      <c r="B276" s="33" t="s">
        <v>1744</v>
      </c>
      <c r="C276" s="33" t="str">
        <f>_xlfn.XLOOKUP(Table26[[#This Row],[XPATHS]],Table610119[&lt;&lt;NOLA_Exchange&gt;&gt;
Booking],Table610119[python script],"")</f>
        <v>"IDCHD4": "/j:Booking/j:Arrest/j:ArrestCharge[4]/j:ChargeCategoryDescriptionText",</v>
      </c>
      <c r="D276" s="33" t="str">
        <f>_xlfn.XLOOKUP(Table26[[#This Row],[XPATHS]],Table610119[&lt;&lt;NOLA_Exchange&gt;&gt;
Booking],Table610119['#],"")</f>
        <v>31expanded_IMARRD_sorted</v>
      </c>
    </row>
    <row r="277" spans="1:4" x14ac:dyDescent="0.3">
      <c r="A277" s="33" t="str">
        <f t="shared" si="4"/>
        <v>276book_xpath</v>
      </c>
      <c r="B277" s="33" t="s">
        <v>3231</v>
      </c>
      <c r="C277" s="33" t="str">
        <f>_xlfn.XLOOKUP(Table26[[#This Row],[XPATHS]],Table610119[&lt;&lt;NOLA_Exchange&gt;&gt;
Booking],Table610119[python script],"")</f>
        <v/>
      </c>
      <c r="D277" s="33" t="str">
        <f>_xlfn.XLOOKUP(Table26[[#This Row],[XPATHS]],Table610119[&lt;&lt;NOLA_Exchange&gt;&gt;
Booking],Table610119['#],"")</f>
        <v/>
      </c>
    </row>
    <row r="278" spans="1:4" x14ac:dyDescent="0.3">
      <c r="A278" s="33" t="str">
        <f t="shared" si="4"/>
        <v>277book_xpath</v>
      </c>
      <c r="B278" s="33" t="s">
        <v>3232</v>
      </c>
      <c r="C278" s="33" t="str">
        <f>_xlfn.XLOOKUP(Table26[[#This Row],[XPATHS]],Table610119[&lt;&lt;NOLA_Exchange&gt;&gt;
Booking],Table610119[python script],"")</f>
        <v/>
      </c>
      <c r="D278" s="33" t="str">
        <f>_xlfn.XLOOKUP(Table26[[#This Row],[XPATHS]],Table610119[&lt;&lt;NOLA_Exchange&gt;&gt;
Booking],Table610119['#],"")</f>
        <v/>
      </c>
    </row>
    <row r="279" spans="1:4" x14ac:dyDescent="0.3">
      <c r="A279" s="33" t="str">
        <f t="shared" si="4"/>
        <v>278book_xpath</v>
      </c>
      <c r="B279" s="33" t="s">
        <v>2947</v>
      </c>
      <c r="C279" s="33" t="str">
        <f>_xlfn.XLOOKUP(Table26[[#This Row],[XPATHS]],Table610119[&lt;&lt;NOLA_Exchange&gt;&gt;
Booking],Table610119[python script],"")</f>
        <v>"IDSTA4": "/j:Booking/j:Arrest/j:ArrestCharge[4]/j:ChargeStatute/j:StatuteCodeIdentification/IdentificationID",</v>
      </c>
      <c r="D279" s="33" t="str">
        <f>_xlfn.XLOOKUP(Table26[[#This Row],[XPATHS]],Table610119[&lt;&lt;NOLA_Exchange&gt;&gt;
Booking],Table610119['#],"")</f>
        <v>95expanded_IMARRD_sorted</v>
      </c>
    </row>
    <row r="280" spans="1:4" x14ac:dyDescent="0.3">
      <c r="A280" s="33" t="str">
        <f t="shared" si="4"/>
        <v>279book_xpath</v>
      </c>
      <c r="B280" s="33" t="s">
        <v>3233</v>
      </c>
      <c r="C280" s="33" t="str">
        <f>_xlfn.XLOOKUP(Table26[[#This Row],[XPATHS]],Table610119[&lt;&lt;NOLA_Exchange&gt;&gt;
Booking],Table610119[python script],"")</f>
        <v/>
      </c>
      <c r="D280" s="33" t="str">
        <f>_xlfn.XLOOKUP(Table26[[#This Row],[XPATHS]],Table610119[&lt;&lt;NOLA_Exchange&gt;&gt;
Booking],Table610119['#],"")</f>
        <v/>
      </c>
    </row>
    <row r="281" spans="1:4" x14ac:dyDescent="0.3">
      <c r="A281" s="33" t="str">
        <f t="shared" si="4"/>
        <v>280book_xpath</v>
      </c>
      <c r="B281" s="33" t="s">
        <v>3032</v>
      </c>
      <c r="C281" s="33" t="str">
        <f>_xlfn.XLOOKUP(Table26[[#This Row],[XPATHS]],Table610119[&lt;&lt;NOLA_Exchange&gt;&gt;
Booking],Table610119[python script],"")</f>
        <v>"IDVIO4": "/j:Booking/j:Arrest/j:ArrestCharge[4]/j:ChargeStatute/j:StatuteCodeSectionIdentification/IdentificationID",</v>
      </c>
      <c r="D281" s="33" t="str">
        <f>_xlfn.XLOOKUP(Table26[[#This Row],[XPATHS]],Table610119[&lt;&lt;NOLA_Exchange&gt;&gt;
Booking],Table610119['#],"")</f>
        <v>107expanded_IMARRD_sorted</v>
      </c>
    </row>
    <row r="282" spans="1:4" x14ac:dyDescent="0.3">
      <c r="A282" s="33" t="str">
        <f t="shared" si="4"/>
        <v>281book_xpath</v>
      </c>
      <c r="B282" s="33" t="s">
        <v>3234</v>
      </c>
      <c r="C282" s="33" t="str">
        <f>_xlfn.XLOOKUP(Table26[[#This Row],[XPATHS]],Table610119[&lt;&lt;NOLA_Exchange&gt;&gt;
Booking],Table610119[python script],"")</f>
        <v/>
      </c>
      <c r="D282" s="33" t="str">
        <f>_xlfn.XLOOKUP(Table26[[#This Row],[XPATHS]],Table610119[&lt;&lt;NOLA_Exchange&gt;&gt;
Booking],Table610119['#],"")</f>
        <v/>
      </c>
    </row>
    <row r="283" spans="1:4" x14ac:dyDescent="0.3">
      <c r="A283" s="33" t="str">
        <f t="shared" si="4"/>
        <v>282book_xpath</v>
      </c>
      <c r="B283" s="33" t="s">
        <v>3235</v>
      </c>
      <c r="C283" s="33" t="str">
        <f>_xlfn.XLOOKUP(Table26[[#This Row],[XPATHS]],Table610119[&lt;&lt;NOLA_Exchange&gt;&gt;
Booking],Table610119[python script],"")</f>
        <v/>
      </c>
      <c r="D283" s="33" t="str">
        <f>_xlfn.XLOOKUP(Table26[[#This Row],[XPATHS]],Table610119[&lt;&lt;NOLA_Exchange&gt;&gt;
Booking],Table610119['#],"")</f>
        <v/>
      </c>
    </row>
    <row r="284" spans="1:4" x14ac:dyDescent="0.3">
      <c r="A284" s="33" t="str">
        <f t="shared" si="4"/>
        <v>283book_xpath</v>
      </c>
      <c r="B284" s="33" t="s">
        <v>3005</v>
      </c>
      <c r="C284" s="33" t="str">
        <f>_xlfn.XLOOKUP(Table26[[#This Row],[XPATHS]],Table610119[&lt;&lt;NOLA_Exchange&gt;&gt;
Booking],Table610119[python script],"")</f>
        <v>"IDSUB4": "/j:Booking/j:Arrest/j:ArrestCharge[4]/j:ChargeStatute/nola-ext:ChargeStatuteAugmentation/nola-ext:StatuteCodeSectionSubparagraphIdentification/IdentificationID",</v>
      </c>
      <c r="D284" s="33" t="str">
        <f>_xlfn.XLOOKUP(Table26[[#This Row],[XPATHS]],Table610119[&lt;&lt;NOLA_Exchange&gt;&gt;
Booking],Table610119['#],"")</f>
        <v>101expanded_IMARRD_sorted</v>
      </c>
    </row>
    <row r="285" spans="1:4" x14ac:dyDescent="0.3">
      <c r="A285" s="33" t="str">
        <f t="shared" si="4"/>
        <v>284book_xpath</v>
      </c>
      <c r="B285" s="33" t="s">
        <v>3236</v>
      </c>
      <c r="C285" s="33" t="str">
        <f>_xlfn.XLOOKUP(Table26[[#This Row],[XPATHS]],Table610119[&lt;&lt;NOLA_Exchange&gt;&gt;
Booking],Table610119[python script],"")</f>
        <v/>
      </c>
      <c r="D285" s="33" t="str">
        <f>_xlfn.XLOOKUP(Table26[[#This Row],[XPATHS]],Table610119[&lt;&lt;NOLA_Exchange&gt;&gt;
Booking],Table610119['#],"")</f>
        <v/>
      </c>
    </row>
    <row r="286" spans="1:4" x14ac:dyDescent="0.3">
      <c r="A286" s="33" t="str">
        <f t="shared" si="4"/>
        <v>285book_xpath</v>
      </c>
      <c r="B286" s="33" t="s">
        <v>1845</v>
      </c>
      <c r="C286" s="33" t="str">
        <f>_xlfn.XLOOKUP(Table26[[#This Row],[XPATHS]],Table610119[&lt;&lt;NOLA_Exchange&gt;&gt;
Booking],Table610119[python script],"")</f>
        <v>"IDLBR4": "/j:Booking/j:Arrest/j:ArrestCharge[4]/nola-ext:ChargeAugmentation/nola-ext:ChargeLIBRSCode",</v>
      </c>
      <c r="D286" s="33" t="str">
        <f>_xlfn.XLOOKUP(Table26[[#This Row],[XPATHS]],Table610119[&lt;&lt;NOLA_Exchange&gt;&gt;
Booking],Table610119['#],"")</f>
        <v>43expanded_IMARRD_sorted</v>
      </c>
    </row>
    <row r="287" spans="1:4" x14ac:dyDescent="0.3">
      <c r="A287" s="33" t="str">
        <f t="shared" si="4"/>
        <v>286book_xpath</v>
      </c>
      <c r="B287" s="33" t="s">
        <v>1818</v>
      </c>
      <c r="C287" s="33" t="str">
        <f>_xlfn.XLOOKUP(Table26[[#This Row],[XPATHS]],Table610119[&lt;&lt;NOLA_Exchange&gt;&gt;
Booking],Table610119[python script],"")</f>
        <v>"IDCHK4": "/j:Booking/j:Arrest/j:ArrestCharge[4]/nola-ext:ChargeAugmentation/nola-ext:ChargeKey",</v>
      </c>
      <c r="D287" s="33" t="str">
        <f>_xlfn.XLOOKUP(Table26[[#This Row],[XPATHS]],Table610119[&lt;&lt;NOLA_Exchange&gt;&gt;
Booking],Table610119['#],"")</f>
        <v>37expanded_IMARRD_sorted</v>
      </c>
    </row>
    <row r="288" spans="1:4" x14ac:dyDescent="0.3">
      <c r="A288" s="33" t="str">
        <f t="shared" si="4"/>
        <v>287book_xpath</v>
      </c>
      <c r="B288" s="33" t="s">
        <v>1481</v>
      </c>
      <c r="C288" s="33" t="str">
        <f>_xlfn.XLOOKUP(Table26[[#This Row],[XPATHS]],Table610119[&lt;&lt;NOLA_Exchange&gt;&gt;
Booking],Table610119[python script],"")</f>
        <v>"IDATN4": "/j:Booking/j:Arrest/j:ArrestCharge[4]/nola-ext:ChargeAugmentation/nola-ext:StatewideArrestTrackingNumber",</v>
      </c>
      <c r="D288" s="33" t="str">
        <f>_xlfn.XLOOKUP(Table26[[#This Row],[XPATHS]],Table610119[&lt;&lt;NOLA_Exchange&gt;&gt;
Booking],Table610119['#],"")</f>
        <v>13expanded_IMARRD_sorted</v>
      </c>
    </row>
    <row r="289" spans="1:4" x14ac:dyDescent="0.3">
      <c r="A289" s="33" t="str">
        <f t="shared" si="4"/>
        <v>288book_xpath</v>
      </c>
      <c r="B289" s="33" t="s">
        <v>1506</v>
      </c>
      <c r="C289" s="33" t="str">
        <f>_xlfn.XLOOKUP(Table26[[#This Row],[XPATHS]],Table610119[&lt;&lt;NOLA_Exchange&gt;&gt;
Booking],Table610119[python script],"")</f>
        <v>"IDATS4": "/j:Booking/j:Arrest/j:ArrestCharge[4]/nola-ext:ChargeAugmentation/nola-ext:StatewideATNChargeSequenceID",</v>
      </c>
      <c r="D289" s="33" t="str">
        <f>_xlfn.XLOOKUP(Table26[[#This Row],[XPATHS]],Table610119[&lt;&lt;NOLA_Exchange&gt;&gt;
Booking],Table610119['#],"")</f>
        <v>19expanded_IMARRD_sorted</v>
      </c>
    </row>
    <row r="290" spans="1:4" x14ac:dyDescent="0.3">
      <c r="A290" s="33" t="str">
        <f t="shared" si="4"/>
        <v>289book_xpath</v>
      </c>
      <c r="B290" s="33" t="s">
        <v>1867</v>
      </c>
      <c r="C290" s="33" t="str">
        <f>_xlfn.XLOOKUP(Table26[[#This Row],[XPATHS]],Table610119[&lt;&lt;NOLA_Exchange&gt;&gt;
Booking],Table610119[python script],"")</f>
        <v>"IDCHN4": "/j:Booking/j:Arrest/j:ArrestCharge[4]/nola-ext:ChargeAugmentation/nola-ext:JMSChargeNumber",</v>
      </c>
      <c r="D290" s="33" t="str">
        <f>_xlfn.XLOOKUP(Table26[[#This Row],[XPATHS]],Table610119[&lt;&lt;NOLA_Exchange&gt;&gt;
Booking],Table610119['#],"")</f>
        <v>49expanded_IMARRD_sorted</v>
      </c>
    </row>
    <row r="291" spans="1:4" x14ac:dyDescent="0.3">
      <c r="A291" s="33" t="str">
        <f t="shared" si="4"/>
        <v>290book_xpath</v>
      </c>
      <c r="B291" s="33" t="s">
        <v>3237</v>
      </c>
      <c r="C291" s="33" t="str">
        <f>_xlfn.XLOOKUP(Table26[[#This Row],[XPATHS]],Table610119[&lt;&lt;NOLA_Exchange&gt;&gt;
Booking],Table610119[python script],"")</f>
        <v/>
      </c>
      <c r="D291" s="33" t="str">
        <f>_xlfn.XLOOKUP(Table26[[#This Row],[XPATHS]],Table610119[&lt;&lt;NOLA_Exchange&gt;&gt;
Booking],Table610119['#],"")</f>
        <v/>
      </c>
    </row>
    <row r="292" spans="1:4" x14ac:dyDescent="0.3">
      <c r="A292" s="33" t="str">
        <f t="shared" si="4"/>
        <v>291book_xpath</v>
      </c>
      <c r="B292" s="33" t="s">
        <v>1745</v>
      </c>
      <c r="C292" s="33" t="str">
        <f>_xlfn.XLOOKUP(Table26[[#This Row],[XPATHS]],Table610119[&lt;&lt;NOLA_Exchange&gt;&gt;
Booking],Table610119[python script],"")</f>
        <v>"IDCHD5": "/j:Booking/j:Arrest/j:ArrestCharge[5]/j:ChargeCategoryDescriptionText",</v>
      </c>
      <c r="D292" s="33" t="str">
        <f>_xlfn.XLOOKUP(Table26[[#This Row],[XPATHS]],Table610119[&lt;&lt;NOLA_Exchange&gt;&gt;
Booking],Table610119['#],"")</f>
        <v>32expanded_IMARRD_sorted</v>
      </c>
    </row>
    <row r="293" spans="1:4" x14ac:dyDescent="0.3">
      <c r="A293" s="33" t="str">
        <f t="shared" si="4"/>
        <v>292book_xpath</v>
      </c>
      <c r="B293" s="33" t="s">
        <v>3238</v>
      </c>
      <c r="C293" s="33" t="str">
        <f>_xlfn.XLOOKUP(Table26[[#This Row],[XPATHS]],Table610119[&lt;&lt;NOLA_Exchange&gt;&gt;
Booking],Table610119[python script],"")</f>
        <v/>
      </c>
      <c r="D293" s="33" t="str">
        <f>_xlfn.XLOOKUP(Table26[[#This Row],[XPATHS]],Table610119[&lt;&lt;NOLA_Exchange&gt;&gt;
Booking],Table610119['#],"")</f>
        <v/>
      </c>
    </row>
    <row r="294" spans="1:4" x14ac:dyDescent="0.3">
      <c r="A294" s="33" t="str">
        <f t="shared" si="4"/>
        <v>293book_xpath</v>
      </c>
      <c r="B294" s="33" t="s">
        <v>3239</v>
      </c>
      <c r="C294" s="33" t="str">
        <f>_xlfn.XLOOKUP(Table26[[#This Row],[XPATHS]],Table610119[&lt;&lt;NOLA_Exchange&gt;&gt;
Booking],Table610119[python script],"")</f>
        <v/>
      </c>
      <c r="D294" s="33" t="str">
        <f>_xlfn.XLOOKUP(Table26[[#This Row],[XPATHS]],Table610119[&lt;&lt;NOLA_Exchange&gt;&gt;
Booking],Table610119['#],"")</f>
        <v/>
      </c>
    </row>
    <row r="295" spans="1:4" x14ac:dyDescent="0.3">
      <c r="A295" s="33" t="str">
        <f t="shared" si="4"/>
        <v>294book_xpath</v>
      </c>
      <c r="B295" s="33" t="s">
        <v>2948</v>
      </c>
      <c r="C295" s="33" t="str">
        <f>_xlfn.XLOOKUP(Table26[[#This Row],[XPATHS]],Table610119[&lt;&lt;NOLA_Exchange&gt;&gt;
Booking],Table610119[python script],"")</f>
        <v>"IDSTA5": "/j:Booking/j:Arrest/j:ArrestCharge[5]/j:ChargeStatute/j:StatuteCodeIdentification/IdentificationID",</v>
      </c>
      <c r="D295" s="33" t="str">
        <f>_xlfn.XLOOKUP(Table26[[#This Row],[XPATHS]],Table610119[&lt;&lt;NOLA_Exchange&gt;&gt;
Booking],Table610119['#],"")</f>
        <v>96expanded_IMARRD_sorted</v>
      </c>
    </row>
    <row r="296" spans="1:4" x14ac:dyDescent="0.3">
      <c r="A296" s="33" t="str">
        <f t="shared" si="4"/>
        <v>295book_xpath</v>
      </c>
      <c r="B296" s="33" t="s">
        <v>3240</v>
      </c>
      <c r="C296" s="33" t="str">
        <f>_xlfn.XLOOKUP(Table26[[#This Row],[XPATHS]],Table610119[&lt;&lt;NOLA_Exchange&gt;&gt;
Booking],Table610119[python script],"")</f>
        <v/>
      </c>
      <c r="D296" s="33" t="str">
        <f>_xlfn.XLOOKUP(Table26[[#This Row],[XPATHS]],Table610119[&lt;&lt;NOLA_Exchange&gt;&gt;
Booking],Table610119['#],"")</f>
        <v/>
      </c>
    </row>
    <row r="297" spans="1:4" x14ac:dyDescent="0.3">
      <c r="A297" s="33" t="str">
        <f t="shared" si="4"/>
        <v>296book_xpath</v>
      </c>
      <c r="B297" s="33" t="s">
        <v>3033</v>
      </c>
      <c r="C297" s="33" t="str">
        <f>_xlfn.XLOOKUP(Table26[[#This Row],[XPATHS]],Table610119[&lt;&lt;NOLA_Exchange&gt;&gt;
Booking],Table610119[python script],"")</f>
        <v>"IDVIO5": "/j:Booking/j:Arrest/j:ArrestCharge[5]/j:ChargeStatute/j:StatuteCodeSectionIdentification/IdentificationID",</v>
      </c>
      <c r="D297" s="33" t="str">
        <f>_xlfn.XLOOKUP(Table26[[#This Row],[XPATHS]],Table610119[&lt;&lt;NOLA_Exchange&gt;&gt;
Booking],Table610119['#],"")</f>
        <v>108expanded_IMARRD_sorted</v>
      </c>
    </row>
    <row r="298" spans="1:4" x14ac:dyDescent="0.3">
      <c r="A298" s="33" t="str">
        <f t="shared" si="4"/>
        <v>297book_xpath</v>
      </c>
      <c r="B298" s="33" t="s">
        <v>3241</v>
      </c>
      <c r="C298" s="33" t="str">
        <f>_xlfn.XLOOKUP(Table26[[#This Row],[XPATHS]],Table610119[&lt;&lt;NOLA_Exchange&gt;&gt;
Booking],Table610119[python script],"")</f>
        <v/>
      </c>
      <c r="D298" s="33" t="str">
        <f>_xlfn.XLOOKUP(Table26[[#This Row],[XPATHS]],Table610119[&lt;&lt;NOLA_Exchange&gt;&gt;
Booking],Table610119['#],"")</f>
        <v/>
      </c>
    </row>
    <row r="299" spans="1:4" x14ac:dyDescent="0.3">
      <c r="A299" s="33" t="str">
        <f t="shared" si="4"/>
        <v>298book_xpath</v>
      </c>
      <c r="B299" s="33" t="s">
        <v>3242</v>
      </c>
      <c r="C299" s="33" t="str">
        <f>_xlfn.XLOOKUP(Table26[[#This Row],[XPATHS]],Table610119[&lt;&lt;NOLA_Exchange&gt;&gt;
Booking],Table610119[python script],"")</f>
        <v/>
      </c>
      <c r="D299" s="33" t="str">
        <f>_xlfn.XLOOKUP(Table26[[#This Row],[XPATHS]],Table610119[&lt;&lt;NOLA_Exchange&gt;&gt;
Booking],Table610119['#],"")</f>
        <v/>
      </c>
    </row>
    <row r="300" spans="1:4" x14ac:dyDescent="0.3">
      <c r="A300" s="33" t="str">
        <f t="shared" si="4"/>
        <v>299book_xpath</v>
      </c>
      <c r="B300" s="33" t="s">
        <v>3006</v>
      </c>
      <c r="C300" s="33" t="str">
        <f>_xlfn.XLOOKUP(Table26[[#This Row],[XPATHS]],Table610119[&lt;&lt;NOLA_Exchange&gt;&gt;
Booking],Table610119[python script],"")</f>
        <v>"IDSUB5": "/j:Booking/j:Arrest/j:ArrestCharge[5]/j:ChargeStatute/nola-ext:ChargeStatuteAugmentation/nola-ext:StatuteCodeSectionSubparagraphIdentification/IdentificationID",</v>
      </c>
      <c r="D300" s="33" t="str">
        <f>_xlfn.XLOOKUP(Table26[[#This Row],[XPATHS]],Table610119[&lt;&lt;NOLA_Exchange&gt;&gt;
Booking],Table610119['#],"")</f>
        <v>102expanded_IMARRD_sorted</v>
      </c>
    </row>
    <row r="301" spans="1:4" x14ac:dyDescent="0.3">
      <c r="A301" s="33" t="str">
        <f t="shared" si="4"/>
        <v>300book_xpath</v>
      </c>
      <c r="B301" s="33" t="s">
        <v>3243</v>
      </c>
      <c r="C301" s="33" t="str">
        <f>_xlfn.XLOOKUP(Table26[[#This Row],[XPATHS]],Table610119[&lt;&lt;NOLA_Exchange&gt;&gt;
Booking],Table610119[python script],"")</f>
        <v/>
      </c>
      <c r="D301" s="33" t="str">
        <f>_xlfn.XLOOKUP(Table26[[#This Row],[XPATHS]],Table610119[&lt;&lt;NOLA_Exchange&gt;&gt;
Booking],Table610119['#],"")</f>
        <v/>
      </c>
    </row>
    <row r="302" spans="1:4" x14ac:dyDescent="0.3">
      <c r="A302" s="33" t="str">
        <f t="shared" si="4"/>
        <v>301book_xpath</v>
      </c>
      <c r="B302" s="33" t="s">
        <v>1846</v>
      </c>
      <c r="C302" s="33" t="str">
        <f>_xlfn.XLOOKUP(Table26[[#This Row],[XPATHS]],Table610119[&lt;&lt;NOLA_Exchange&gt;&gt;
Booking],Table610119[python script],"")</f>
        <v>"IDLBR5": "/j:Booking/j:Arrest/j:ArrestCharge[5]/nola-ext:ChargeAugmentation/nola-ext:ChargeLIBRSCode",</v>
      </c>
      <c r="D302" s="33" t="str">
        <f>_xlfn.XLOOKUP(Table26[[#This Row],[XPATHS]],Table610119[&lt;&lt;NOLA_Exchange&gt;&gt;
Booking],Table610119['#],"")</f>
        <v>44expanded_IMARRD_sorted</v>
      </c>
    </row>
    <row r="303" spans="1:4" x14ac:dyDescent="0.3">
      <c r="A303" s="33" t="str">
        <f t="shared" si="4"/>
        <v>302book_xpath</v>
      </c>
      <c r="B303" s="33" t="s">
        <v>1819</v>
      </c>
      <c r="C303" s="33" t="str">
        <f>_xlfn.XLOOKUP(Table26[[#This Row],[XPATHS]],Table610119[&lt;&lt;NOLA_Exchange&gt;&gt;
Booking],Table610119[python script],"")</f>
        <v>"IDCHK5": "/j:Booking/j:Arrest/j:ArrestCharge[5]/nola-ext:ChargeAugmentation/nola-ext:ChargeKey",</v>
      </c>
      <c r="D303" s="33" t="str">
        <f>_xlfn.XLOOKUP(Table26[[#This Row],[XPATHS]],Table610119[&lt;&lt;NOLA_Exchange&gt;&gt;
Booking],Table610119['#],"")</f>
        <v>38expanded_IMARRD_sorted</v>
      </c>
    </row>
    <row r="304" spans="1:4" x14ac:dyDescent="0.3">
      <c r="A304" s="33" t="str">
        <f t="shared" si="4"/>
        <v>303book_xpath</v>
      </c>
      <c r="B304" s="33" t="s">
        <v>1482</v>
      </c>
      <c r="C304" s="33" t="str">
        <f>_xlfn.XLOOKUP(Table26[[#This Row],[XPATHS]],Table610119[&lt;&lt;NOLA_Exchange&gt;&gt;
Booking],Table610119[python script],"")</f>
        <v>"IDATN5": "/j:Booking/j:Arrest/j:ArrestCharge[5]/nola-ext:ChargeAugmentation/nola-ext:StatewideArrestTrackingNumber",</v>
      </c>
      <c r="D304" s="33" t="str">
        <f>_xlfn.XLOOKUP(Table26[[#This Row],[XPATHS]],Table610119[&lt;&lt;NOLA_Exchange&gt;&gt;
Booking],Table610119['#],"")</f>
        <v>14expanded_IMARRD_sorted</v>
      </c>
    </row>
    <row r="305" spans="1:4" x14ac:dyDescent="0.3">
      <c r="A305" s="33" t="str">
        <f t="shared" si="4"/>
        <v>304book_xpath</v>
      </c>
      <c r="B305" s="33" t="s">
        <v>1507</v>
      </c>
      <c r="C305" s="33" t="str">
        <f>_xlfn.XLOOKUP(Table26[[#This Row],[XPATHS]],Table610119[&lt;&lt;NOLA_Exchange&gt;&gt;
Booking],Table610119[python script],"")</f>
        <v>"IDATS5": "/j:Booking/j:Arrest/j:ArrestCharge[5]/nola-ext:ChargeAugmentation/nola-ext:StatewideATNChargeSequenceID",</v>
      </c>
      <c r="D305" s="33" t="str">
        <f>_xlfn.XLOOKUP(Table26[[#This Row],[XPATHS]],Table610119[&lt;&lt;NOLA_Exchange&gt;&gt;
Booking],Table610119['#],"")</f>
        <v>20expanded_IMARRD_sorted</v>
      </c>
    </row>
    <row r="306" spans="1:4" x14ac:dyDescent="0.3">
      <c r="A306" s="33" t="str">
        <f t="shared" si="4"/>
        <v>305book_xpath</v>
      </c>
      <c r="B306" s="33" t="s">
        <v>1868</v>
      </c>
      <c r="C306" s="33" t="str">
        <f>_xlfn.XLOOKUP(Table26[[#This Row],[XPATHS]],Table610119[&lt;&lt;NOLA_Exchange&gt;&gt;
Booking],Table610119[python script],"")</f>
        <v>"IDCHN5": "/j:Booking/j:Arrest/j:ArrestCharge[5]/nola-ext:ChargeAugmentation/nola-ext:JMSChargeNumber",</v>
      </c>
      <c r="D306" s="33" t="str">
        <f>_xlfn.XLOOKUP(Table26[[#This Row],[XPATHS]],Table610119[&lt;&lt;NOLA_Exchange&gt;&gt;
Booking],Table610119['#],"")</f>
        <v>50expanded_IMARRD_sorted</v>
      </c>
    </row>
    <row r="307" spans="1:4" x14ac:dyDescent="0.3">
      <c r="A307" s="33" t="str">
        <f t="shared" si="4"/>
        <v>306book_xpath</v>
      </c>
      <c r="B307" s="33" t="s">
        <v>3244</v>
      </c>
      <c r="C307" s="33" t="str">
        <f>_xlfn.XLOOKUP(Table26[[#This Row],[XPATHS]],Table610119[&lt;&lt;NOLA_Exchange&gt;&gt;
Booking],Table610119[python script],"")</f>
        <v/>
      </c>
      <c r="D307" s="33" t="str">
        <f>_xlfn.XLOOKUP(Table26[[#This Row],[XPATHS]],Table610119[&lt;&lt;NOLA_Exchange&gt;&gt;
Booking],Table610119['#],"")</f>
        <v/>
      </c>
    </row>
    <row r="308" spans="1:4" x14ac:dyDescent="0.3">
      <c r="A308" s="33" t="str">
        <f t="shared" si="4"/>
        <v>307book_xpath</v>
      </c>
      <c r="B308" s="33" t="s">
        <v>1746</v>
      </c>
      <c r="C308" s="33" t="str">
        <f>_xlfn.XLOOKUP(Table26[[#This Row],[XPATHS]],Table610119[&lt;&lt;NOLA_Exchange&gt;&gt;
Booking],Table610119[python script],"")</f>
        <v>"IDCHD6": "/j:Booking/j:Arrest/j:ArrestCharge[6]/j:ChargeCategoryDescriptionText",</v>
      </c>
      <c r="D308" s="33" t="str">
        <f>_xlfn.XLOOKUP(Table26[[#This Row],[XPATHS]],Table610119[&lt;&lt;NOLA_Exchange&gt;&gt;
Booking],Table610119['#],"")</f>
        <v>33expanded_IMARRD_sorted</v>
      </c>
    </row>
    <row r="309" spans="1:4" x14ac:dyDescent="0.3">
      <c r="A309" s="33" t="str">
        <f t="shared" si="4"/>
        <v>308book_xpath</v>
      </c>
      <c r="B309" s="33" t="s">
        <v>3245</v>
      </c>
      <c r="C309" s="33" t="str">
        <f>_xlfn.XLOOKUP(Table26[[#This Row],[XPATHS]],Table610119[&lt;&lt;NOLA_Exchange&gt;&gt;
Booking],Table610119[python script],"")</f>
        <v/>
      </c>
      <c r="D309" s="33" t="str">
        <f>_xlfn.XLOOKUP(Table26[[#This Row],[XPATHS]],Table610119[&lt;&lt;NOLA_Exchange&gt;&gt;
Booking],Table610119['#],"")</f>
        <v/>
      </c>
    </row>
    <row r="310" spans="1:4" x14ac:dyDescent="0.3">
      <c r="A310" s="33" t="str">
        <f t="shared" si="4"/>
        <v>309book_xpath</v>
      </c>
      <c r="B310" s="33" t="s">
        <v>3246</v>
      </c>
      <c r="C310" s="33" t="str">
        <f>_xlfn.XLOOKUP(Table26[[#This Row],[XPATHS]],Table610119[&lt;&lt;NOLA_Exchange&gt;&gt;
Booking],Table610119[python script],"")</f>
        <v/>
      </c>
      <c r="D310" s="33" t="str">
        <f>_xlfn.XLOOKUP(Table26[[#This Row],[XPATHS]],Table610119[&lt;&lt;NOLA_Exchange&gt;&gt;
Booking],Table610119['#],"")</f>
        <v/>
      </c>
    </row>
    <row r="311" spans="1:4" x14ac:dyDescent="0.3">
      <c r="A311" s="33" t="str">
        <f t="shared" si="4"/>
        <v>310book_xpath</v>
      </c>
      <c r="B311" s="33" t="s">
        <v>2949</v>
      </c>
      <c r="C311" s="33" t="str">
        <f>_xlfn.XLOOKUP(Table26[[#This Row],[XPATHS]],Table610119[&lt;&lt;NOLA_Exchange&gt;&gt;
Booking],Table610119[python script],"")</f>
        <v>"IDSTA6": "/j:Booking/j:Arrest/j:ArrestCharge[6]/j:ChargeStatute/j:StatuteCodeIdentification/IdentificationID",</v>
      </c>
      <c r="D311" s="33" t="str">
        <f>_xlfn.XLOOKUP(Table26[[#This Row],[XPATHS]],Table610119[&lt;&lt;NOLA_Exchange&gt;&gt;
Booking],Table610119['#],"")</f>
        <v>97expanded_IMARRD_sorted</v>
      </c>
    </row>
    <row r="312" spans="1:4" x14ac:dyDescent="0.3">
      <c r="A312" s="33" t="str">
        <f t="shared" si="4"/>
        <v>311book_xpath</v>
      </c>
      <c r="B312" s="33" t="s">
        <v>3247</v>
      </c>
      <c r="C312" s="33" t="str">
        <f>_xlfn.XLOOKUP(Table26[[#This Row],[XPATHS]],Table610119[&lt;&lt;NOLA_Exchange&gt;&gt;
Booking],Table610119[python script],"")</f>
        <v/>
      </c>
      <c r="D312" s="33" t="str">
        <f>_xlfn.XLOOKUP(Table26[[#This Row],[XPATHS]],Table610119[&lt;&lt;NOLA_Exchange&gt;&gt;
Booking],Table610119['#],"")</f>
        <v/>
      </c>
    </row>
    <row r="313" spans="1:4" x14ac:dyDescent="0.3">
      <c r="A313" s="33" t="str">
        <f t="shared" si="4"/>
        <v>312book_xpath</v>
      </c>
      <c r="B313" s="33" t="s">
        <v>3034</v>
      </c>
      <c r="C313" s="33" t="str">
        <f>_xlfn.XLOOKUP(Table26[[#This Row],[XPATHS]],Table610119[&lt;&lt;NOLA_Exchange&gt;&gt;
Booking],Table610119[python script],"")</f>
        <v>"IDVIO6": "/j:Booking/j:Arrest/j:ArrestCharge[6]/j:ChargeStatute/j:StatuteCodeSectionIdentification/IdentificationID",</v>
      </c>
      <c r="D313" s="33" t="str">
        <f>_xlfn.XLOOKUP(Table26[[#This Row],[XPATHS]],Table610119[&lt;&lt;NOLA_Exchange&gt;&gt;
Booking],Table610119['#],"")</f>
        <v>109expanded_IMARRD_sorted</v>
      </c>
    </row>
    <row r="314" spans="1:4" x14ac:dyDescent="0.3">
      <c r="A314" s="33" t="str">
        <f t="shared" si="4"/>
        <v>313book_xpath</v>
      </c>
      <c r="B314" s="33" t="s">
        <v>3248</v>
      </c>
      <c r="C314" s="33" t="str">
        <f>_xlfn.XLOOKUP(Table26[[#This Row],[XPATHS]],Table610119[&lt;&lt;NOLA_Exchange&gt;&gt;
Booking],Table610119[python script],"")</f>
        <v/>
      </c>
      <c r="D314" s="33" t="str">
        <f>_xlfn.XLOOKUP(Table26[[#This Row],[XPATHS]],Table610119[&lt;&lt;NOLA_Exchange&gt;&gt;
Booking],Table610119['#],"")</f>
        <v/>
      </c>
    </row>
    <row r="315" spans="1:4" x14ac:dyDescent="0.3">
      <c r="A315" s="33" t="str">
        <f t="shared" si="4"/>
        <v>314book_xpath</v>
      </c>
      <c r="B315" s="33" t="s">
        <v>3249</v>
      </c>
      <c r="C315" s="33" t="str">
        <f>_xlfn.XLOOKUP(Table26[[#This Row],[XPATHS]],Table610119[&lt;&lt;NOLA_Exchange&gt;&gt;
Booking],Table610119[python script],"")</f>
        <v/>
      </c>
      <c r="D315" s="33" t="str">
        <f>_xlfn.XLOOKUP(Table26[[#This Row],[XPATHS]],Table610119[&lt;&lt;NOLA_Exchange&gt;&gt;
Booking],Table610119['#],"")</f>
        <v/>
      </c>
    </row>
    <row r="316" spans="1:4" x14ac:dyDescent="0.3">
      <c r="A316" s="33" t="str">
        <f t="shared" si="4"/>
        <v>315book_xpath</v>
      </c>
      <c r="B316" s="33" t="s">
        <v>3007</v>
      </c>
      <c r="C316" s="33" t="str">
        <f>_xlfn.XLOOKUP(Table26[[#This Row],[XPATHS]],Table610119[&lt;&lt;NOLA_Exchange&gt;&gt;
Booking],Table610119[python script],"")</f>
        <v>"IDSUB6": "/j:Booking/j:Arrest/j:ArrestCharge[6]/j:ChargeStatute/nola-ext:ChargeStatuteAugmentation/nola-ext:StatuteCodeSectionSubparagraphIdentification/IdentificationID",</v>
      </c>
      <c r="D316" s="33" t="str">
        <f>_xlfn.XLOOKUP(Table26[[#This Row],[XPATHS]],Table610119[&lt;&lt;NOLA_Exchange&gt;&gt;
Booking],Table610119['#],"")</f>
        <v>103expanded_IMARRD_sorted</v>
      </c>
    </row>
    <row r="317" spans="1:4" x14ac:dyDescent="0.3">
      <c r="A317" s="33" t="str">
        <f t="shared" si="4"/>
        <v>316book_xpath</v>
      </c>
      <c r="B317" s="33" t="s">
        <v>3250</v>
      </c>
      <c r="C317" s="33" t="str">
        <f>_xlfn.XLOOKUP(Table26[[#This Row],[XPATHS]],Table610119[&lt;&lt;NOLA_Exchange&gt;&gt;
Booking],Table610119[python script],"")</f>
        <v/>
      </c>
      <c r="D317" s="33" t="str">
        <f>_xlfn.XLOOKUP(Table26[[#This Row],[XPATHS]],Table610119[&lt;&lt;NOLA_Exchange&gt;&gt;
Booking],Table610119['#],"")</f>
        <v/>
      </c>
    </row>
    <row r="318" spans="1:4" x14ac:dyDescent="0.3">
      <c r="A318" s="33" t="str">
        <f t="shared" si="4"/>
        <v>317book_xpath</v>
      </c>
      <c r="B318" s="33" t="s">
        <v>1847</v>
      </c>
      <c r="C318" s="33" t="str">
        <f>_xlfn.XLOOKUP(Table26[[#This Row],[XPATHS]],Table610119[&lt;&lt;NOLA_Exchange&gt;&gt;
Booking],Table610119[python script],"")</f>
        <v>"IDLBR6": "/j:Booking/j:Arrest/j:ArrestCharge[6]/nola-ext:ChargeAugmentation/nola-ext:ChargeLIBRSCode",</v>
      </c>
      <c r="D318" s="33" t="str">
        <f>_xlfn.XLOOKUP(Table26[[#This Row],[XPATHS]],Table610119[&lt;&lt;NOLA_Exchange&gt;&gt;
Booking],Table610119['#],"")</f>
        <v>45expanded_IMARRD_sorted</v>
      </c>
    </row>
    <row r="319" spans="1:4" x14ac:dyDescent="0.3">
      <c r="A319" s="33" t="str">
        <f t="shared" si="4"/>
        <v>318book_xpath</v>
      </c>
      <c r="B319" s="33" t="s">
        <v>1820</v>
      </c>
      <c r="C319" s="33" t="str">
        <f>_xlfn.XLOOKUP(Table26[[#This Row],[XPATHS]],Table610119[&lt;&lt;NOLA_Exchange&gt;&gt;
Booking],Table610119[python script],"")</f>
        <v>"IDCHK6": "/j:Booking/j:Arrest/j:ArrestCharge[6]/nola-ext:ChargeAugmentation/nola-ext:ChargeKey",</v>
      </c>
      <c r="D319" s="33" t="str">
        <f>_xlfn.XLOOKUP(Table26[[#This Row],[XPATHS]],Table610119[&lt;&lt;NOLA_Exchange&gt;&gt;
Booking],Table610119['#],"")</f>
        <v>39expanded_IMARRD_sorted</v>
      </c>
    </row>
    <row r="320" spans="1:4" x14ac:dyDescent="0.3">
      <c r="A320" s="33" t="str">
        <f t="shared" si="4"/>
        <v>319book_xpath</v>
      </c>
      <c r="B320" s="33" t="s">
        <v>1483</v>
      </c>
      <c r="C320" s="33" t="str">
        <f>_xlfn.XLOOKUP(Table26[[#This Row],[XPATHS]],Table610119[&lt;&lt;NOLA_Exchange&gt;&gt;
Booking],Table610119[python script],"")</f>
        <v>"IDATN6": "/j:Booking/j:Arrest/j:ArrestCharge[6]/nola-ext:ChargeAugmentation/nola-ext:StatewideArrestTrackingNumber",</v>
      </c>
      <c r="D320" s="33" t="str">
        <f>_xlfn.XLOOKUP(Table26[[#This Row],[XPATHS]],Table610119[&lt;&lt;NOLA_Exchange&gt;&gt;
Booking],Table610119['#],"")</f>
        <v>15expanded_IMARRD_sorted</v>
      </c>
    </row>
    <row r="321" spans="1:4" x14ac:dyDescent="0.3">
      <c r="A321" s="33" t="str">
        <f t="shared" si="4"/>
        <v>320book_xpath</v>
      </c>
      <c r="B321" s="33" t="s">
        <v>1508</v>
      </c>
      <c r="C321" s="33" t="str">
        <f>_xlfn.XLOOKUP(Table26[[#This Row],[XPATHS]],Table610119[&lt;&lt;NOLA_Exchange&gt;&gt;
Booking],Table610119[python script],"")</f>
        <v>"IDATS6": "/j:Booking/j:Arrest/j:ArrestCharge[6]/nola-ext:ChargeAugmentation/nola-ext:StatewideATNChargeSequenceID",</v>
      </c>
      <c r="D321" s="33" t="str">
        <f>_xlfn.XLOOKUP(Table26[[#This Row],[XPATHS]],Table610119[&lt;&lt;NOLA_Exchange&gt;&gt;
Booking],Table610119['#],"")</f>
        <v>21expanded_IMARRD_sorted</v>
      </c>
    </row>
    <row r="322" spans="1:4" x14ac:dyDescent="0.3">
      <c r="A322" s="33" t="str">
        <f t="shared" ref="A322:A385" si="5">ROW(A321)&amp;"book_xpath"</f>
        <v>321book_xpath</v>
      </c>
      <c r="B322" s="33" t="s">
        <v>1869</v>
      </c>
      <c r="C322" s="33" t="str">
        <f>_xlfn.XLOOKUP(Table26[[#This Row],[XPATHS]],Table610119[&lt;&lt;NOLA_Exchange&gt;&gt;
Booking],Table610119[python script],"")</f>
        <v>"IDCHN6": "/j:Booking/j:Arrest/j:ArrestCharge[6]/nola-ext:ChargeAugmentation/nola-ext:JMSChargeNumber",</v>
      </c>
      <c r="D322" s="33" t="str">
        <f>_xlfn.XLOOKUP(Table26[[#This Row],[XPATHS]],Table610119[&lt;&lt;NOLA_Exchange&gt;&gt;
Booking],Table610119['#],"")</f>
        <v>51expanded_IMARRD_sorted</v>
      </c>
    </row>
    <row r="323" spans="1:4" x14ac:dyDescent="0.3">
      <c r="A323" s="33" t="str">
        <f t="shared" si="5"/>
        <v>322book_xpath</v>
      </c>
      <c r="B323" s="33" t="s">
        <v>3251</v>
      </c>
      <c r="C323" s="33" t="str">
        <f>_xlfn.XLOOKUP(Table26[[#This Row],[XPATHS]],Table610119[&lt;&lt;NOLA_Exchange&gt;&gt;
Booking],Table610119[python script],"")</f>
        <v/>
      </c>
      <c r="D323" s="33" t="str">
        <f>_xlfn.XLOOKUP(Table26[[#This Row],[XPATHS]],Table610119[&lt;&lt;NOLA_Exchange&gt;&gt;
Booking],Table610119['#],"")</f>
        <v/>
      </c>
    </row>
    <row r="324" spans="1:4" x14ac:dyDescent="0.3">
      <c r="A324" s="33" t="str">
        <f t="shared" si="5"/>
        <v>323book_xpath</v>
      </c>
      <c r="B324" s="33" t="s">
        <v>3252</v>
      </c>
      <c r="C324" s="33" t="str">
        <f>_xlfn.XLOOKUP(Table26[[#This Row],[XPATHS]],Table610119[&lt;&lt;NOLA_Exchange&gt;&gt;
Booking],Table610119[python script],"")</f>
        <v/>
      </c>
      <c r="D324" s="33" t="str">
        <f>_xlfn.XLOOKUP(Table26[[#This Row],[XPATHS]],Table610119[&lt;&lt;NOLA_Exchange&gt;&gt;
Booking],Table610119['#],"")</f>
        <v/>
      </c>
    </row>
    <row r="325" spans="1:4" x14ac:dyDescent="0.3">
      <c r="A325" s="33" t="str">
        <f t="shared" si="5"/>
        <v>324book_xpath</v>
      </c>
      <c r="B325" s="33" t="s">
        <v>3253</v>
      </c>
      <c r="C325" s="33" t="str">
        <f>_xlfn.XLOOKUP(Table26[[#This Row],[XPATHS]],Table610119[&lt;&lt;NOLA_Exchange&gt;&gt;
Booking],Table610119[python script],"")</f>
        <v/>
      </c>
      <c r="D325" s="33" t="str">
        <f>_xlfn.XLOOKUP(Table26[[#This Row],[XPATHS]],Table610119[&lt;&lt;NOLA_Exchange&gt;&gt;
Booking],Table610119['#],"")</f>
        <v/>
      </c>
    </row>
    <row r="326" spans="1:4" x14ac:dyDescent="0.3">
      <c r="A326" s="33" t="str">
        <f t="shared" si="5"/>
        <v>325book_xpath</v>
      </c>
      <c r="B326" s="33" t="s">
        <v>2909</v>
      </c>
      <c r="C326" s="33" t="str">
        <f>_xlfn.XLOOKUP(Table26[[#This Row],[XPATHS]],Table610119[&lt;&lt;NOLA_Exchange&gt;&gt;
Booking],Table610119[python script],"")</f>
        <v/>
      </c>
      <c r="D326" s="33" t="str">
        <f>_xlfn.XLOOKUP(Table26[[#This Row],[XPATHS]],Table610119[&lt;&lt;NOLA_Exchange&gt;&gt;
Booking],Table610119['#],"")</f>
        <v/>
      </c>
    </row>
    <row r="327" spans="1:4" x14ac:dyDescent="0.3">
      <c r="A327" s="33" t="str">
        <f t="shared" si="5"/>
        <v>326book_xpath</v>
      </c>
      <c r="B327" s="33" t="s">
        <v>971</v>
      </c>
      <c r="C327" s="33" t="str">
        <f>_xlfn.XLOOKUP(Table26[[#This Row],[XPATHS]],Table610119[&lt;&lt;NOLA_Exchange&gt;&gt;
Booking],Table610119[python script],"")</f>
        <v>"IDFNAMAO": "/j:Booking/j:Arrest/j:ArrestOfficial[1]/RoleOfPerson/PersonName/PersonGivenName",</v>
      </c>
      <c r="D327" s="33" t="str">
        <f>_xlfn.XLOOKUP(Table26[[#This Row],[XPATHS]],Table610119[&lt;&lt;NOLA_Exchange&gt;&gt;
Booking],Table610119['#],"")</f>
        <v>81expanded_IMARRD_sorted</v>
      </c>
    </row>
    <row r="328" spans="1:4" x14ac:dyDescent="0.3">
      <c r="A328" s="33" t="str">
        <f t="shared" si="5"/>
        <v>327book_xpath</v>
      </c>
      <c r="B328" s="33" t="s">
        <v>2830</v>
      </c>
      <c r="C328" s="33" t="str">
        <f>_xlfn.XLOOKUP(Table26[[#This Row],[XPATHS]],Table610119[&lt;&lt;NOLA_Exchange&gt;&gt;
Booking],Table610119[python script],"")</f>
        <v/>
      </c>
      <c r="D328" s="33" t="str">
        <f>_xlfn.XLOOKUP(Table26[[#This Row],[XPATHS]],Table610119[&lt;&lt;NOLA_Exchange&gt;&gt;
Booking],Table610119['#],"")</f>
        <v/>
      </c>
    </row>
    <row r="329" spans="1:4" x14ac:dyDescent="0.3">
      <c r="A329" s="33" t="str">
        <f t="shared" si="5"/>
        <v>328book_xpath</v>
      </c>
      <c r="B329" s="33" t="s">
        <v>1049</v>
      </c>
      <c r="C329" s="33" t="str">
        <f>_xlfn.XLOOKUP(Table26[[#This Row],[XPATHS]],Table610119[&lt;&lt;NOLA_Exchange&gt;&gt;
Booking],Table610119[python script],"")</f>
        <v>"IDLNAMAO": "/j:Booking/j:Arrest/j:ArrestOfficial[1]/RoleOfPerson/PersonName/PersonSurName",</v>
      </c>
      <c r="D329" s="33" t="str">
        <f>_xlfn.XLOOKUP(Table26[[#This Row],[XPATHS]],Table610119[&lt;&lt;NOLA_Exchange&gt;&gt;
Booking],Table610119['#],"")</f>
        <v>86expanded_IMARRD_sorted</v>
      </c>
    </row>
    <row r="330" spans="1:4" x14ac:dyDescent="0.3">
      <c r="A330" s="33" t="str">
        <f t="shared" si="5"/>
        <v>329book_xpath</v>
      </c>
      <c r="B330" s="33" t="s">
        <v>2861</v>
      </c>
      <c r="C330" s="33" t="str">
        <f>_xlfn.XLOOKUP(Table26[[#This Row],[XPATHS]],Table610119[&lt;&lt;NOLA_Exchange&gt;&gt;
Booking],Table610119[python script],"")</f>
        <v/>
      </c>
      <c r="D330" s="33" t="str">
        <f>_xlfn.XLOOKUP(Table26[[#This Row],[XPATHS]],Table610119[&lt;&lt;NOLA_Exchange&gt;&gt;
Booking],Table610119['#],"")</f>
        <v/>
      </c>
    </row>
    <row r="331" spans="1:4" x14ac:dyDescent="0.3">
      <c r="A331" s="33" t="str">
        <f t="shared" si="5"/>
        <v>330book_xpath</v>
      </c>
      <c r="B331" s="33" t="s">
        <v>1012</v>
      </c>
      <c r="C331" s="33" t="str">
        <f>_xlfn.XLOOKUP(Table26[[#This Row],[XPATHS]],Table610119[&lt;&lt;NOLA_Exchange&gt;&gt;
Booking],Table610119[python script],"")</f>
        <v>"IDNAMEAO": "/j:Booking/j:Arrest/j:ArrestOfficial[1]/RoleOfPerson/PersonName/PersonFullName",</v>
      </c>
      <c r="D331" s="33" t="str">
        <f>_xlfn.XLOOKUP(Table26[[#This Row],[XPATHS]],Table610119[&lt;&lt;NOLA_Exchange&gt;&gt;
Booking],Table610119['#],"")</f>
        <v>83expanded_IMARRD_sorted</v>
      </c>
    </row>
    <row r="332" spans="1:4" x14ac:dyDescent="0.3">
      <c r="A332" s="33" t="str">
        <f t="shared" si="5"/>
        <v>331book_xpath</v>
      </c>
      <c r="B332" s="33" t="s">
        <v>3254</v>
      </c>
      <c r="C332" s="33" t="str">
        <f>_xlfn.XLOOKUP(Table26[[#This Row],[XPATHS]],Table610119[&lt;&lt;NOLA_Exchange&gt;&gt;
Booking],Table610119[python script],"")</f>
        <v/>
      </c>
      <c r="D332" s="33" t="str">
        <f>_xlfn.XLOOKUP(Table26[[#This Row],[XPATHS]],Table610119[&lt;&lt;NOLA_Exchange&gt;&gt;
Booking],Table610119['#],"")</f>
        <v/>
      </c>
    </row>
    <row r="333" spans="1:4" x14ac:dyDescent="0.3">
      <c r="A333" s="33" t="str">
        <f t="shared" si="5"/>
        <v>332book_xpath</v>
      </c>
      <c r="B333" s="33" t="s">
        <v>3255</v>
      </c>
      <c r="C333" s="33" t="str">
        <f>_xlfn.XLOOKUP(Table26[[#This Row],[XPATHS]],Table610119[&lt;&lt;NOLA_Exchange&gt;&gt;
Booking],Table610119[python script],"")</f>
        <v/>
      </c>
      <c r="D333" s="33" t="str">
        <f>_xlfn.XLOOKUP(Table26[[#This Row],[XPATHS]],Table610119[&lt;&lt;NOLA_Exchange&gt;&gt;
Booking],Table610119['#],"")</f>
        <v/>
      </c>
    </row>
    <row r="334" spans="1:4" x14ac:dyDescent="0.3">
      <c r="A334" s="33" t="str">
        <f t="shared" si="5"/>
        <v>333book_xpath</v>
      </c>
      <c r="B334" s="33" t="s">
        <v>1971</v>
      </c>
      <c r="C334" s="33" t="str">
        <f>_xlfn.XLOOKUP(Table26[[#This Row],[XPATHS]],Table610119[&lt;&lt;NOLA_Exchange&gt;&gt;
Booking],Table610119[python script],"")</f>
        <v/>
      </c>
      <c r="D334" s="33" t="str">
        <f>_xlfn.XLOOKUP(Table26[[#This Row],[XPATHS]],Table610119[&lt;&lt;NOLA_Exchange&gt;&gt;
Booking],Table610119['#],"")</f>
        <v/>
      </c>
    </row>
    <row r="335" spans="1:4" x14ac:dyDescent="0.3">
      <c r="A335" s="33" t="str">
        <f t="shared" si="5"/>
        <v>334book_xpath</v>
      </c>
      <c r="B335" s="33" t="s">
        <v>3256</v>
      </c>
      <c r="C335" s="33" t="str">
        <f>_xlfn.XLOOKUP(Table26[[#This Row],[XPATHS]],Table610119[&lt;&lt;NOLA_Exchange&gt;&gt;
Booking],Table610119[python script],"")</f>
        <v/>
      </c>
      <c r="D335" s="33" t="str">
        <f>_xlfn.XLOOKUP(Table26[[#This Row],[XPATHS]],Table610119[&lt;&lt;NOLA_Exchange&gt;&gt;
Booking],Table610119['#],"")</f>
        <v/>
      </c>
    </row>
    <row r="336" spans="1:4" x14ac:dyDescent="0.3">
      <c r="A336" s="33" t="str">
        <f t="shared" si="5"/>
        <v>335book_xpath</v>
      </c>
      <c r="B336" s="33" t="s">
        <v>3257</v>
      </c>
      <c r="C336" s="33" t="str">
        <f>_xlfn.XLOOKUP(Table26[[#This Row],[XPATHS]],Table610119[&lt;&lt;NOLA_Exchange&gt;&gt;
Booking],Table610119[python script],"")</f>
        <v/>
      </c>
      <c r="D336" s="33" t="str">
        <f>_xlfn.XLOOKUP(Table26[[#This Row],[XPATHS]],Table610119[&lt;&lt;NOLA_Exchange&gt;&gt;
Booking],Table610119['#],"")</f>
        <v/>
      </c>
    </row>
    <row r="337" spans="1:4" x14ac:dyDescent="0.3">
      <c r="A337" s="33" t="str">
        <f t="shared" si="5"/>
        <v>336book_xpath</v>
      </c>
      <c r="B337" s="33" t="s">
        <v>3258</v>
      </c>
      <c r="C337" s="33" t="str">
        <f>_xlfn.XLOOKUP(Table26[[#This Row],[XPATHS]],Table610119[&lt;&lt;NOLA_Exchange&gt;&gt;
Booking],Table610119[python script],"")</f>
        <v/>
      </c>
      <c r="D337" s="33" t="str">
        <f>_xlfn.XLOOKUP(Table26[[#This Row],[XPATHS]],Table610119[&lt;&lt;NOLA_Exchange&gt;&gt;
Booking],Table610119['#],"")</f>
        <v/>
      </c>
    </row>
    <row r="338" spans="1:4" x14ac:dyDescent="0.3">
      <c r="A338" s="33" t="str">
        <f t="shared" si="5"/>
        <v>337book_xpath</v>
      </c>
      <c r="B338" s="33" t="s">
        <v>3259</v>
      </c>
      <c r="C338" s="33" t="str">
        <f>_xlfn.XLOOKUP(Table26[[#This Row],[XPATHS]],Table610119[&lt;&lt;NOLA_Exchange&gt;&gt;
Booking],Table610119[python script],"")</f>
        <v/>
      </c>
      <c r="D338" s="33" t="str">
        <f>_xlfn.XLOOKUP(Table26[[#This Row],[XPATHS]],Table610119[&lt;&lt;NOLA_Exchange&gt;&gt;
Booking],Table610119['#],"")</f>
        <v/>
      </c>
    </row>
    <row r="339" spans="1:4" x14ac:dyDescent="0.3">
      <c r="A339" s="33" t="str">
        <f t="shared" si="5"/>
        <v>338book_xpath</v>
      </c>
      <c r="B339" s="33" t="s">
        <v>3260</v>
      </c>
      <c r="C339" s="33" t="str">
        <f>_xlfn.XLOOKUP(Table26[[#This Row],[XPATHS]],Table610119[&lt;&lt;NOLA_Exchange&gt;&gt;
Booking],Table610119[python script],"")</f>
        <v/>
      </c>
      <c r="D339" s="33" t="str">
        <f>_xlfn.XLOOKUP(Table26[[#This Row],[XPATHS]],Table610119[&lt;&lt;NOLA_Exchange&gt;&gt;
Booking],Table610119['#],"")</f>
        <v/>
      </c>
    </row>
    <row r="340" spans="1:4" x14ac:dyDescent="0.3">
      <c r="A340" s="33" t="str">
        <f t="shared" si="5"/>
        <v>339book_xpath</v>
      </c>
      <c r="B340" s="33" t="s">
        <v>665</v>
      </c>
      <c r="C340" s="33" t="str">
        <f>_xlfn.XLOOKUP(Table26[[#This Row],[XPATHS]],Table610119[&lt;&lt;NOLA_Exchange&gt;&gt;
Booking],Table610119[python script],"")</f>
        <v>"IDBADGAO": "/j:Booking/j:Arrest/j:ArrestOfficial[1]/j:EnforcementOfficialBadgeIdentification/IdentificationID",</v>
      </c>
      <c r="D340" s="33" t="str">
        <f>_xlfn.XLOOKUP(Table26[[#This Row],[XPATHS]],Table610119[&lt;&lt;NOLA_Exchange&gt;&gt;
Booking],Table610119['#],"")</f>
        <v>63expanded_IMARRD_sorted</v>
      </c>
    </row>
    <row r="341" spans="1:4" x14ac:dyDescent="0.3">
      <c r="A341" s="33" t="str">
        <f t="shared" si="5"/>
        <v>340book_xpath</v>
      </c>
      <c r="B341" s="33" t="s">
        <v>693</v>
      </c>
      <c r="C341" s="33" t="str">
        <f>_xlfn.XLOOKUP(Table26[[#This Row],[XPATHS]],Table610119[&lt;&lt;NOLA_Exchange&gt;&gt;
Booking],Table610119[python script],"")</f>
        <v/>
      </c>
      <c r="D341" s="33" t="str">
        <f>_xlfn.XLOOKUP(Table26[[#This Row],[XPATHS]],Table610119[&lt;&lt;NOLA_Exchange&gt;&gt;
Booking],Table610119['#],"")</f>
        <v/>
      </c>
    </row>
    <row r="342" spans="1:4" x14ac:dyDescent="0.3">
      <c r="A342" s="33" t="str">
        <f t="shared" si="5"/>
        <v>341book_xpath</v>
      </c>
      <c r="B342" s="33" t="s">
        <v>3261</v>
      </c>
      <c r="C342" s="33" t="str">
        <f>_xlfn.XLOOKUP(Table26[[#This Row],[XPATHS]],Table610119[&lt;&lt;NOLA_Exchange&gt;&gt;
Booking],Table610119[python script],"")</f>
        <v/>
      </c>
      <c r="D342" s="33" t="str">
        <f>_xlfn.XLOOKUP(Table26[[#This Row],[XPATHS]],Table610119[&lt;&lt;NOLA_Exchange&gt;&gt;
Booking],Table610119['#],"")</f>
        <v/>
      </c>
    </row>
    <row r="343" spans="1:4" x14ac:dyDescent="0.3">
      <c r="A343" s="33" t="str">
        <f t="shared" si="5"/>
        <v>342book_xpath</v>
      </c>
      <c r="B343" s="33" t="s">
        <v>686</v>
      </c>
      <c r="C343" s="33" t="str">
        <f>_xlfn.XLOOKUP(Table26[[#This Row],[XPATHS]],Table610119[&lt;&lt;NOLA_Exchange&gt;&gt;
Booking],Table610119[python script],"")</f>
        <v/>
      </c>
      <c r="D343" s="33" t="str">
        <f>_xlfn.XLOOKUP(Table26[[#This Row],[XPATHS]],Table610119[&lt;&lt;NOLA_Exchange&gt;&gt;
Booking],Table610119['#],"")</f>
        <v/>
      </c>
    </row>
    <row r="344" spans="1:4" x14ac:dyDescent="0.3">
      <c r="A344" s="33" t="str">
        <f t="shared" si="5"/>
        <v>343book_xpath</v>
      </c>
      <c r="B344" s="33" t="s">
        <v>3262</v>
      </c>
      <c r="C344" s="33" t="str">
        <f>_xlfn.XLOOKUP(Table26[[#This Row],[XPATHS]],Table610119[&lt;&lt;NOLA_Exchange&gt;&gt;
Booking],Table610119[python script],"")</f>
        <v/>
      </c>
      <c r="D344" s="33" t="str">
        <f>_xlfn.XLOOKUP(Table26[[#This Row],[XPATHS]],Table610119[&lt;&lt;NOLA_Exchange&gt;&gt;
Booking],Table610119['#],"")</f>
        <v/>
      </c>
    </row>
    <row r="345" spans="1:4" x14ac:dyDescent="0.3">
      <c r="A345" s="33" t="str">
        <f t="shared" si="5"/>
        <v>344book_xpath</v>
      </c>
      <c r="B345" s="33" t="s">
        <v>3263</v>
      </c>
      <c r="C345" s="33" t="str">
        <f>_xlfn.XLOOKUP(Table26[[#This Row],[XPATHS]],Table610119[&lt;&lt;NOLA_Exchange&gt;&gt;
Booking],Table610119[python script],"")</f>
        <v/>
      </c>
      <c r="D345" s="33" t="str">
        <f>_xlfn.XLOOKUP(Table26[[#This Row],[XPATHS]],Table610119[&lt;&lt;NOLA_Exchange&gt;&gt;
Booking],Table610119['#],"")</f>
        <v/>
      </c>
    </row>
    <row r="346" spans="1:4" x14ac:dyDescent="0.3">
      <c r="A346" s="33" t="str">
        <f t="shared" si="5"/>
        <v>345book_xpath</v>
      </c>
      <c r="B346" s="33" t="s">
        <v>1432</v>
      </c>
      <c r="C346" s="33" t="str">
        <f>_xlfn.XLOOKUP(Table26[[#This Row],[XPATHS]],Table610119[&lt;&lt;NOLA_Exchange&gt;&gt;
Booking],Table610119[python script],"")</f>
        <v/>
      </c>
      <c r="D346" s="33" t="str">
        <f>_xlfn.XLOOKUP(Table26[[#This Row],[XPATHS]],Table610119[&lt;&lt;NOLA_Exchange&gt;&gt;
Booking],Table610119['#],"")</f>
        <v/>
      </c>
    </row>
    <row r="347" spans="1:4" x14ac:dyDescent="0.3">
      <c r="A347" s="33" t="str">
        <f t="shared" si="5"/>
        <v>346book_xpath</v>
      </c>
      <c r="B347" s="33" t="s">
        <v>702</v>
      </c>
      <c r="C347" s="33" t="str">
        <f>_xlfn.XLOOKUP(Table26[[#This Row],[XPATHS]],Table610119[&lt;&lt;NOLA_Exchange&gt;&gt;
Booking],Table610119[python script],"")</f>
        <v>"IDUNITAO": "/j:Booking/j:Arrest/j:ArrestOfficial[1]/j:EnforcementOfficialUnit/j:EnforcementUnitName",</v>
      </c>
      <c r="D347" s="33" t="str">
        <f>_xlfn.XLOOKUP(Table26[[#This Row],[XPATHS]],Table610119[&lt;&lt;NOLA_Exchange&gt;&gt;
Booking],Table610119['#],"")</f>
        <v>66expanded_IMARRD_sorted</v>
      </c>
    </row>
    <row r="348" spans="1:4" x14ac:dyDescent="0.3">
      <c r="A348" s="33" t="str">
        <f t="shared" si="5"/>
        <v>347book_xpath</v>
      </c>
      <c r="B348" s="33" t="s">
        <v>3072</v>
      </c>
      <c r="C348" s="33" t="str">
        <f>_xlfn.XLOOKUP(Table26[[#This Row],[XPATHS]],Table610119[&lt;&lt;NOLA_Exchange&gt;&gt;
Booking],Table610119[python script],"")</f>
        <v/>
      </c>
      <c r="D348" s="33" t="str">
        <f>_xlfn.XLOOKUP(Table26[[#This Row],[XPATHS]],Table610119[&lt;&lt;NOLA_Exchange&gt;&gt;
Booking],Table610119['#],"")</f>
        <v/>
      </c>
    </row>
    <row r="349" spans="1:4" x14ac:dyDescent="0.3">
      <c r="A349" s="33" t="str">
        <f t="shared" si="5"/>
        <v>348book_xpath</v>
      </c>
      <c r="B349" s="33" t="s">
        <v>3264</v>
      </c>
      <c r="C349" s="33" t="str">
        <f>_xlfn.XLOOKUP(Table26[[#This Row],[XPATHS]],Table610119[&lt;&lt;NOLA_Exchange&gt;&gt;
Booking],Table610119[python script],"")</f>
        <v/>
      </c>
      <c r="D349" s="33" t="str">
        <f>_xlfn.XLOOKUP(Table26[[#This Row],[XPATHS]],Table610119[&lt;&lt;NOLA_Exchange&gt;&gt;
Booking],Table610119['#],"")</f>
        <v/>
      </c>
    </row>
    <row r="350" spans="1:4" x14ac:dyDescent="0.3">
      <c r="A350" s="33" t="str">
        <f t="shared" si="5"/>
        <v>349book_xpath</v>
      </c>
      <c r="B350" s="33" t="s">
        <v>3265</v>
      </c>
      <c r="C350" s="33" t="str">
        <f>_xlfn.XLOOKUP(Table26[[#This Row],[XPATHS]],Table610119[&lt;&lt;NOLA_Exchange&gt;&gt;
Booking],Table610119[python script],"")</f>
        <v/>
      </c>
      <c r="D350" s="33" t="str">
        <f>_xlfn.XLOOKUP(Table26[[#This Row],[XPATHS]],Table610119[&lt;&lt;NOLA_Exchange&gt;&gt;
Booking],Table610119['#],"")</f>
        <v/>
      </c>
    </row>
    <row r="351" spans="1:4" x14ac:dyDescent="0.3">
      <c r="A351" s="33" t="str">
        <f t="shared" si="5"/>
        <v>350book_xpath</v>
      </c>
      <c r="B351" s="33" t="s">
        <v>2910</v>
      </c>
      <c r="C351" s="33" t="str">
        <f>_xlfn.XLOOKUP(Table26[[#This Row],[XPATHS]],Table610119[&lt;&lt;NOLA_Exchange&gt;&gt;
Booking],Table610119[python script],"")</f>
        <v/>
      </c>
      <c r="D351" s="33" t="str">
        <f>_xlfn.XLOOKUP(Table26[[#This Row],[XPATHS]],Table610119[&lt;&lt;NOLA_Exchange&gt;&gt;
Booking],Table610119['#],"")</f>
        <v/>
      </c>
    </row>
    <row r="352" spans="1:4" x14ac:dyDescent="0.3">
      <c r="A352" s="33" t="str">
        <f t="shared" si="5"/>
        <v>351book_xpath</v>
      </c>
      <c r="B352" s="33" t="s">
        <v>976</v>
      </c>
      <c r="C352" s="33" t="str">
        <f>_xlfn.XLOOKUP(Table26[[#This Row],[XPATHS]],Table610119[&lt;&lt;NOLA_Exchange&gt;&gt;
Booking],Table610119[python script],"")</f>
        <v>"IDFNAMTO": "/j:Booking/j:Arrest/j:ArrestOfficial[2]/RoleOfPerson/PersonName/PersonGivenName",</v>
      </c>
      <c r="D352" s="33" t="str">
        <f>_xlfn.XLOOKUP(Table26[[#This Row],[XPATHS]],Table610119[&lt;&lt;NOLA_Exchange&gt;&gt;
Booking],Table610119['#],"")</f>
        <v>82expanded_IMARRD_sorted</v>
      </c>
    </row>
    <row r="353" spans="1:4" x14ac:dyDescent="0.3">
      <c r="A353" s="33" t="str">
        <f t="shared" si="5"/>
        <v>352book_xpath</v>
      </c>
      <c r="B353" s="33" t="s">
        <v>2831</v>
      </c>
      <c r="C353" s="33" t="str">
        <f>_xlfn.XLOOKUP(Table26[[#This Row],[XPATHS]],Table610119[&lt;&lt;NOLA_Exchange&gt;&gt;
Booking],Table610119[python script],"")</f>
        <v/>
      </c>
      <c r="D353" s="33" t="str">
        <f>_xlfn.XLOOKUP(Table26[[#This Row],[XPATHS]],Table610119[&lt;&lt;NOLA_Exchange&gt;&gt;
Booking],Table610119['#],"")</f>
        <v/>
      </c>
    </row>
    <row r="354" spans="1:4" x14ac:dyDescent="0.3">
      <c r="A354" s="33" t="str">
        <f t="shared" si="5"/>
        <v>353book_xpath</v>
      </c>
      <c r="B354" s="33" t="s">
        <v>1054</v>
      </c>
      <c r="C354" s="33" t="str">
        <f>_xlfn.XLOOKUP(Table26[[#This Row],[XPATHS]],Table610119[&lt;&lt;NOLA_Exchange&gt;&gt;
Booking],Table610119[python script],"")</f>
        <v>"IDLNAMTO": "/j:Booking/j:Arrest/j:ArrestOfficial[2]/RoleOfPerson/PersonName/PersonSurName",</v>
      </c>
      <c r="D354" s="33" t="str">
        <f>_xlfn.XLOOKUP(Table26[[#This Row],[XPATHS]],Table610119[&lt;&lt;NOLA_Exchange&gt;&gt;
Booking],Table610119['#],"")</f>
        <v>87expanded_IMARRD_sorted</v>
      </c>
    </row>
    <row r="355" spans="1:4" x14ac:dyDescent="0.3">
      <c r="A355" s="33" t="str">
        <f t="shared" si="5"/>
        <v>354book_xpath</v>
      </c>
      <c r="B355" s="33" t="s">
        <v>2862</v>
      </c>
      <c r="C355" s="33" t="str">
        <f>_xlfn.XLOOKUP(Table26[[#This Row],[XPATHS]],Table610119[&lt;&lt;NOLA_Exchange&gt;&gt;
Booking],Table610119[python script],"")</f>
        <v/>
      </c>
      <c r="D355" s="33" t="str">
        <f>_xlfn.XLOOKUP(Table26[[#This Row],[XPATHS]],Table610119[&lt;&lt;NOLA_Exchange&gt;&gt;
Booking],Table610119['#],"")</f>
        <v/>
      </c>
    </row>
    <row r="356" spans="1:4" x14ac:dyDescent="0.3">
      <c r="A356" s="33" t="str">
        <f t="shared" si="5"/>
        <v>355book_xpath</v>
      </c>
      <c r="B356" s="33" t="s">
        <v>1019</v>
      </c>
      <c r="C356" s="33" t="str">
        <f>_xlfn.XLOOKUP(Table26[[#This Row],[XPATHS]],Table610119[&lt;&lt;NOLA_Exchange&gt;&gt;
Booking],Table610119[python script],"")</f>
        <v>"IDNAMETO": "/j:Booking/j:Arrest/j:ArrestOfficial[2]/RoleOfPerson/PersonName/PersonFullName",</v>
      </c>
      <c r="D356" s="33" t="str">
        <f>_xlfn.XLOOKUP(Table26[[#This Row],[XPATHS]],Table610119[&lt;&lt;NOLA_Exchange&gt;&gt;
Booking],Table610119['#],"")</f>
        <v>84expanded_IMARRD_sorted</v>
      </c>
    </row>
    <row r="357" spans="1:4" x14ac:dyDescent="0.3">
      <c r="A357" s="33" t="str">
        <f t="shared" si="5"/>
        <v>356book_xpath</v>
      </c>
      <c r="B357" s="33" t="s">
        <v>3266</v>
      </c>
      <c r="C357" s="33" t="str">
        <f>_xlfn.XLOOKUP(Table26[[#This Row],[XPATHS]],Table610119[&lt;&lt;NOLA_Exchange&gt;&gt;
Booking],Table610119[python script],"")</f>
        <v/>
      </c>
      <c r="D357" s="33" t="str">
        <f>_xlfn.XLOOKUP(Table26[[#This Row],[XPATHS]],Table610119[&lt;&lt;NOLA_Exchange&gt;&gt;
Booking],Table610119['#],"")</f>
        <v/>
      </c>
    </row>
    <row r="358" spans="1:4" x14ac:dyDescent="0.3">
      <c r="A358" s="33" t="str">
        <f t="shared" si="5"/>
        <v>357book_xpath</v>
      </c>
      <c r="B358" s="33" t="s">
        <v>3267</v>
      </c>
      <c r="C358" s="33" t="str">
        <f>_xlfn.XLOOKUP(Table26[[#This Row],[XPATHS]],Table610119[&lt;&lt;NOLA_Exchange&gt;&gt;
Booking],Table610119[python script],"")</f>
        <v/>
      </c>
      <c r="D358" s="33" t="str">
        <f>_xlfn.XLOOKUP(Table26[[#This Row],[XPATHS]],Table610119[&lt;&lt;NOLA_Exchange&gt;&gt;
Booking],Table610119['#],"")</f>
        <v/>
      </c>
    </row>
    <row r="359" spans="1:4" x14ac:dyDescent="0.3">
      <c r="A359" s="33" t="str">
        <f t="shared" si="5"/>
        <v>358book_xpath</v>
      </c>
      <c r="B359" s="33" t="s">
        <v>1972</v>
      </c>
      <c r="C359" s="33" t="str">
        <f>_xlfn.XLOOKUP(Table26[[#This Row],[XPATHS]],Table610119[&lt;&lt;NOLA_Exchange&gt;&gt;
Booking],Table610119[python script],"")</f>
        <v/>
      </c>
      <c r="D359" s="33" t="str">
        <f>_xlfn.XLOOKUP(Table26[[#This Row],[XPATHS]],Table610119[&lt;&lt;NOLA_Exchange&gt;&gt;
Booking],Table610119['#],"")</f>
        <v/>
      </c>
    </row>
    <row r="360" spans="1:4" x14ac:dyDescent="0.3">
      <c r="A360" s="33" t="str">
        <f t="shared" si="5"/>
        <v>359book_xpath</v>
      </c>
      <c r="B360" s="33" t="s">
        <v>3268</v>
      </c>
      <c r="C360" s="33" t="str">
        <f>_xlfn.XLOOKUP(Table26[[#This Row],[XPATHS]],Table610119[&lt;&lt;NOLA_Exchange&gt;&gt;
Booking],Table610119[python script],"")</f>
        <v/>
      </c>
      <c r="D360" s="33" t="str">
        <f>_xlfn.XLOOKUP(Table26[[#This Row],[XPATHS]],Table610119[&lt;&lt;NOLA_Exchange&gt;&gt;
Booking],Table610119['#],"")</f>
        <v/>
      </c>
    </row>
    <row r="361" spans="1:4" x14ac:dyDescent="0.3">
      <c r="A361" s="33" t="str">
        <f t="shared" si="5"/>
        <v>360book_xpath</v>
      </c>
      <c r="B361" s="33" t="s">
        <v>3269</v>
      </c>
      <c r="C361" s="33" t="str">
        <f>_xlfn.XLOOKUP(Table26[[#This Row],[XPATHS]],Table610119[&lt;&lt;NOLA_Exchange&gt;&gt;
Booking],Table610119[python script],"")</f>
        <v/>
      </c>
      <c r="D361" s="33" t="str">
        <f>_xlfn.XLOOKUP(Table26[[#This Row],[XPATHS]],Table610119[&lt;&lt;NOLA_Exchange&gt;&gt;
Booking],Table610119['#],"")</f>
        <v/>
      </c>
    </row>
    <row r="362" spans="1:4" x14ac:dyDescent="0.3">
      <c r="A362" s="33" t="str">
        <f t="shared" si="5"/>
        <v>361book_xpath</v>
      </c>
      <c r="B362" s="33" t="s">
        <v>3270</v>
      </c>
      <c r="C362" s="33" t="str">
        <f>_xlfn.XLOOKUP(Table26[[#This Row],[XPATHS]],Table610119[&lt;&lt;NOLA_Exchange&gt;&gt;
Booking],Table610119[python script],"")</f>
        <v/>
      </c>
      <c r="D362" s="33" t="str">
        <f>_xlfn.XLOOKUP(Table26[[#This Row],[XPATHS]],Table610119[&lt;&lt;NOLA_Exchange&gt;&gt;
Booking],Table610119['#],"")</f>
        <v/>
      </c>
    </row>
    <row r="363" spans="1:4" x14ac:dyDescent="0.3">
      <c r="A363" s="33" t="str">
        <f t="shared" si="5"/>
        <v>362book_xpath</v>
      </c>
      <c r="B363" s="33" t="s">
        <v>3271</v>
      </c>
      <c r="C363" s="33" t="str">
        <f>_xlfn.XLOOKUP(Table26[[#This Row],[XPATHS]],Table610119[&lt;&lt;NOLA_Exchange&gt;&gt;
Booking],Table610119[python script],"")</f>
        <v/>
      </c>
      <c r="D363" s="33" t="str">
        <f>_xlfn.XLOOKUP(Table26[[#This Row],[XPATHS]],Table610119[&lt;&lt;NOLA_Exchange&gt;&gt;
Booking],Table610119['#],"")</f>
        <v/>
      </c>
    </row>
    <row r="364" spans="1:4" x14ac:dyDescent="0.3">
      <c r="A364" s="33" t="str">
        <f t="shared" si="5"/>
        <v>363book_xpath</v>
      </c>
      <c r="B364" s="33" t="s">
        <v>3272</v>
      </c>
      <c r="C364" s="33" t="str">
        <f>_xlfn.XLOOKUP(Table26[[#This Row],[XPATHS]],Table610119[&lt;&lt;NOLA_Exchange&gt;&gt;
Booking],Table610119[python script],"")</f>
        <v/>
      </c>
      <c r="D364" s="33" t="str">
        <f>_xlfn.XLOOKUP(Table26[[#This Row],[XPATHS]],Table610119[&lt;&lt;NOLA_Exchange&gt;&gt;
Booking],Table610119['#],"")</f>
        <v/>
      </c>
    </row>
    <row r="365" spans="1:4" x14ac:dyDescent="0.3">
      <c r="A365" s="33" t="str">
        <f t="shared" si="5"/>
        <v>364book_xpath</v>
      </c>
      <c r="B365" s="33" t="s">
        <v>670</v>
      </c>
      <c r="C365" s="33" t="str">
        <f>_xlfn.XLOOKUP(Table26[[#This Row],[XPATHS]],Table610119[&lt;&lt;NOLA_Exchange&gt;&gt;
Booking],Table610119[python script],"")</f>
        <v>"IDBADGTO": "/j:Booking/j:Arrest/j:ArrestOfficial[2]/j:EnforcementOfficialBadgeIdentification/IdentificationID",</v>
      </c>
      <c r="D365" s="33" t="str">
        <f>_xlfn.XLOOKUP(Table26[[#This Row],[XPATHS]],Table610119[&lt;&lt;NOLA_Exchange&gt;&gt;
Booking],Table610119['#],"")</f>
        <v>64expanded_IMARRD_sorted</v>
      </c>
    </row>
    <row r="366" spans="1:4" x14ac:dyDescent="0.3">
      <c r="A366" s="33" t="str">
        <f t="shared" si="5"/>
        <v>365book_xpath</v>
      </c>
      <c r="B366" s="33" t="s">
        <v>694</v>
      </c>
      <c r="C366" s="33" t="str">
        <f>_xlfn.XLOOKUP(Table26[[#This Row],[XPATHS]],Table610119[&lt;&lt;NOLA_Exchange&gt;&gt;
Booking],Table610119[python script],"")</f>
        <v/>
      </c>
      <c r="D366" s="33" t="str">
        <f>_xlfn.XLOOKUP(Table26[[#This Row],[XPATHS]],Table610119[&lt;&lt;NOLA_Exchange&gt;&gt;
Booking],Table610119['#],"")</f>
        <v/>
      </c>
    </row>
    <row r="367" spans="1:4" x14ac:dyDescent="0.3">
      <c r="A367" s="33" t="str">
        <f t="shared" si="5"/>
        <v>366book_xpath</v>
      </c>
      <c r="B367" s="33" t="s">
        <v>3273</v>
      </c>
      <c r="C367" s="33" t="str">
        <f>_xlfn.XLOOKUP(Table26[[#This Row],[XPATHS]],Table610119[&lt;&lt;NOLA_Exchange&gt;&gt;
Booking],Table610119[python script],"")</f>
        <v/>
      </c>
      <c r="D367" s="33" t="str">
        <f>_xlfn.XLOOKUP(Table26[[#This Row],[XPATHS]],Table610119[&lt;&lt;NOLA_Exchange&gt;&gt;
Booking],Table610119['#],"")</f>
        <v/>
      </c>
    </row>
    <row r="368" spans="1:4" x14ac:dyDescent="0.3">
      <c r="A368" s="33" t="str">
        <f t="shared" si="5"/>
        <v>367book_xpath</v>
      </c>
      <c r="B368" s="33" t="s">
        <v>687</v>
      </c>
      <c r="C368" s="33" t="str">
        <f>_xlfn.XLOOKUP(Table26[[#This Row],[XPATHS]],Table610119[&lt;&lt;NOLA_Exchange&gt;&gt;
Booking],Table610119[python script],"")</f>
        <v/>
      </c>
      <c r="D368" s="33" t="str">
        <f>_xlfn.XLOOKUP(Table26[[#This Row],[XPATHS]],Table610119[&lt;&lt;NOLA_Exchange&gt;&gt;
Booking],Table610119['#],"")</f>
        <v/>
      </c>
    </row>
    <row r="369" spans="1:4" x14ac:dyDescent="0.3">
      <c r="A369" s="33" t="str">
        <f t="shared" si="5"/>
        <v>368book_xpath</v>
      </c>
      <c r="B369" s="33" t="s">
        <v>3274</v>
      </c>
      <c r="C369" s="33" t="str">
        <f>_xlfn.XLOOKUP(Table26[[#This Row],[XPATHS]],Table610119[&lt;&lt;NOLA_Exchange&gt;&gt;
Booking],Table610119[python script],"")</f>
        <v/>
      </c>
      <c r="D369" s="33" t="str">
        <f>_xlfn.XLOOKUP(Table26[[#This Row],[XPATHS]],Table610119[&lt;&lt;NOLA_Exchange&gt;&gt;
Booking],Table610119['#],"")</f>
        <v/>
      </c>
    </row>
    <row r="370" spans="1:4" x14ac:dyDescent="0.3">
      <c r="A370" s="33" t="str">
        <f t="shared" si="5"/>
        <v>369book_xpath</v>
      </c>
      <c r="B370" s="33" t="s">
        <v>3275</v>
      </c>
      <c r="C370" s="33" t="str">
        <f>_xlfn.XLOOKUP(Table26[[#This Row],[XPATHS]],Table610119[&lt;&lt;NOLA_Exchange&gt;&gt;
Booking],Table610119[python script],"")</f>
        <v/>
      </c>
      <c r="D370" s="33" t="str">
        <f>_xlfn.XLOOKUP(Table26[[#This Row],[XPATHS]],Table610119[&lt;&lt;NOLA_Exchange&gt;&gt;
Booking],Table610119['#],"")</f>
        <v/>
      </c>
    </row>
    <row r="371" spans="1:4" x14ac:dyDescent="0.3">
      <c r="A371" s="33" t="str">
        <f t="shared" si="5"/>
        <v>370book_xpath</v>
      </c>
      <c r="B371" s="33" t="s">
        <v>1433</v>
      </c>
      <c r="C371" s="33" t="str">
        <f>_xlfn.XLOOKUP(Table26[[#This Row],[XPATHS]],Table610119[&lt;&lt;NOLA_Exchange&gt;&gt;
Booking],Table610119[python script],"")</f>
        <v/>
      </c>
      <c r="D371" s="33" t="str">
        <f>_xlfn.XLOOKUP(Table26[[#This Row],[XPATHS]],Table610119[&lt;&lt;NOLA_Exchange&gt;&gt;
Booking],Table610119['#],"")</f>
        <v/>
      </c>
    </row>
    <row r="372" spans="1:4" x14ac:dyDescent="0.3">
      <c r="A372" s="33" t="str">
        <f t="shared" si="5"/>
        <v>371book_xpath</v>
      </c>
      <c r="B372" s="33" t="s">
        <v>707</v>
      </c>
      <c r="C372" s="33" t="str">
        <f>_xlfn.XLOOKUP(Table26[[#This Row],[XPATHS]],Table610119[&lt;&lt;NOLA_Exchange&gt;&gt;
Booking],Table610119[python script],"")</f>
        <v>"IDUNITTO": "/j:Booking/j:Arrest/j:ArrestOfficial[2]/j:EnforcementOfficialUnit/j:EnforcementUnitName",</v>
      </c>
      <c r="D372" s="33" t="str">
        <f>_xlfn.XLOOKUP(Table26[[#This Row],[XPATHS]],Table610119[&lt;&lt;NOLA_Exchange&gt;&gt;
Booking],Table610119['#],"")</f>
        <v>65expanded_IMARRD_sorted</v>
      </c>
    </row>
    <row r="373" spans="1:4" x14ac:dyDescent="0.3">
      <c r="A373" s="33" t="str">
        <f t="shared" si="5"/>
        <v>372book_xpath</v>
      </c>
      <c r="B373" s="33" t="s">
        <v>3276</v>
      </c>
      <c r="C373" s="33" t="str">
        <f>_xlfn.XLOOKUP(Table26[[#This Row],[XPATHS]],Table610119[&lt;&lt;NOLA_Exchange&gt;&gt;
Booking],Table610119[python script],"")</f>
        <v/>
      </c>
      <c r="D373" s="33" t="str">
        <f>_xlfn.XLOOKUP(Table26[[#This Row],[XPATHS]],Table610119[&lt;&lt;NOLA_Exchange&gt;&gt;
Booking],Table610119['#],"")</f>
        <v/>
      </c>
    </row>
    <row r="374" spans="1:4" x14ac:dyDescent="0.3">
      <c r="A374" s="33" t="str">
        <f t="shared" si="5"/>
        <v>373book_xpath</v>
      </c>
      <c r="B374" s="33" t="s">
        <v>3277</v>
      </c>
      <c r="C374" s="33" t="str">
        <f>_xlfn.XLOOKUP(Table26[[#This Row],[XPATHS]],Table610119[&lt;&lt;NOLA_Exchange&gt;&gt;
Booking],Table610119[python script],"")</f>
        <v/>
      </c>
      <c r="D374" s="33" t="str">
        <f>_xlfn.XLOOKUP(Table26[[#This Row],[XPATHS]],Table610119[&lt;&lt;NOLA_Exchange&gt;&gt;
Booking],Table610119['#],"")</f>
        <v/>
      </c>
    </row>
    <row r="375" spans="1:4" x14ac:dyDescent="0.3">
      <c r="A375" s="33" t="str">
        <f t="shared" si="5"/>
        <v>374book_xpath</v>
      </c>
      <c r="B375" s="33" t="s">
        <v>3278</v>
      </c>
      <c r="C375" s="33" t="str">
        <f>_xlfn.XLOOKUP(Table26[[#This Row],[XPATHS]],Table610119[&lt;&lt;NOLA_Exchange&gt;&gt;
Booking],Table610119[python script],"")</f>
        <v/>
      </c>
      <c r="D375" s="33" t="str">
        <f>_xlfn.XLOOKUP(Table26[[#This Row],[XPATHS]],Table610119[&lt;&lt;NOLA_Exchange&gt;&gt;
Booking],Table610119['#],"")</f>
        <v/>
      </c>
    </row>
    <row r="376" spans="1:4" x14ac:dyDescent="0.3">
      <c r="A376" s="33" t="str">
        <f t="shared" si="5"/>
        <v>375book_xpath</v>
      </c>
      <c r="B376" s="33" t="s">
        <v>655</v>
      </c>
      <c r="C376" s="33" t="str">
        <f>_xlfn.XLOOKUP(Table26[[#This Row],[XPATHS]],Table610119[&lt;&lt;NOLA_Exchange&gt;&gt;
Booking],Table610119[python script],"")</f>
        <v>"IDITMN": "/j:Booking/j:Arrest/nola-ext:ArrestAugmentation/Incident/ActivityIdentification/IdentificationID",</v>
      </c>
      <c r="D376" s="33" t="str">
        <f>_xlfn.XLOOKUP(Table26[[#This Row],[XPATHS]],Table610119[&lt;&lt;NOLA_Exchange&gt;&gt;
Booking],Table610119['#],"")</f>
        <v>62expanded_IMARRD_sorted</v>
      </c>
    </row>
    <row r="377" spans="1:4" x14ac:dyDescent="0.3">
      <c r="A377" s="33" t="str">
        <f t="shared" si="5"/>
        <v>376book_xpath</v>
      </c>
      <c r="B377" s="33" t="s">
        <v>3279</v>
      </c>
      <c r="C377" s="33" t="str">
        <f>_xlfn.XLOOKUP(Table26[[#This Row],[XPATHS]],Table610119[&lt;&lt;NOLA_Exchange&gt;&gt;
Booking],Table610119[python script],"")</f>
        <v/>
      </c>
      <c r="D377" s="33" t="str">
        <f>_xlfn.XLOOKUP(Table26[[#This Row],[XPATHS]],Table610119[&lt;&lt;NOLA_Exchange&gt;&gt;
Booking],Table610119['#],"")</f>
        <v/>
      </c>
    </row>
    <row r="378" spans="1:4" x14ac:dyDescent="0.3">
      <c r="A378" s="33" t="str">
        <f t="shared" si="5"/>
        <v>377book_xpath</v>
      </c>
      <c r="B378" s="33" t="s">
        <v>3280</v>
      </c>
      <c r="C378" s="33" t="str">
        <f>_xlfn.XLOOKUP(Table26[[#This Row],[XPATHS]],Table610119[&lt;&lt;NOLA_Exchange&gt;&gt;
Booking],Table610119[python script],"")</f>
        <v/>
      </c>
      <c r="D378" s="33" t="str">
        <f>_xlfn.XLOOKUP(Table26[[#This Row],[XPATHS]],Table610119[&lt;&lt;NOLA_Exchange&gt;&gt;
Booking],Table610119['#],"")</f>
        <v/>
      </c>
    </row>
    <row r="379" spans="1:4" x14ac:dyDescent="0.3">
      <c r="A379" s="33" t="str">
        <f t="shared" si="5"/>
        <v>378book_xpath</v>
      </c>
      <c r="B379" s="33" t="s">
        <v>3281</v>
      </c>
      <c r="C379" s="33" t="str">
        <f>_xlfn.XLOOKUP(Table26[[#This Row],[XPATHS]],Table610119[&lt;&lt;NOLA_Exchange&gt;&gt;
Booking],Table610119[python script],"")</f>
        <v/>
      </c>
      <c r="D379" s="33" t="str">
        <f>_xlfn.XLOOKUP(Table26[[#This Row],[XPATHS]],Table610119[&lt;&lt;NOLA_Exchange&gt;&gt;
Booking],Table610119['#],"")</f>
        <v/>
      </c>
    </row>
    <row r="380" spans="1:4" x14ac:dyDescent="0.3">
      <c r="A380" s="33" t="str">
        <f t="shared" si="5"/>
        <v>379book_xpath</v>
      </c>
      <c r="B380" s="33" t="s">
        <v>3282</v>
      </c>
      <c r="C380" s="33" t="str">
        <f>_xlfn.XLOOKUP(Table26[[#This Row],[XPATHS]],Table610119[&lt;&lt;NOLA_Exchange&gt;&gt;
Booking],Table610119[python script],"")</f>
        <v/>
      </c>
      <c r="D380" s="33" t="str">
        <f>_xlfn.XLOOKUP(Table26[[#This Row],[XPATHS]],Table610119[&lt;&lt;NOLA_Exchange&gt;&gt;
Booking],Table610119['#],"")</f>
        <v/>
      </c>
    </row>
    <row r="381" spans="1:4" x14ac:dyDescent="0.3">
      <c r="A381" s="33" t="str">
        <f t="shared" si="5"/>
        <v>380book_xpath</v>
      </c>
      <c r="B381" s="33" t="s">
        <v>2000</v>
      </c>
      <c r="C381" s="33" t="str">
        <f>_xlfn.XLOOKUP(Table26[[#This Row],[XPATHS]],Table610119[&lt;&lt;NOLA_Exchange&gt;&gt;
Booking],Table610119[python script],"")</f>
        <v/>
      </c>
      <c r="D381" s="33" t="str">
        <f>_xlfn.XLOOKUP(Table26[[#This Row],[XPATHS]],Table610119[&lt;&lt;NOLA_Exchange&gt;&gt;
Booking],Table610119['#],"")</f>
        <v/>
      </c>
    </row>
    <row r="382" spans="1:4" x14ac:dyDescent="0.3">
      <c r="A382" s="33" t="str">
        <f t="shared" si="5"/>
        <v>381book_xpath</v>
      </c>
      <c r="B382" s="33" t="s">
        <v>3283</v>
      </c>
      <c r="C382" s="33" t="str">
        <f>_xlfn.XLOOKUP(Table26[[#This Row],[XPATHS]],Table610119[&lt;&lt;NOLA_Exchange&gt;&gt;
Booking],Table610119[python script],"")</f>
        <v/>
      </c>
      <c r="D382" s="33" t="str">
        <f>_xlfn.XLOOKUP(Table26[[#This Row],[XPATHS]],Table610119[&lt;&lt;NOLA_Exchange&gt;&gt;
Booking],Table610119['#],"")</f>
        <v/>
      </c>
    </row>
    <row r="383" spans="1:4" x14ac:dyDescent="0.3">
      <c r="A383" s="33" t="str">
        <f t="shared" si="5"/>
        <v>382book_xpath</v>
      </c>
      <c r="B383" s="33" t="s">
        <v>3284</v>
      </c>
      <c r="C383" s="33" t="str">
        <f>_xlfn.XLOOKUP(Table26[[#This Row],[XPATHS]],Table610119[&lt;&lt;NOLA_Exchange&gt;&gt;
Booking],Table610119[python script],"")</f>
        <v/>
      </c>
      <c r="D383" s="33" t="str">
        <f>_xlfn.XLOOKUP(Table26[[#This Row],[XPATHS]],Table610119[&lt;&lt;NOLA_Exchange&gt;&gt;
Booking],Table610119['#],"")</f>
        <v/>
      </c>
    </row>
    <row r="384" spans="1:4" x14ac:dyDescent="0.3">
      <c r="A384" s="33" t="str">
        <f t="shared" si="5"/>
        <v>383book_xpath</v>
      </c>
      <c r="B384" s="33" t="s">
        <v>2018</v>
      </c>
      <c r="C384" s="33" t="str">
        <f>_xlfn.XLOOKUP(Table26[[#This Row],[XPATHS]],Table610119[&lt;&lt;NOLA_Exchange&gt;&gt;
Booking],Table610119[python script],"")</f>
        <v>"IDCSEC": "/Case/j:CaseAugmentation/j:CaseCourt/OrganizationLocation/LocationPart/LocationRoomText",</v>
      </c>
      <c r="D384" s="33" t="str">
        <f>_xlfn.XLOOKUP(Table26[[#This Row],[XPATHS]],Table610119[&lt;&lt;NOLA_Exchange&gt;&gt;
Booking],Table610119['#],"")</f>
        <v>52expanded_IMARRD_sorted</v>
      </c>
    </row>
    <row r="385" spans="1:4" x14ac:dyDescent="0.3">
      <c r="A385" s="33" t="str">
        <f t="shared" si="5"/>
        <v>384book_xpath</v>
      </c>
      <c r="B385" s="33" t="s">
        <v>367</v>
      </c>
      <c r="C385" s="33" t="str">
        <f>_xlfn.XLOOKUP(Table26[[#This Row],[XPATHS]],Table610119[&lt;&lt;NOLA_Exchange&gt;&gt;
Booking],Table610119[python script],"")</f>
        <v/>
      </c>
      <c r="D385" s="33" t="str">
        <f>_xlfn.XLOOKUP(Table26[[#This Row],[XPATHS]],Table610119[&lt;&lt;NOLA_Exchange&gt;&gt;
Booking],Table610119['#],"")</f>
        <v/>
      </c>
    </row>
    <row r="386" spans="1:4" x14ac:dyDescent="0.3">
      <c r="A386" s="33" t="str">
        <f t="shared" ref="A386:A396" si="6">ROW(A385)&amp;"book_xpath"</f>
        <v>385book_xpath</v>
      </c>
      <c r="B386" s="33" t="s">
        <v>1992</v>
      </c>
      <c r="C386" s="33" t="str">
        <f>_xlfn.XLOOKUP(Table26[[#This Row],[XPATHS]],Table610119[&lt;&lt;NOLA_Exchange&gt;&gt;
Booking],Table610119[python script],"")</f>
        <v/>
      </c>
      <c r="D386" s="33" t="str">
        <f>_xlfn.XLOOKUP(Table26[[#This Row],[XPATHS]],Table610119[&lt;&lt;NOLA_Exchange&gt;&gt;
Booking],Table610119['#],"")</f>
        <v/>
      </c>
    </row>
    <row r="387" spans="1:4" x14ac:dyDescent="0.3">
      <c r="A387" s="33" t="str">
        <f t="shared" si="6"/>
        <v>386book_xpath</v>
      </c>
      <c r="B387" s="33" t="s">
        <v>3285</v>
      </c>
      <c r="C387" s="33" t="str">
        <f>_xlfn.XLOOKUP(Table26[[#This Row],[XPATHS]],Table610119[&lt;&lt;NOLA_Exchange&gt;&gt;
Booking],Table610119[python script],"")</f>
        <v/>
      </c>
      <c r="D387" s="33" t="str">
        <f>_xlfn.XLOOKUP(Table26[[#This Row],[XPATHS]],Table610119[&lt;&lt;NOLA_Exchange&gt;&gt;
Booking],Table610119['#],"")</f>
        <v/>
      </c>
    </row>
    <row r="388" spans="1:4" x14ac:dyDescent="0.3">
      <c r="A388" s="33" t="str">
        <f t="shared" si="6"/>
        <v>387book_xpath</v>
      </c>
      <c r="B388" s="33" t="s">
        <v>1434</v>
      </c>
      <c r="C388" s="33" t="str">
        <f>_xlfn.XLOOKUP(Table26[[#This Row],[XPATHS]],Table610119[&lt;&lt;NOLA_Exchange&gt;&gt;
Booking],Table610119[python script],"")</f>
        <v/>
      </c>
      <c r="D388" s="33" t="str">
        <f>_xlfn.XLOOKUP(Table26[[#This Row],[XPATHS]],Table610119[&lt;&lt;NOLA_Exchange&gt;&gt;
Booking],Table610119['#],"")</f>
        <v/>
      </c>
    </row>
    <row r="389" spans="1:4" x14ac:dyDescent="0.3">
      <c r="A389" s="33" t="str">
        <f t="shared" si="6"/>
        <v>388book_xpath</v>
      </c>
      <c r="B389" s="33" t="s">
        <v>2013</v>
      </c>
      <c r="C389" s="33" t="str">
        <f>_xlfn.XLOOKUP(Table26[[#This Row],[XPATHS]],Table610119[&lt;&lt;NOLA_Exchange&gt;&gt;
Booking],Table610119[python script],"")</f>
        <v/>
      </c>
      <c r="D389" s="33" t="str">
        <f>_xlfn.XLOOKUP(Table26[[#This Row],[XPATHS]],Table610119[&lt;&lt;NOLA_Exchange&gt;&gt;
Booking],Table610119['#],"")</f>
        <v/>
      </c>
    </row>
    <row r="390" spans="1:4" x14ac:dyDescent="0.3">
      <c r="A390" s="33" t="str">
        <f t="shared" si="6"/>
        <v>389book_xpath</v>
      </c>
      <c r="B390" s="33" t="s">
        <v>563</v>
      </c>
      <c r="C390" s="33" t="str">
        <f>_xlfn.XLOOKUP(Table26[[#This Row],[XPATHS]],Table610119[&lt;&lt;NOLA_Exchange&gt;&gt;
Booking],Table610119[python script],"")</f>
        <v/>
      </c>
      <c r="D390" s="33" t="str">
        <f>_xlfn.XLOOKUP(Table26[[#This Row],[XPATHS]],Table610119[&lt;&lt;NOLA_Exchange&gt;&gt;
Booking],Table610119['#],"")</f>
        <v/>
      </c>
    </row>
    <row r="391" spans="1:4" x14ac:dyDescent="0.3">
      <c r="A391" s="33" t="str">
        <f t="shared" si="6"/>
        <v>390book_xpath</v>
      </c>
      <c r="B391" s="33" t="s">
        <v>574</v>
      </c>
      <c r="C391" s="33" t="str">
        <f>_xlfn.XLOOKUP(Table26[[#This Row],[XPATHS]],Table610119[&lt;&lt;NOLA_Exchange&gt;&gt;
Booking],Table610119[python script],"")</f>
        <v>"IDCTYP": "/Case/j:CaseAugmentation/j:CaseCourt/j:CourtCategoryCode",</v>
      </c>
      <c r="D391" s="33" t="str">
        <f>_xlfn.XLOOKUP(Table26[[#This Row],[XPATHS]],Table610119[&lt;&lt;NOLA_Exchange&gt;&gt;
Booking],Table610119['#],"")</f>
        <v>53expanded_IMARRD_sorted</v>
      </c>
    </row>
    <row r="392" spans="1:4" x14ac:dyDescent="0.3">
      <c r="A392" s="33" t="str">
        <f t="shared" si="6"/>
        <v>391book_xpath</v>
      </c>
      <c r="B392" s="33" t="s">
        <v>3286</v>
      </c>
      <c r="C392" s="33" t="str">
        <f>_xlfn.XLOOKUP(Table26[[#This Row],[XPATHS]],Table610119[&lt;&lt;NOLA_Exchange&gt;&gt;
Booking],Table610119[python script],"")</f>
        <v/>
      </c>
      <c r="D392" s="33" t="str">
        <f>_xlfn.XLOOKUP(Table26[[#This Row],[XPATHS]],Table610119[&lt;&lt;NOLA_Exchange&gt;&gt;
Booking],Table610119['#],"")</f>
        <v/>
      </c>
    </row>
    <row r="393" spans="1:4" x14ac:dyDescent="0.3">
      <c r="A393" s="33" t="str">
        <f t="shared" si="6"/>
        <v>392book_xpath</v>
      </c>
      <c r="B393" s="33" t="s">
        <v>3287</v>
      </c>
      <c r="C393" s="33" t="str">
        <f>_xlfn.XLOOKUP(Table26[[#This Row],[XPATHS]],Table610119[&lt;&lt;NOLA_Exchange&gt;&gt;
Booking],Table610119[python script],"")</f>
        <v/>
      </c>
      <c r="D393" s="33" t="str">
        <f>_xlfn.XLOOKUP(Table26[[#This Row],[XPATHS]],Table610119[&lt;&lt;NOLA_Exchange&gt;&gt;
Booking],Table610119['#],"")</f>
        <v/>
      </c>
    </row>
    <row r="394" spans="1:4" x14ac:dyDescent="0.3">
      <c r="A394" s="33" t="str">
        <f t="shared" si="6"/>
        <v>393book_xpath</v>
      </c>
      <c r="B394" s="33" t="s">
        <v>2312</v>
      </c>
      <c r="C394" s="33" t="str">
        <f>_xlfn.XLOOKUP(Table26[[#This Row],[XPATHS]],Table610119[&lt;&lt;NOLA_Exchange&gt;&gt;
Booking],Table610119[python script],"")</f>
        <v/>
      </c>
      <c r="D394" s="33" t="str">
        <f>_xlfn.XLOOKUP(Table26[[#This Row],[XPATHS]],Table610119[&lt;&lt;NOLA_Exchange&gt;&gt;
Booking],Table610119['#],"")</f>
        <v/>
      </c>
    </row>
    <row r="395" spans="1:4" x14ac:dyDescent="0.3">
      <c r="A395" s="33" t="str">
        <f t="shared" si="6"/>
        <v>394book_xpath</v>
      </c>
      <c r="B395" s="33" t="s">
        <v>3288</v>
      </c>
      <c r="C395" s="33" t="str">
        <f>_xlfn.XLOOKUP(Table26[[#This Row],[XPATHS]],Table610119[&lt;&lt;NOLA_Exchange&gt;&gt;
Booking],Table610119[python script],"")</f>
        <v/>
      </c>
      <c r="D395" s="33" t="str">
        <f>_xlfn.XLOOKUP(Table26[[#This Row],[XPATHS]],Table610119[&lt;&lt;NOLA_Exchange&gt;&gt;
Booking],Table610119['#],"")</f>
        <v/>
      </c>
    </row>
    <row r="396" spans="1:4" x14ac:dyDescent="0.3">
      <c r="A396" s="33" t="str">
        <f t="shared" si="6"/>
        <v>395book_xpath</v>
      </c>
      <c r="B396" s="33" t="s">
        <v>2086</v>
      </c>
      <c r="C396" s="33" t="str">
        <f>_xlfn.XLOOKUP(Table26[[#This Row],[XPATHS]],Table610119[&lt;&lt;NOLA_Exchange&gt;&gt;
Booking],Table610119[python script],"")</f>
        <v>"IDCDTE": "/Case/j:CaseAugmentation/j:CaseCourtEvent/ActivityDate/DateTime",</v>
      </c>
      <c r="D396" s="33" t="str">
        <f>_xlfn.XLOOKUP(Table26[[#This Row],[XPATHS]],Table610119[&lt;&lt;NOLA_Exchange&gt;&gt;
Booking],Table610119['#],"")</f>
        <v>54expanded_IMARRD_sorted</v>
      </c>
    </row>
  </sheetData>
  <conditionalFormatting sqref="D2:D396">
    <cfRule type="duplicateValues" dxfId="16"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7468A-7FA0-4E96-8595-2194BE027B70}">
  <sheetPr>
    <tabColor theme="4" tint="0.39997558519241921"/>
  </sheetPr>
  <dimension ref="A1:E116"/>
  <sheetViews>
    <sheetView workbookViewId="0">
      <selection activeCell="D106" sqref="D106"/>
    </sheetView>
  </sheetViews>
  <sheetFormatPr defaultColWidth="9.109375" defaultRowHeight="14.4" x14ac:dyDescent="0.3"/>
  <cols>
    <col min="1" max="1" width="11.88671875" style="33" bestFit="1" customWidth="1"/>
    <col min="2" max="2" width="9.6640625" style="33" bestFit="1" customWidth="1"/>
    <col min="3" max="3" width="59.44140625" style="33" customWidth="1"/>
    <col min="4" max="4" width="161" style="33" customWidth="1"/>
    <col min="5" max="16384" width="9.109375" style="33"/>
  </cols>
  <sheetData>
    <row r="1" spans="1:5" ht="21" customHeight="1" x14ac:dyDescent="0.3">
      <c r="A1" s="33" t="s">
        <v>3289</v>
      </c>
      <c r="B1" s="33" t="s">
        <v>3290</v>
      </c>
      <c r="C1" s="46" t="s">
        <v>3093</v>
      </c>
      <c r="D1" s="47" t="s">
        <v>3094</v>
      </c>
      <c r="E1" s="33" t="s">
        <v>3291</v>
      </c>
    </row>
    <row r="2" spans="1:5" x14ac:dyDescent="0.3">
      <c r="A2" s="33" t="str">
        <f t="shared" ref="A2:A33" si="0">ROW(A1)&amp;"book_python"</f>
        <v>1book_python</v>
      </c>
      <c r="B2" s="33" t="s">
        <v>3292</v>
      </c>
      <c r="C2" s="33" t="s">
        <v>407</v>
      </c>
      <c r="D2" s="48" t="s">
        <v>3293</v>
      </c>
      <c r="E2" s="33" t="str">
        <f>_xlfn.XLOOKUP(Table8[[#This Row],[Python.map]],Table610119[python script],Table610119[field id],"1!DNE!1")</f>
        <v>"IDBDTE"</v>
      </c>
    </row>
    <row r="3" spans="1:5" x14ac:dyDescent="0.3">
      <c r="A3" s="33" t="str">
        <f t="shared" si="0"/>
        <v>2book_python</v>
      </c>
      <c r="C3" s="33" t="s">
        <v>407</v>
      </c>
      <c r="D3" s="48" t="s">
        <v>3294</v>
      </c>
      <c r="E3" s="33" t="str">
        <f>_xlfn.XLOOKUP(Table8[[#This Row],[Python.map]],Table610119[python script],Table610119[field id],"1!DNE!1")</f>
        <v>"IDBTIM"</v>
      </c>
    </row>
    <row r="4" spans="1:5" x14ac:dyDescent="0.3">
      <c r="A4" s="33" t="str">
        <f t="shared" si="0"/>
        <v>3book_python</v>
      </c>
      <c r="C4" s="33" t="s">
        <v>407</v>
      </c>
      <c r="D4" s="48" t="s">
        <v>3295</v>
      </c>
      <c r="E4" s="33" t="str">
        <f>_xlfn.XLOOKUP(Table8[[#This Row],[Python.map]],Table610119[python script],Table610119[field id],"1!DNE!1")</f>
        <v>"IDBTFL"</v>
      </c>
    </row>
    <row r="5" spans="1:5" x14ac:dyDescent="0.3">
      <c r="A5" s="33" t="str">
        <f t="shared" si="0"/>
        <v>4book_python</v>
      </c>
      <c r="B5" s="33" t="s">
        <v>3296</v>
      </c>
      <c r="C5" s="33" t="s">
        <v>445</v>
      </c>
      <c r="D5" s="48" t="s">
        <v>3297</v>
      </c>
      <c r="E5" s="33" t="str">
        <f>_xlfn.XLOOKUP(Table8[[#This Row],[Python.map]],Table610119[python script],Table610119[field id],"1!DNE!1")</f>
        <v>"IDSCNO"</v>
      </c>
    </row>
    <row r="6" spans="1:5" x14ac:dyDescent="0.3">
      <c r="A6" s="33" t="str">
        <f t="shared" si="0"/>
        <v>5book_python</v>
      </c>
      <c r="B6" s="33" t="s">
        <v>3298</v>
      </c>
      <c r="C6" s="33" t="s">
        <v>377</v>
      </c>
      <c r="D6" s="48" t="s">
        <v>3299</v>
      </c>
      <c r="E6" s="33" t="str">
        <f>_xlfn.XLOOKUP(Table8[[#This Row],[Python.map]],Table610119[python script],Table610119[field id],"1!DNE!1")</f>
        <v>"IDFLDR"</v>
      </c>
    </row>
    <row r="7" spans="1:5" x14ac:dyDescent="0.3">
      <c r="A7" s="33" t="str">
        <f t="shared" si="0"/>
        <v>6book_python</v>
      </c>
      <c r="B7" s="33" t="s">
        <v>3300</v>
      </c>
      <c r="C7" s="33" t="s">
        <v>880</v>
      </c>
      <c r="D7" s="48" t="s">
        <v>3301</v>
      </c>
      <c r="E7" s="33" t="str">
        <f>_xlfn.XLOOKUP(Table8[[#This Row],[Python.map]],Table610119[python script],Table610119[field id],"1!DNE!1")</f>
        <v>"IDDOBD"</v>
      </c>
    </row>
    <row r="8" spans="1:5" x14ac:dyDescent="0.3">
      <c r="A8" s="33" t="str">
        <f t="shared" si="0"/>
        <v>7book_python</v>
      </c>
      <c r="B8" s="33" t="s">
        <v>3302</v>
      </c>
      <c r="C8" s="33" t="s">
        <v>108</v>
      </c>
      <c r="D8" s="48" t="s">
        <v>3303</v>
      </c>
      <c r="E8" s="33" t="str">
        <f>_xlfn.XLOOKUP(Table8[[#This Row],[Python.map]],Table610119[python script],Table610119[field id],"1!DNE!1")</f>
        <v>"IDSTCDB"</v>
      </c>
    </row>
    <row r="9" spans="1:5" x14ac:dyDescent="0.3">
      <c r="A9" s="33" t="str">
        <f t="shared" si="0"/>
        <v>8book_python</v>
      </c>
      <c r="B9" s="33" t="s">
        <v>3304</v>
      </c>
      <c r="C9" s="33" t="s">
        <v>728</v>
      </c>
      <c r="D9" s="48" t="s">
        <v>3504</v>
      </c>
      <c r="E9" s="33" t="str">
        <f>_xlfn.XLOOKUP(Table8[[#This Row],[Python.map]],Table610119[python script],Table610119[field id],"1!DNE!1")</f>
        <v>1!DNE!1</v>
      </c>
    </row>
    <row r="10" spans="1:5" x14ac:dyDescent="0.3">
      <c r="A10" s="33" t="str">
        <f t="shared" si="0"/>
        <v>9book_python</v>
      </c>
      <c r="B10" s="33" t="s">
        <v>3305</v>
      </c>
      <c r="C10" s="33" t="s">
        <v>753</v>
      </c>
      <c r="D10" s="48" t="s">
        <v>3306</v>
      </c>
      <c r="E10" s="33" t="str">
        <f>_xlfn.XLOOKUP(Table8[[#This Row],[Python.map]],Table610119[python script],Table610119[field id],"1!DNE!1")</f>
        <v>"IDHAIR"</v>
      </c>
    </row>
    <row r="11" spans="1:5" x14ac:dyDescent="0.3">
      <c r="A11" s="33" t="str">
        <f t="shared" si="0"/>
        <v>10book_python</v>
      </c>
      <c r="B11" s="33" t="s">
        <v>3307</v>
      </c>
      <c r="C11" s="33" t="s">
        <v>769</v>
      </c>
      <c r="D11" s="48" t="s">
        <v>3308</v>
      </c>
      <c r="E11" s="33" t="str">
        <f>_xlfn.XLOOKUP(Table8[[#This Row],[Python.map]],Table610119[python script],Table610119[field id],"1!DNE!1")</f>
        <v>"IDHGHT"</v>
      </c>
    </row>
    <row r="12" spans="1:5" x14ac:dyDescent="0.3">
      <c r="A12" s="33" t="str">
        <f t="shared" si="0"/>
        <v>11book_python</v>
      </c>
      <c r="B12" s="33" t="s">
        <v>3309</v>
      </c>
      <c r="C12" s="33" t="s">
        <v>964</v>
      </c>
      <c r="D12" s="48" t="s">
        <v>3310</v>
      </c>
      <c r="E12" s="33" t="str">
        <f>_xlfn.XLOOKUP(Table8[[#This Row],[Python.map]],Table610119[python script],Table610119[field id],"1!DNE!1")</f>
        <v>"IDFNAM"</v>
      </c>
    </row>
    <row r="13" spans="1:5" x14ac:dyDescent="0.3">
      <c r="A13" s="33" t="str">
        <f t="shared" si="0"/>
        <v>12book_python</v>
      </c>
      <c r="B13" s="33" t="s">
        <v>3311</v>
      </c>
      <c r="C13" s="33" t="s">
        <v>1083</v>
      </c>
      <c r="D13" s="48" t="s">
        <v>3312</v>
      </c>
      <c r="E13" s="33" t="str">
        <f>_xlfn.XLOOKUP(Table8[[#This Row],[Python.map]],Table610119[python script],Table610119[field id],"1!DNE!1")</f>
        <v>"IDMINI"</v>
      </c>
    </row>
    <row r="14" spans="1:5" x14ac:dyDescent="0.3">
      <c r="A14" s="33" t="str">
        <f t="shared" si="0"/>
        <v>13book_python</v>
      </c>
      <c r="B14" s="33" t="s">
        <v>3313</v>
      </c>
      <c r="C14" s="33" t="s">
        <v>1038</v>
      </c>
      <c r="D14" s="48" t="s">
        <v>3314</v>
      </c>
      <c r="E14" s="33" t="str">
        <f>_xlfn.XLOOKUP(Table8[[#This Row],[Python.map]],Table610119[python script],Table610119[field id],"1!DNE!1")</f>
        <v>"IDLNAM"</v>
      </c>
    </row>
    <row r="15" spans="1:5" x14ac:dyDescent="0.3">
      <c r="A15" s="33" t="str">
        <f t="shared" si="0"/>
        <v>14book_python</v>
      </c>
      <c r="B15" s="33" t="s">
        <v>3315</v>
      </c>
      <c r="C15" s="33" t="s">
        <v>1098</v>
      </c>
      <c r="D15" s="48" t="s">
        <v>3316</v>
      </c>
      <c r="E15" s="33" t="str">
        <f>_xlfn.XLOOKUP(Table8[[#This Row],[Python.map]],Table610119[python script],Table610119[field id],"1!DNE!1")</f>
        <v>"IDNAMS"</v>
      </c>
    </row>
    <row r="16" spans="1:5" x14ac:dyDescent="0.3">
      <c r="A16" s="33" t="str">
        <f t="shared" si="0"/>
        <v>15book_python</v>
      </c>
      <c r="B16" s="33" t="s">
        <v>3317</v>
      </c>
      <c r="C16" s="33" t="s">
        <v>2734</v>
      </c>
      <c r="D16" s="48" t="s">
        <v>3318</v>
      </c>
      <c r="E16" s="33" t="str">
        <f>_xlfn.XLOOKUP(Table8[[#This Row],[Python.map]],Table610119[python script],Table610119[field id],"1!DNE!1")</f>
        <v>"IDALFN"</v>
      </c>
    </row>
    <row r="17" spans="1:5" x14ac:dyDescent="0.3">
      <c r="A17" s="33" t="str">
        <f t="shared" si="0"/>
        <v>16book_python</v>
      </c>
      <c r="B17" s="33" t="s">
        <v>3319</v>
      </c>
      <c r="C17" s="33" t="s">
        <v>2739</v>
      </c>
      <c r="D17" s="48" t="s">
        <v>3320</v>
      </c>
      <c r="E17" s="33" t="str">
        <f>_xlfn.XLOOKUP(Table8[[#This Row],[Python.map]],Table610119[python script],Table610119[field id],"1!DNE!1")</f>
        <v>"IDALLN"</v>
      </c>
    </row>
    <row r="18" spans="1:5" x14ac:dyDescent="0.3">
      <c r="A18" s="33" t="str">
        <f t="shared" si="0"/>
        <v>17book_python</v>
      </c>
      <c r="B18" s="33" t="s">
        <v>3321</v>
      </c>
      <c r="C18" s="33" t="s">
        <v>806</v>
      </c>
      <c r="D18" s="48" t="s">
        <v>3322</v>
      </c>
      <c r="E18" s="33" t="str">
        <f>_xlfn.XLOOKUP(Table8[[#This Row],[Python.map]],Table610119[python script],Table610119[field id],"1!DNE!1")</f>
        <v>"IDRACE"</v>
      </c>
    </row>
    <row r="19" spans="1:5" x14ac:dyDescent="0.3">
      <c r="A19" s="33" t="str">
        <f t="shared" si="0"/>
        <v>18book_python</v>
      </c>
      <c r="B19" s="33" t="s">
        <v>3323</v>
      </c>
      <c r="C19" s="33" t="s">
        <v>937</v>
      </c>
      <c r="D19" s="48" t="s">
        <v>3324</v>
      </c>
      <c r="E19" s="33" t="str">
        <f>_xlfn.XLOOKUP(Table8[[#This Row],[Python.map]],Table610119[python script],Table610119[field id],"1!DNE!1")</f>
        <v>"IDSSNO"</v>
      </c>
    </row>
    <row r="20" spans="1:5" x14ac:dyDescent="0.3">
      <c r="A20" s="33" t="str">
        <f t="shared" si="0"/>
        <v>19book_python</v>
      </c>
      <c r="B20" s="33" t="s">
        <v>3325</v>
      </c>
      <c r="C20" s="33" t="s">
        <v>925</v>
      </c>
      <c r="D20" s="48" t="s">
        <v>3326</v>
      </c>
      <c r="E20" s="33" t="str">
        <f>_xlfn.XLOOKUP(Table8[[#This Row],[Python.map]],Table610119[python script],Table610119[field id],"1!DNE!1")</f>
        <v>"IDSIDN"</v>
      </c>
    </row>
    <row r="21" spans="1:5" x14ac:dyDescent="0.3">
      <c r="A21" s="33" t="str">
        <f t="shared" si="0"/>
        <v>20book_python</v>
      </c>
      <c r="B21" s="33" t="s">
        <v>3327</v>
      </c>
      <c r="C21" s="33" t="s">
        <v>858</v>
      </c>
      <c r="D21" s="48" t="s">
        <v>3328</v>
      </c>
      <c r="E21" s="33" t="str">
        <f>_xlfn.XLOOKUP(Table8[[#This Row],[Python.map]],Table610119[python script],Table610119[field id],"1!DNE!1")</f>
        <v>"IDWGHT"</v>
      </c>
    </row>
    <row r="22" spans="1:5" x14ac:dyDescent="0.3">
      <c r="A22" s="33" t="str">
        <f t="shared" si="0"/>
        <v>21book_python</v>
      </c>
      <c r="B22" s="33" t="s">
        <v>3329</v>
      </c>
      <c r="C22" s="33" t="s">
        <v>100</v>
      </c>
      <c r="D22" s="48" t="s">
        <v>3330</v>
      </c>
      <c r="E22" s="33" t="str">
        <f>_xlfn.XLOOKUP(Table8[[#This Row],[Python.map]],Table610119[python script],Table610119[field id],"1!DNE!1")</f>
        <v>"IDNATN"</v>
      </c>
    </row>
    <row r="23" spans="1:5" x14ac:dyDescent="0.3">
      <c r="A23" s="33" t="str">
        <f t="shared" si="0"/>
        <v>22book_python</v>
      </c>
      <c r="B23" s="33" t="s">
        <v>3331</v>
      </c>
      <c r="C23" s="33" t="s">
        <v>44</v>
      </c>
      <c r="D23" s="48" t="s">
        <v>3332</v>
      </c>
      <c r="E23" s="33" t="str">
        <f>_xlfn.XLOOKUP(Table8[[#This Row],[Python.map]],Table610119[python script],Table610119[field id],"1!DNE!1")</f>
        <v>"IDADDR"</v>
      </c>
    </row>
    <row r="24" spans="1:5" x14ac:dyDescent="0.3">
      <c r="A24" s="33" t="str">
        <f t="shared" si="0"/>
        <v>23book_python</v>
      </c>
      <c r="B24" s="33" t="s">
        <v>3333</v>
      </c>
      <c r="C24" s="33" t="s">
        <v>136</v>
      </c>
      <c r="D24" s="48" t="s">
        <v>3334</v>
      </c>
      <c r="E24" s="33" t="str">
        <f>_xlfn.XLOOKUP(Table8[[#This Row],[Python.map]],Table610119[python script],Table610119[field id],"1!DNE!1")</f>
        <v>"IDABRN"</v>
      </c>
    </row>
    <row r="25" spans="1:5" x14ac:dyDescent="0.3">
      <c r="A25" s="33" t="str">
        <f t="shared" si="0"/>
        <v>24book_python</v>
      </c>
      <c r="B25" s="33" t="s">
        <v>3335</v>
      </c>
      <c r="C25" s="33" t="s">
        <v>214</v>
      </c>
      <c r="D25" s="48" t="s">
        <v>3336</v>
      </c>
      <c r="E25" s="33" t="str">
        <f>_xlfn.XLOOKUP(Table8[[#This Row],[Python.map]],Table610119[python script],Table610119[field id],"1!DNE!1")</f>
        <v>"IDSTPF"</v>
      </c>
    </row>
    <row r="26" spans="1:5" x14ac:dyDescent="0.3">
      <c r="A26" s="33" t="str">
        <f t="shared" si="0"/>
        <v>25book_python</v>
      </c>
      <c r="B26" s="33" t="s">
        <v>3337</v>
      </c>
      <c r="C26" s="33" t="s">
        <v>261</v>
      </c>
      <c r="D26" s="48" t="s">
        <v>3338</v>
      </c>
      <c r="E26" s="33" t="str">
        <f>_xlfn.XLOOKUP(Table8[[#This Row],[Python.map]],Table610119[python script],Table610119[field id],"1!DNE!1")</f>
        <v>"IDSTNO"</v>
      </c>
    </row>
    <row r="27" spans="1:5" x14ac:dyDescent="0.3">
      <c r="A27" s="33" t="str">
        <f t="shared" si="0"/>
        <v>26book_python</v>
      </c>
      <c r="B27" s="33" t="s">
        <v>3339</v>
      </c>
      <c r="C27" s="33" t="s">
        <v>230</v>
      </c>
      <c r="D27" s="48" t="s">
        <v>3340</v>
      </c>
      <c r="E27" s="33" t="str">
        <f>_xlfn.XLOOKUP(Table8[[#This Row],[Python.map]],Table610119[python script],Table610119[field id],"1!DNE!1")</f>
        <v>"IDSTNM"</v>
      </c>
    </row>
    <row r="28" spans="1:5" x14ac:dyDescent="0.3">
      <c r="A28" s="33" t="str">
        <f t="shared" si="0"/>
        <v>27book_python</v>
      </c>
      <c r="B28" s="33" t="s">
        <v>3341</v>
      </c>
      <c r="C28" s="33" t="s">
        <v>312</v>
      </c>
      <c r="D28" s="48" t="s">
        <v>3342</v>
      </c>
      <c r="E28" s="33" t="str">
        <f>_xlfn.XLOOKUP(Table8[[#This Row],[Python.map]],Table610119[python script],Table610119[field id],"1!DNE!1")</f>
        <v>"IDSTSF"</v>
      </c>
    </row>
    <row r="29" spans="1:5" x14ac:dyDescent="0.3">
      <c r="A29" s="33" t="str">
        <f t="shared" si="0"/>
        <v>28book_python</v>
      </c>
      <c r="B29" s="33" t="s">
        <v>3343</v>
      </c>
      <c r="C29" s="33" t="s">
        <v>161</v>
      </c>
      <c r="D29" s="48" t="s">
        <v>3344</v>
      </c>
      <c r="E29" s="33" t="str">
        <f>_xlfn.XLOOKUP(Table8[[#This Row],[Python.map]],Table610119[python script],Table610119[field id],"1!DNE!1")</f>
        <v>"IDABRC"</v>
      </c>
    </row>
    <row r="30" spans="1:5" x14ac:dyDescent="0.3">
      <c r="A30" s="33" t="str">
        <f t="shared" si="0"/>
        <v>29book_python</v>
      </c>
      <c r="B30" s="33" t="s">
        <v>3345</v>
      </c>
      <c r="C30" s="33" t="s">
        <v>74</v>
      </c>
      <c r="D30" s="48" t="s">
        <v>3346</v>
      </c>
      <c r="E30" s="33" t="str">
        <f>_xlfn.XLOOKUP(Table8[[#This Row],[Python.map]],Table610119[python script],Table610119[field id],"1!DNE!1")</f>
        <v>"IDCITY"</v>
      </c>
    </row>
    <row r="31" spans="1:5" x14ac:dyDescent="0.3">
      <c r="A31" s="33" t="str">
        <f t="shared" si="0"/>
        <v>30book_python</v>
      </c>
      <c r="B31" s="33" t="s">
        <v>3347</v>
      </c>
      <c r="C31" s="33" t="s">
        <v>110</v>
      </c>
      <c r="D31" s="48" t="s">
        <v>3348</v>
      </c>
      <c r="E31" s="33" t="str">
        <f>_xlfn.XLOOKUP(Table8[[#This Row],[Python.map]],Table610119[python script],Table610119[field id],"1!DNE!1")</f>
        <v>"IDSTCD"</v>
      </c>
    </row>
    <row r="32" spans="1:5" x14ac:dyDescent="0.3">
      <c r="A32" s="33" t="str">
        <f t="shared" si="0"/>
        <v>31book_python</v>
      </c>
      <c r="B32" s="33" t="s">
        <v>3349</v>
      </c>
      <c r="C32" s="33" t="s">
        <v>628</v>
      </c>
      <c r="D32" s="48" t="s">
        <v>3350</v>
      </c>
      <c r="E32" s="33" t="str">
        <f>_xlfn.XLOOKUP(Table8[[#This Row],[Python.map]],Table610119[python script],Table610119[field id],"1!DNE!1")</f>
        <v>"IDEMPR"</v>
      </c>
    </row>
    <row r="33" spans="1:5" x14ac:dyDescent="0.3">
      <c r="A33" s="33" t="str">
        <f t="shared" si="0"/>
        <v>32book_python</v>
      </c>
      <c r="B33" s="33" t="s">
        <v>3351</v>
      </c>
      <c r="C33" s="33" t="s">
        <v>641</v>
      </c>
      <c r="D33" s="48" t="s">
        <v>3352</v>
      </c>
      <c r="E33" s="33" t="str">
        <f>_xlfn.XLOOKUP(Table8[[#This Row],[Python.map]],Table610119[python script],Table610119[field id],"1!DNE!1")</f>
        <v>"IDOCUP"</v>
      </c>
    </row>
    <row r="34" spans="1:5" x14ac:dyDescent="0.3">
      <c r="A34" s="33" t="str">
        <f t="shared" ref="A34:A65" si="1">ROW(A33)&amp;"book_python"</f>
        <v>33book_python</v>
      </c>
      <c r="B34" s="33" t="s">
        <v>3353</v>
      </c>
      <c r="C34" s="33" t="s">
        <v>912</v>
      </c>
      <c r="D34" s="48" t="s">
        <v>3354</v>
      </c>
      <c r="E34" s="33" t="str">
        <f>_xlfn.XLOOKUP(Table8[[#This Row],[Python.map]],Table610119[python script],Table610119[field id],"1!DNE!1")</f>
        <v>"IDCCNO"</v>
      </c>
    </row>
    <row r="35" spans="1:5" x14ac:dyDescent="0.3">
      <c r="A35" s="33" t="str">
        <f t="shared" si="1"/>
        <v>34book_python</v>
      </c>
      <c r="B35" s="33" t="s">
        <v>3355</v>
      </c>
      <c r="C35" s="33" t="s">
        <v>584</v>
      </c>
      <c r="D35" s="48" t="s">
        <v>3356</v>
      </c>
      <c r="E35" s="33" t="str">
        <f>_xlfn.XLOOKUP(Table8[[#This Row],[Python.map]],Table610119[python script],Table610119[field id],"1!DNE!1")</f>
        <v>"IDLICN"</v>
      </c>
    </row>
    <row r="36" spans="1:5" x14ac:dyDescent="0.3">
      <c r="A36" s="33" t="str">
        <f t="shared" si="1"/>
        <v>35book_python</v>
      </c>
      <c r="B36" s="33" t="s">
        <v>3357</v>
      </c>
      <c r="C36" s="33" t="s">
        <v>197</v>
      </c>
      <c r="D36" s="48" t="s">
        <v>3505</v>
      </c>
      <c r="E36" s="33" t="str">
        <f>_xlfn.XLOOKUP(Table8[[#This Row],[Python.map]],Table610119[python script],Table610119[field id],"1!DNE!1")</f>
        <v>1!DNE!1</v>
      </c>
    </row>
    <row r="37" spans="1:5" x14ac:dyDescent="0.3">
      <c r="A37" s="33" t="str">
        <f t="shared" si="1"/>
        <v>36book_python</v>
      </c>
      <c r="B37" s="33" t="s">
        <v>3358</v>
      </c>
      <c r="C37" s="33" t="s">
        <v>2235</v>
      </c>
      <c r="D37" s="48" t="s">
        <v>3359</v>
      </c>
      <c r="E37" s="33" t="str">
        <f>_xlfn.XLOOKUP(Table8[[#This Row],[Python.map]],Table610119[python script],Table610119[field id],"1!DNE!1")</f>
        <v>"IDLICY"</v>
      </c>
    </row>
    <row r="38" spans="1:5" x14ac:dyDescent="0.3">
      <c r="A38" s="33" t="str">
        <f t="shared" si="1"/>
        <v>37book_python</v>
      </c>
      <c r="B38" s="33" t="s">
        <v>3360</v>
      </c>
      <c r="C38" s="33" t="s">
        <v>900</v>
      </c>
      <c r="D38" s="48" t="s">
        <v>3361</v>
      </c>
      <c r="E38" s="33" t="str">
        <f>_xlfn.XLOOKUP(Table8[[#This Row],[Python.map]],Table610119[python script],Table610119[field id],"1!DNE!1")</f>
        <v>"IDFBIN"</v>
      </c>
    </row>
    <row r="39" spans="1:5" x14ac:dyDescent="0.3">
      <c r="A39" s="33" t="str">
        <f t="shared" si="1"/>
        <v>38book_python</v>
      </c>
      <c r="B39" s="33" t="s">
        <v>3362</v>
      </c>
      <c r="C39" s="33" t="s">
        <v>742</v>
      </c>
      <c r="D39" s="48" t="s">
        <v>3363</v>
      </c>
      <c r="E39" s="33" t="str">
        <f>_xlfn.XLOOKUP(Table8[[#This Row],[Python.map]],Table610119[python script],Table610119[field id],"1!DNE!1")</f>
        <v>"IDSEXC"</v>
      </c>
    </row>
    <row r="40" spans="1:5" x14ac:dyDescent="0.3">
      <c r="A40" s="33" t="str">
        <f t="shared" si="1"/>
        <v>39book_python</v>
      </c>
      <c r="B40" s="33" t="s">
        <v>3364</v>
      </c>
      <c r="C40" s="33" t="s">
        <v>1739</v>
      </c>
      <c r="D40" s="48" t="s">
        <v>3365</v>
      </c>
      <c r="E40" s="33" t="str">
        <f>_xlfn.XLOOKUP(Table8[[#This Row],[Python.map]],Table610119[python script],Table610119[field id],"1!DNE!1")</f>
        <v>"IDCHD1"</v>
      </c>
    </row>
    <row r="41" spans="1:5" x14ac:dyDescent="0.3">
      <c r="A41" s="33" t="str">
        <f t="shared" si="1"/>
        <v>40book_python</v>
      </c>
      <c r="B41" s="33" t="s">
        <v>3366</v>
      </c>
      <c r="C41" s="33" t="s">
        <v>2944</v>
      </c>
      <c r="D41" s="48" t="s">
        <v>3367</v>
      </c>
      <c r="E41" s="33" t="str">
        <f>_xlfn.XLOOKUP(Table8[[#This Row],[Python.map]],Table610119[python script],Table610119[field id],"1!DNE!1")</f>
        <v>"IDSTA1"</v>
      </c>
    </row>
    <row r="42" spans="1:5" x14ac:dyDescent="0.3">
      <c r="A42" s="33" t="str">
        <f t="shared" si="1"/>
        <v>41book_python</v>
      </c>
      <c r="B42" s="33" t="s">
        <v>3368</v>
      </c>
      <c r="C42" s="33" t="s">
        <v>3029</v>
      </c>
      <c r="D42" s="48" t="s">
        <v>3369</v>
      </c>
      <c r="E42" s="33" t="str">
        <f>_xlfn.XLOOKUP(Table8[[#This Row],[Python.map]],Table610119[python script],Table610119[field id],"1!DNE!1")</f>
        <v>"IDVIO1"</v>
      </c>
    </row>
    <row r="43" spans="1:5" x14ac:dyDescent="0.3">
      <c r="A43" s="33" t="str">
        <f t="shared" si="1"/>
        <v>42book_python</v>
      </c>
      <c r="B43" s="33" t="s">
        <v>3370</v>
      </c>
      <c r="C43" s="33" t="s">
        <v>3002</v>
      </c>
      <c r="D43" s="48" t="s">
        <v>3371</v>
      </c>
      <c r="E43" s="33" t="str">
        <f>_xlfn.XLOOKUP(Table8[[#This Row],[Python.map]],Table610119[python script],Table610119[field id],"1!DNE!1")</f>
        <v>"IDSUB1"</v>
      </c>
    </row>
    <row r="44" spans="1:5" x14ac:dyDescent="0.3">
      <c r="A44" s="33" t="str">
        <f t="shared" si="1"/>
        <v>43book_python</v>
      </c>
      <c r="B44" s="33" t="s">
        <v>3372</v>
      </c>
      <c r="C44" s="33" t="s">
        <v>1842</v>
      </c>
      <c r="D44" s="48" t="s">
        <v>3373</v>
      </c>
      <c r="E44" s="33" t="str">
        <f>_xlfn.XLOOKUP(Table8[[#This Row],[Python.map]],Table610119[python script],Table610119[field id],"1!DNE!1")</f>
        <v>"IDLBR1"</v>
      </c>
    </row>
    <row r="45" spans="1:5" x14ac:dyDescent="0.3">
      <c r="A45" s="33" t="str">
        <f t="shared" si="1"/>
        <v>44book_python</v>
      </c>
      <c r="B45" s="33" t="s">
        <v>3374</v>
      </c>
      <c r="C45" s="33" t="s">
        <v>1815</v>
      </c>
      <c r="D45" s="48" t="s">
        <v>3375</v>
      </c>
      <c r="E45" s="33" t="str">
        <f>_xlfn.XLOOKUP(Table8[[#This Row],[Python.map]],Table610119[python script],Table610119[field id],"1!DNE!1")</f>
        <v>"IDCHK1"</v>
      </c>
    </row>
    <row r="46" spans="1:5" x14ac:dyDescent="0.3">
      <c r="A46" s="33" t="str">
        <f t="shared" si="1"/>
        <v>45book_python</v>
      </c>
      <c r="B46" s="33" t="s">
        <v>3376</v>
      </c>
      <c r="C46" s="33" t="s">
        <v>1478</v>
      </c>
      <c r="D46" s="48" t="s">
        <v>3377</v>
      </c>
      <c r="E46" s="33" t="str">
        <f>_xlfn.XLOOKUP(Table8[[#This Row],[Python.map]],Table610119[python script],Table610119[field id],"1!DNE!1")</f>
        <v>"IDATN1"</v>
      </c>
    </row>
    <row r="47" spans="1:5" x14ac:dyDescent="0.3">
      <c r="A47" s="33" t="str">
        <f t="shared" si="1"/>
        <v>46book_python</v>
      </c>
      <c r="B47" s="33" t="s">
        <v>3378</v>
      </c>
      <c r="C47" s="33" t="s">
        <v>1500</v>
      </c>
      <c r="D47" s="48" t="s">
        <v>3379</v>
      </c>
      <c r="E47" s="33" t="str">
        <f>_xlfn.XLOOKUP(Table8[[#This Row],[Python.map]],Table610119[python script],Table610119[field id],"1!DNE!1")</f>
        <v>"IDATS1"</v>
      </c>
    </row>
    <row r="48" spans="1:5" x14ac:dyDescent="0.3">
      <c r="A48" s="33" t="str">
        <f t="shared" si="1"/>
        <v>47book_python</v>
      </c>
      <c r="B48" s="33" t="s">
        <v>3380</v>
      </c>
      <c r="C48" s="33" t="s">
        <v>1862</v>
      </c>
      <c r="D48" s="48" t="s">
        <v>3381</v>
      </c>
      <c r="E48" s="33" t="str">
        <f>_xlfn.XLOOKUP(Table8[[#This Row],[Python.map]],Table610119[python script],Table610119[field id],"1!DNE!1")</f>
        <v>"IDCHN1"</v>
      </c>
    </row>
    <row r="49" spans="1:5" x14ac:dyDescent="0.3">
      <c r="A49" s="33" t="str">
        <f t="shared" si="1"/>
        <v>48book_python</v>
      </c>
      <c r="B49" s="33" t="s">
        <v>3382</v>
      </c>
      <c r="C49" s="33" t="s">
        <v>1596</v>
      </c>
      <c r="D49" s="48" t="s">
        <v>3383</v>
      </c>
      <c r="E49" s="33" t="str">
        <f>_xlfn.XLOOKUP(Table8[[#This Row],[Python.map]],Table610119[python script],Table610119[field id],"1!DNE!1")</f>
        <v>"IDBOND"</v>
      </c>
    </row>
    <row r="50" spans="1:5" x14ac:dyDescent="0.3">
      <c r="A50" s="33" t="str">
        <f t="shared" si="1"/>
        <v>49book_python</v>
      </c>
      <c r="B50" s="33" t="s">
        <v>3384</v>
      </c>
      <c r="C50" s="33" t="s">
        <v>1742</v>
      </c>
      <c r="D50" s="48" t="s">
        <v>3385</v>
      </c>
      <c r="E50" s="33" t="str">
        <f>_xlfn.XLOOKUP(Table8[[#This Row],[Python.map]],Table610119[python script],Table610119[field id],"1!DNE!1")</f>
        <v>"IDCHD2"</v>
      </c>
    </row>
    <row r="51" spans="1:5" x14ac:dyDescent="0.3">
      <c r="A51" s="33" t="str">
        <f t="shared" si="1"/>
        <v>50book_python</v>
      </c>
      <c r="B51" s="33" t="s">
        <v>3386</v>
      </c>
      <c r="C51" s="33" t="s">
        <v>2945</v>
      </c>
      <c r="D51" s="48" t="s">
        <v>3387</v>
      </c>
      <c r="E51" s="33" t="str">
        <f>_xlfn.XLOOKUP(Table8[[#This Row],[Python.map]],Table610119[python script],Table610119[field id],"1!DNE!1")</f>
        <v>"IDSTA2"</v>
      </c>
    </row>
    <row r="52" spans="1:5" x14ac:dyDescent="0.3">
      <c r="A52" s="33" t="str">
        <f t="shared" si="1"/>
        <v>51book_python</v>
      </c>
      <c r="B52" s="33" t="s">
        <v>3388</v>
      </c>
      <c r="C52" s="33" t="s">
        <v>3030</v>
      </c>
      <c r="D52" s="48" t="s">
        <v>3389</v>
      </c>
      <c r="E52" s="33" t="str">
        <f>_xlfn.XLOOKUP(Table8[[#This Row],[Python.map]],Table610119[python script],Table610119[field id],"1!DNE!1")</f>
        <v>"IDVIO2"</v>
      </c>
    </row>
    <row r="53" spans="1:5" x14ac:dyDescent="0.3">
      <c r="A53" s="33" t="str">
        <f t="shared" si="1"/>
        <v>52book_python</v>
      </c>
      <c r="B53" s="33" t="s">
        <v>3390</v>
      </c>
      <c r="C53" s="33" t="s">
        <v>3003</v>
      </c>
      <c r="D53" s="48" t="s">
        <v>3391</v>
      </c>
      <c r="E53" s="33" t="str">
        <f>_xlfn.XLOOKUP(Table8[[#This Row],[Python.map]],Table610119[python script],Table610119[field id],"1!DNE!1")</f>
        <v>"IDSUB2"</v>
      </c>
    </row>
    <row r="54" spans="1:5" x14ac:dyDescent="0.3">
      <c r="A54" s="33" t="str">
        <f t="shared" si="1"/>
        <v>53book_python</v>
      </c>
      <c r="B54" s="33" t="s">
        <v>3392</v>
      </c>
      <c r="C54" s="33" t="s">
        <v>1843</v>
      </c>
      <c r="D54" s="48" t="s">
        <v>3393</v>
      </c>
      <c r="E54" s="33" t="str">
        <f>_xlfn.XLOOKUP(Table8[[#This Row],[Python.map]],Table610119[python script],Table610119[field id],"1!DNE!1")</f>
        <v>"IDLBR2"</v>
      </c>
    </row>
    <row r="55" spans="1:5" x14ac:dyDescent="0.3">
      <c r="A55" s="33" t="str">
        <f t="shared" si="1"/>
        <v>54book_python</v>
      </c>
      <c r="B55" s="33" t="s">
        <v>3394</v>
      </c>
      <c r="C55" s="33" t="s">
        <v>1816</v>
      </c>
      <c r="D55" s="48" t="s">
        <v>3395</v>
      </c>
      <c r="E55" s="33" t="str">
        <f>_xlfn.XLOOKUP(Table8[[#This Row],[Python.map]],Table610119[python script],Table610119[field id],"1!DNE!1")</f>
        <v>"IDCHK2"</v>
      </c>
    </row>
    <row r="56" spans="1:5" x14ac:dyDescent="0.3">
      <c r="A56" s="33" t="str">
        <f t="shared" si="1"/>
        <v>55book_python</v>
      </c>
      <c r="B56" s="33" t="s">
        <v>3396</v>
      </c>
      <c r="C56" s="33" t="s">
        <v>1479</v>
      </c>
      <c r="D56" s="48" t="s">
        <v>3397</v>
      </c>
      <c r="E56" s="33" t="str">
        <f>_xlfn.XLOOKUP(Table8[[#This Row],[Python.map]],Table610119[python script],Table610119[field id],"1!DNE!1")</f>
        <v>"IDATN2"</v>
      </c>
    </row>
    <row r="57" spans="1:5" x14ac:dyDescent="0.3">
      <c r="A57" s="33" t="str">
        <f t="shared" si="1"/>
        <v>56book_python</v>
      </c>
      <c r="B57" s="33" t="s">
        <v>3398</v>
      </c>
      <c r="C57" s="33" t="s">
        <v>1504</v>
      </c>
      <c r="D57" s="48" t="s">
        <v>3399</v>
      </c>
      <c r="E57" s="33" t="str">
        <f>_xlfn.XLOOKUP(Table8[[#This Row],[Python.map]],Table610119[python script],Table610119[field id],"1!DNE!1")</f>
        <v>"IDATS2"</v>
      </c>
    </row>
    <row r="58" spans="1:5" x14ac:dyDescent="0.3">
      <c r="A58" s="33" t="str">
        <f t="shared" si="1"/>
        <v>57book_python</v>
      </c>
      <c r="B58" s="33" t="s">
        <v>3400</v>
      </c>
      <c r="C58" s="33" t="s">
        <v>1865</v>
      </c>
      <c r="D58" s="48" t="s">
        <v>3401</v>
      </c>
      <c r="E58" s="33" t="str">
        <f>_xlfn.XLOOKUP(Table8[[#This Row],[Python.map]],Table610119[python script],Table610119[field id],"1!DNE!1")</f>
        <v>"IDCHN2"</v>
      </c>
    </row>
    <row r="59" spans="1:5" x14ac:dyDescent="0.3">
      <c r="A59" s="33" t="str">
        <f t="shared" si="1"/>
        <v>58book_python</v>
      </c>
      <c r="B59" s="33" t="s">
        <v>3402</v>
      </c>
      <c r="C59" s="33" t="s">
        <v>1743</v>
      </c>
      <c r="D59" s="48" t="s">
        <v>3403</v>
      </c>
      <c r="E59" s="33" t="str">
        <f>_xlfn.XLOOKUP(Table8[[#This Row],[Python.map]],Table610119[python script],Table610119[field id],"1!DNE!1")</f>
        <v>"IDCHD3"</v>
      </c>
    </row>
    <row r="60" spans="1:5" x14ac:dyDescent="0.3">
      <c r="A60" s="33" t="str">
        <f t="shared" si="1"/>
        <v>59book_python</v>
      </c>
      <c r="B60" s="33" t="s">
        <v>3404</v>
      </c>
      <c r="C60" s="33" t="s">
        <v>2946</v>
      </c>
      <c r="D60" s="48" t="s">
        <v>3405</v>
      </c>
      <c r="E60" s="33" t="str">
        <f>_xlfn.XLOOKUP(Table8[[#This Row],[Python.map]],Table610119[python script],Table610119[field id],"1!DNE!1")</f>
        <v>"IDSTA3"</v>
      </c>
    </row>
    <row r="61" spans="1:5" x14ac:dyDescent="0.3">
      <c r="A61" s="33" t="str">
        <f t="shared" si="1"/>
        <v>60book_python</v>
      </c>
      <c r="B61" s="33" t="s">
        <v>3406</v>
      </c>
      <c r="C61" s="33" t="s">
        <v>3031</v>
      </c>
      <c r="D61" s="48" t="s">
        <v>3407</v>
      </c>
      <c r="E61" s="33" t="str">
        <f>_xlfn.XLOOKUP(Table8[[#This Row],[Python.map]],Table610119[python script],Table610119[field id],"1!DNE!1")</f>
        <v>"IDVIO3"</v>
      </c>
    </row>
    <row r="62" spans="1:5" x14ac:dyDescent="0.3">
      <c r="A62" s="33" t="str">
        <f t="shared" si="1"/>
        <v>61book_python</v>
      </c>
      <c r="B62" s="33" t="s">
        <v>3408</v>
      </c>
      <c r="C62" s="33" t="s">
        <v>3004</v>
      </c>
      <c r="D62" s="48" t="s">
        <v>3409</v>
      </c>
      <c r="E62" s="33" t="str">
        <f>_xlfn.XLOOKUP(Table8[[#This Row],[Python.map]],Table610119[python script],Table610119[field id],"1!DNE!1")</f>
        <v>"IDSUB3"</v>
      </c>
    </row>
    <row r="63" spans="1:5" x14ac:dyDescent="0.3">
      <c r="A63" s="33" t="str">
        <f t="shared" si="1"/>
        <v>62book_python</v>
      </c>
      <c r="B63" s="33" t="s">
        <v>3410</v>
      </c>
      <c r="C63" s="33" t="s">
        <v>1844</v>
      </c>
      <c r="D63" s="48" t="s">
        <v>3411</v>
      </c>
      <c r="E63" s="33" t="str">
        <f>_xlfn.XLOOKUP(Table8[[#This Row],[Python.map]],Table610119[python script],Table610119[field id],"1!DNE!1")</f>
        <v>"IDLBR3"</v>
      </c>
    </row>
    <row r="64" spans="1:5" x14ac:dyDescent="0.3">
      <c r="A64" s="33" t="str">
        <f t="shared" si="1"/>
        <v>63book_python</v>
      </c>
      <c r="B64" s="33" t="s">
        <v>3412</v>
      </c>
      <c r="C64" s="33" t="s">
        <v>1817</v>
      </c>
      <c r="D64" s="48" t="s">
        <v>3413</v>
      </c>
      <c r="E64" s="33" t="str">
        <f>_xlfn.XLOOKUP(Table8[[#This Row],[Python.map]],Table610119[python script],Table610119[field id],"1!DNE!1")</f>
        <v>"IDCHK3"</v>
      </c>
    </row>
    <row r="65" spans="1:5" x14ac:dyDescent="0.3">
      <c r="A65" s="33" t="str">
        <f t="shared" si="1"/>
        <v>64book_python</v>
      </c>
      <c r="B65" s="33" t="s">
        <v>3414</v>
      </c>
      <c r="C65" s="33" t="s">
        <v>1480</v>
      </c>
      <c r="D65" s="48" t="s">
        <v>3415</v>
      </c>
      <c r="E65" s="33" t="str">
        <f>_xlfn.XLOOKUP(Table8[[#This Row],[Python.map]],Table610119[python script],Table610119[field id],"1!DNE!1")</f>
        <v>"IDATN3"</v>
      </c>
    </row>
    <row r="66" spans="1:5" x14ac:dyDescent="0.3">
      <c r="A66" s="33" t="str">
        <f t="shared" ref="A66:A97" si="2">ROW(A65)&amp;"book_python"</f>
        <v>65book_python</v>
      </c>
      <c r="B66" s="33" t="s">
        <v>3416</v>
      </c>
      <c r="C66" s="33" t="s">
        <v>1505</v>
      </c>
      <c r="D66" s="48" t="s">
        <v>3417</v>
      </c>
      <c r="E66" s="33" t="str">
        <f>_xlfn.XLOOKUP(Table8[[#This Row],[Python.map]],Table610119[python script],Table610119[field id],"1!DNE!1")</f>
        <v>"IDATS3"</v>
      </c>
    </row>
    <row r="67" spans="1:5" x14ac:dyDescent="0.3">
      <c r="A67" s="33" t="str">
        <f t="shared" si="2"/>
        <v>66book_python</v>
      </c>
      <c r="B67" s="33" t="s">
        <v>3418</v>
      </c>
      <c r="C67" s="33" t="s">
        <v>1866</v>
      </c>
      <c r="D67" s="48" t="s">
        <v>3419</v>
      </c>
      <c r="E67" s="33" t="str">
        <f>_xlfn.XLOOKUP(Table8[[#This Row],[Python.map]],Table610119[python script],Table610119[field id],"1!DNE!1")</f>
        <v>"IDCHN3"</v>
      </c>
    </row>
    <row r="68" spans="1:5" x14ac:dyDescent="0.3">
      <c r="A68" s="33" t="str">
        <f t="shared" si="2"/>
        <v>67book_python</v>
      </c>
      <c r="B68" s="33" t="s">
        <v>3420</v>
      </c>
      <c r="C68" s="33" t="s">
        <v>1744</v>
      </c>
      <c r="D68" s="48" t="s">
        <v>3421</v>
      </c>
      <c r="E68" s="33" t="str">
        <f>_xlfn.XLOOKUP(Table8[[#This Row],[Python.map]],Table610119[python script],Table610119[field id],"1!DNE!1")</f>
        <v>"IDCHD4"</v>
      </c>
    </row>
    <row r="69" spans="1:5" x14ac:dyDescent="0.3">
      <c r="A69" s="33" t="str">
        <f t="shared" si="2"/>
        <v>68book_python</v>
      </c>
      <c r="B69" s="33" t="s">
        <v>3422</v>
      </c>
      <c r="C69" s="33" t="s">
        <v>2947</v>
      </c>
      <c r="D69" s="48" t="s">
        <v>3423</v>
      </c>
      <c r="E69" s="33" t="str">
        <f>_xlfn.XLOOKUP(Table8[[#This Row],[Python.map]],Table610119[python script],Table610119[field id],"1!DNE!1")</f>
        <v>"IDSTA4"</v>
      </c>
    </row>
    <row r="70" spans="1:5" x14ac:dyDescent="0.3">
      <c r="A70" s="33" t="str">
        <f t="shared" si="2"/>
        <v>69book_python</v>
      </c>
      <c r="B70" s="33" t="s">
        <v>3424</v>
      </c>
      <c r="C70" s="33" t="s">
        <v>3032</v>
      </c>
      <c r="D70" s="48" t="s">
        <v>3425</v>
      </c>
      <c r="E70" s="33" t="str">
        <f>_xlfn.XLOOKUP(Table8[[#This Row],[Python.map]],Table610119[python script],Table610119[field id],"1!DNE!1")</f>
        <v>"IDVIO4"</v>
      </c>
    </row>
    <row r="71" spans="1:5" x14ac:dyDescent="0.3">
      <c r="A71" s="33" t="str">
        <f t="shared" si="2"/>
        <v>70book_python</v>
      </c>
      <c r="B71" s="33" t="s">
        <v>3426</v>
      </c>
      <c r="C71" s="33" t="s">
        <v>3005</v>
      </c>
      <c r="D71" s="48" t="s">
        <v>3427</v>
      </c>
      <c r="E71" s="33" t="str">
        <f>_xlfn.XLOOKUP(Table8[[#This Row],[Python.map]],Table610119[python script],Table610119[field id],"1!DNE!1")</f>
        <v>"IDSUB4"</v>
      </c>
    </row>
    <row r="72" spans="1:5" x14ac:dyDescent="0.3">
      <c r="A72" s="33" t="str">
        <f t="shared" si="2"/>
        <v>71book_python</v>
      </c>
      <c r="B72" s="33" t="s">
        <v>3428</v>
      </c>
      <c r="C72" s="33" t="s">
        <v>1845</v>
      </c>
      <c r="D72" s="48" t="s">
        <v>3429</v>
      </c>
      <c r="E72" s="33" t="str">
        <f>_xlfn.XLOOKUP(Table8[[#This Row],[Python.map]],Table610119[python script],Table610119[field id],"1!DNE!1")</f>
        <v>"IDLBR4"</v>
      </c>
    </row>
    <row r="73" spans="1:5" x14ac:dyDescent="0.3">
      <c r="A73" s="33" t="str">
        <f t="shared" si="2"/>
        <v>72book_python</v>
      </c>
      <c r="B73" s="33" t="s">
        <v>3430</v>
      </c>
      <c r="C73" s="33" t="s">
        <v>1818</v>
      </c>
      <c r="D73" s="48" t="s">
        <v>3431</v>
      </c>
      <c r="E73" s="33" t="str">
        <f>_xlfn.XLOOKUP(Table8[[#This Row],[Python.map]],Table610119[python script],Table610119[field id],"1!DNE!1")</f>
        <v>"IDCHK4"</v>
      </c>
    </row>
    <row r="74" spans="1:5" x14ac:dyDescent="0.3">
      <c r="A74" s="33" t="str">
        <f t="shared" si="2"/>
        <v>73book_python</v>
      </c>
      <c r="B74" s="33" t="s">
        <v>3432</v>
      </c>
      <c r="C74" s="33" t="s">
        <v>1481</v>
      </c>
      <c r="D74" s="48" t="s">
        <v>3433</v>
      </c>
      <c r="E74" s="33" t="str">
        <f>_xlfn.XLOOKUP(Table8[[#This Row],[Python.map]],Table610119[python script],Table610119[field id],"1!DNE!1")</f>
        <v>"IDATN4"</v>
      </c>
    </row>
    <row r="75" spans="1:5" x14ac:dyDescent="0.3">
      <c r="A75" s="33" t="str">
        <f t="shared" si="2"/>
        <v>74book_python</v>
      </c>
      <c r="B75" s="33" t="s">
        <v>3434</v>
      </c>
      <c r="C75" s="33" t="s">
        <v>1506</v>
      </c>
      <c r="D75" s="48" t="s">
        <v>3435</v>
      </c>
      <c r="E75" s="33" t="str">
        <f>_xlfn.XLOOKUP(Table8[[#This Row],[Python.map]],Table610119[python script],Table610119[field id],"1!DNE!1")</f>
        <v>"IDATS4"</v>
      </c>
    </row>
    <row r="76" spans="1:5" x14ac:dyDescent="0.3">
      <c r="A76" s="33" t="str">
        <f t="shared" si="2"/>
        <v>75book_python</v>
      </c>
      <c r="B76" s="33" t="s">
        <v>3436</v>
      </c>
      <c r="C76" s="33" t="s">
        <v>1867</v>
      </c>
      <c r="D76" s="48" t="s">
        <v>3437</v>
      </c>
      <c r="E76" s="33" t="str">
        <f>_xlfn.XLOOKUP(Table8[[#This Row],[Python.map]],Table610119[python script],Table610119[field id],"1!DNE!1")</f>
        <v>"IDCHN4"</v>
      </c>
    </row>
    <row r="77" spans="1:5" x14ac:dyDescent="0.3">
      <c r="A77" s="33" t="str">
        <f t="shared" si="2"/>
        <v>76book_python</v>
      </c>
      <c r="B77" s="33" t="s">
        <v>3438</v>
      </c>
      <c r="C77" s="33" t="s">
        <v>1745</v>
      </c>
      <c r="D77" s="48" t="s">
        <v>3439</v>
      </c>
      <c r="E77" s="33" t="str">
        <f>_xlfn.XLOOKUP(Table8[[#This Row],[Python.map]],Table610119[python script],Table610119[field id],"1!DNE!1")</f>
        <v>"IDCHD5"</v>
      </c>
    </row>
    <row r="78" spans="1:5" x14ac:dyDescent="0.3">
      <c r="A78" s="33" t="str">
        <f t="shared" si="2"/>
        <v>77book_python</v>
      </c>
      <c r="B78" s="33" t="s">
        <v>3440</v>
      </c>
      <c r="C78" s="33" t="s">
        <v>2948</v>
      </c>
      <c r="D78" s="48" t="s">
        <v>3441</v>
      </c>
      <c r="E78" s="33" t="str">
        <f>_xlfn.XLOOKUP(Table8[[#This Row],[Python.map]],Table610119[python script],Table610119[field id],"1!DNE!1")</f>
        <v>"IDSTA5"</v>
      </c>
    </row>
    <row r="79" spans="1:5" x14ac:dyDescent="0.3">
      <c r="A79" s="33" t="str">
        <f t="shared" si="2"/>
        <v>78book_python</v>
      </c>
      <c r="B79" s="33" t="s">
        <v>3442</v>
      </c>
      <c r="C79" s="33" t="s">
        <v>3033</v>
      </c>
      <c r="D79" s="48" t="s">
        <v>3443</v>
      </c>
      <c r="E79" s="33" t="str">
        <f>_xlfn.XLOOKUP(Table8[[#This Row],[Python.map]],Table610119[python script],Table610119[field id],"1!DNE!1")</f>
        <v>"IDVIO5"</v>
      </c>
    </row>
    <row r="80" spans="1:5" x14ac:dyDescent="0.3">
      <c r="A80" s="33" t="str">
        <f t="shared" si="2"/>
        <v>79book_python</v>
      </c>
      <c r="B80" s="33" t="s">
        <v>3444</v>
      </c>
      <c r="C80" s="33" t="s">
        <v>3006</v>
      </c>
      <c r="D80" s="48" t="s">
        <v>3445</v>
      </c>
      <c r="E80" s="33" t="str">
        <f>_xlfn.XLOOKUP(Table8[[#This Row],[Python.map]],Table610119[python script],Table610119[field id],"1!DNE!1")</f>
        <v>"IDSUB5"</v>
      </c>
    </row>
    <row r="81" spans="1:5" x14ac:dyDescent="0.3">
      <c r="A81" s="33" t="str">
        <f t="shared" si="2"/>
        <v>80book_python</v>
      </c>
      <c r="B81" s="33" t="s">
        <v>3446</v>
      </c>
      <c r="C81" s="33" t="s">
        <v>1846</v>
      </c>
      <c r="D81" s="48" t="s">
        <v>3447</v>
      </c>
      <c r="E81" s="33" t="str">
        <f>_xlfn.XLOOKUP(Table8[[#This Row],[Python.map]],Table610119[python script],Table610119[field id],"1!DNE!1")</f>
        <v>"IDLBR5"</v>
      </c>
    </row>
    <row r="82" spans="1:5" x14ac:dyDescent="0.3">
      <c r="A82" s="33" t="str">
        <f t="shared" si="2"/>
        <v>81book_python</v>
      </c>
      <c r="B82" s="33" t="s">
        <v>3448</v>
      </c>
      <c r="C82" s="33" t="s">
        <v>1819</v>
      </c>
      <c r="D82" s="48" t="s">
        <v>3449</v>
      </c>
      <c r="E82" s="33" t="str">
        <f>_xlfn.XLOOKUP(Table8[[#This Row],[Python.map]],Table610119[python script],Table610119[field id],"1!DNE!1")</f>
        <v>"IDCHK5"</v>
      </c>
    </row>
    <row r="83" spans="1:5" x14ac:dyDescent="0.3">
      <c r="A83" s="33" t="str">
        <f t="shared" si="2"/>
        <v>82book_python</v>
      </c>
      <c r="B83" s="33" t="s">
        <v>3450</v>
      </c>
      <c r="C83" s="33" t="s">
        <v>1482</v>
      </c>
      <c r="D83" s="48" t="s">
        <v>3451</v>
      </c>
      <c r="E83" s="33" t="str">
        <f>_xlfn.XLOOKUP(Table8[[#This Row],[Python.map]],Table610119[python script],Table610119[field id],"1!DNE!1")</f>
        <v>"IDATN5"</v>
      </c>
    </row>
    <row r="84" spans="1:5" x14ac:dyDescent="0.3">
      <c r="A84" s="33" t="str">
        <f t="shared" si="2"/>
        <v>83book_python</v>
      </c>
      <c r="B84" s="33" t="s">
        <v>3452</v>
      </c>
      <c r="C84" s="33" t="s">
        <v>1507</v>
      </c>
      <c r="D84" s="48" t="s">
        <v>3453</v>
      </c>
      <c r="E84" s="33" t="str">
        <f>_xlfn.XLOOKUP(Table8[[#This Row],[Python.map]],Table610119[python script],Table610119[field id],"1!DNE!1")</f>
        <v>"IDATS5"</v>
      </c>
    </row>
    <row r="85" spans="1:5" x14ac:dyDescent="0.3">
      <c r="A85" s="33" t="str">
        <f t="shared" si="2"/>
        <v>84book_python</v>
      </c>
      <c r="B85" s="33" t="s">
        <v>3454</v>
      </c>
      <c r="C85" s="33" t="s">
        <v>1868</v>
      </c>
      <c r="D85" s="48" t="s">
        <v>3455</v>
      </c>
      <c r="E85" s="33" t="str">
        <f>_xlfn.XLOOKUP(Table8[[#This Row],[Python.map]],Table610119[python script],Table610119[field id],"1!DNE!1")</f>
        <v>"IDCHN5"</v>
      </c>
    </row>
    <row r="86" spans="1:5" x14ac:dyDescent="0.3">
      <c r="A86" s="33" t="str">
        <f t="shared" si="2"/>
        <v>85book_python</v>
      </c>
      <c r="B86" s="33" t="s">
        <v>3456</v>
      </c>
      <c r="C86" s="33" t="s">
        <v>1746</v>
      </c>
      <c r="D86" s="48" t="s">
        <v>3457</v>
      </c>
      <c r="E86" s="33" t="str">
        <f>_xlfn.XLOOKUP(Table8[[#This Row],[Python.map]],Table610119[python script],Table610119[field id],"1!DNE!1")</f>
        <v>"IDCHD6"</v>
      </c>
    </row>
    <row r="87" spans="1:5" x14ac:dyDescent="0.3">
      <c r="A87" s="33" t="str">
        <f t="shared" si="2"/>
        <v>86book_python</v>
      </c>
      <c r="B87" s="33" t="s">
        <v>3458</v>
      </c>
      <c r="C87" s="33" t="s">
        <v>2949</v>
      </c>
      <c r="D87" s="48" t="s">
        <v>3459</v>
      </c>
      <c r="E87" s="33" t="str">
        <f>_xlfn.XLOOKUP(Table8[[#This Row],[Python.map]],Table610119[python script],Table610119[field id],"1!DNE!1")</f>
        <v>"IDSTA6"</v>
      </c>
    </row>
    <row r="88" spans="1:5" x14ac:dyDescent="0.3">
      <c r="A88" s="33" t="str">
        <f t="shared" si="2"/>
        <v>87book_python</v>
      </c>
      <c r="B88" s="33" t="s">
        <v>3460</v>
      </c>
      <c r="C88" s="33" t="s">
        <v>3034</v>
      </c>
      <c r="D88" s="48" t="s">
        <v>3461</v>
      </c>
      <c r="E88" s="33" t="str">
        <f>_xlfn.XLOOKUP(Table8[[#This Row],[Python.map]],Table610119[python script],Table610119[field id],"1!DNE!1")</f>
        <v>"IDVIO6"</v>
      </c>
    </row>
    <row r="89" spans="1:5" x14ac:dyDescent="0.3">
      <c r="A89" s="33" t="str">
        <f t="shared" si="2"/>
        <v>88book_python</v>
      </c>
      <c r="B89" s="33" t="s">
        <v>3462</v>
      </c>
      <c r="C89" s="33" t="s">
        <v>3007</v>
      </c>
      <c r="D89" s="48" t="s">
        <v>3463</v>
      </c>
      <c r="E89" s="33" t="str">
        <f>_xlfn.XLOOKUP(Table8[[#This Row],[Python.map]],Table610119[python script],Table610119[field id],"1!DNE!1")</f>
        <v>"IDSUB6"</v>
      </c>
    </row>
    <row r="90" spans="1:5" x14ac:dyDescent="0.3">
      <c r="A90" s="33" t="str">
        <f t="shared" si="2"/>
        <v>89book_python</v>
      </c>
      <c r="B90" s="33" t="s">
        <v>3464</v>
      </c>
      <c r="C90" s="33" t="s">
        <v>1847</v>
      </c>
      <c r="D90" s="48" t="s">
        <v>3465</v>
      </c>
      <c r="E90" s="33" t="str">
        <f>_xlfn.XLOOKUP(Table8[[#This Row],[Python.map]],Table610119[python script],Table610119[field id],"1!DNE!1")</f>
        <v>"IDLBR6"</v>
      </c>
    </row>
    <row r="91" spans="1:5" x14ac:dyDescent="0.3">
      <c r="A91" s="33" t="str">
        <f t="shared" si="2"/>
        <v>90book_python</v>
      </c>
      <c r="B91" s="33" t="s">
        <v>3466</v>
      </c>
      <c r="C91" s="33" t="s">
        <v>1820</v>
      </c>
      <c r="D91" s="48" t="s">
        <v>3467</v>
      </c>
      <c r="E91" s="33" t="str">
        <f>_xlfn.XLOOKUP(Table8[[#This Row],[Python.map]],Table610119[python script],Table610119[field id],"1!DNE!1")</f>
        <v>"IDCHK6"</v>
      </c>
    </row>
    <row r="92" spans="1:5" x14ac:dyDescent="0.3">
      <c r="A92" s="33" t="str">
        <f t="shared" si="2"/>
        <v>91book_python</v>
      </c>
      <c r="B92" s="33" t="s">
        <v>3468</v>
      </c>
      <c r="C92" s="33" t="s">
        <v>1483</v>
      </c>
      <c r="D92" s="48" t="s">
        <v>3469</v>
      </c>
      <c r="E92" s="33" t="str">
        <f>_xlfn.XLOOKUP(Table8[[#This Row],[Python.map]],Table610119[python script],Table610119[field id],"1!DNE!1")</f>
        <v>"IDATN6"</v>
      </c>
    </row>
    <row r="93" spans="1:5" x14ac:dyDescent="0.3">
      <c r="A93" s="33" t="str">
        <f t="shared" si="2"/>
        <v>92book_python</v>
      </c>
      <c r="B93" s="33" t="s">
        <v>3470</v>
      </c>
      <c r="C93" s="33" t="s">
        <v>1508</v>
      </c>
      <c r="D93" s="48" t="s">
        <v>3471</v>
      </c>
      <c r="E93" s="33" t="str">
        <f>_xlfn.XLOOKUP(Table8[[#This Row],[Python.map]],Table610119[python script],Table610119[field id],"1!DNE!1")</f>
        <v>"IDATS6"</v>
      </c>
    </row>
    <row r="94" spans="1:5" x14ac:dyDescent="0.3">
      <c r="A94" s="33" t="str">
        <f t="shared" si="2"/>
        <v>93book_python</v>
      </c>
      <c r="B94" s="33" t="s">
        <v>3472</v>
      </c>
      <c r="C94" s="33" t="s">
        <v>1869</v>
      </c>
      <c r="D94" s="48" t="s">
        <v>3473</v>
      </c>
      <c r="E94" s="33" t="str">
        <f>_xlfn.XLOOKUP(Table8[[#This Row],[Python.map]],Table610119[python script],Table610119[field id],"1!DNE!1")</f>
        <v>"IDCHN6"</v>
      </c>
    </row>
    <row r="95" spans="1:5" x14ac:dyDescent="0.3">
      <c r="A95" s="33" t="str">
        <f t="shared" si="2"/>
        <v>94book_python</v>
      </c>
      <c r="B95" s="33" t="s">
        <v>3474</v>
      </c>
      <c r="C95" s="33" t="s">
        <v>971</v>
      </c>
      <c r="D95" s="48" t="s">
        <v>3475</v>
      </c>
      <c r="E95" s="33" t="str">
        <f>_xlfn.XLOOKUP(Table8[[#This Row],[Python.map]],Table610119[python script],Table610119[field id],"1!DNE!1")</f>
        <v>"IDFNAMAO"</v>
      </c>
    </row>
    <row r="96" spans="1:5" x14ac:dyDescent="0.3">
      <c r="A96" s="33" t="str">
        <f t="shared" si="2"/>
        <v>95book_python</v>
      </c>
      <c r="B96" s="33" t="s">
        <v>3476</v>
      </c>
      <c r="C96" s="33" t="s">
        <v>1049</v>
      </c>
      <c r="D96" s="48" t="s">
        <v>3477</v>
      </c>
      <c r="E96" s="33" t="str">
        <f>_xlfn.XLOOKUP(Table8[[#This Row],[Python.map]],Table610119[python script],Table610119[field id],"1!DNE!1")</f>
        <v>"IDLNAMAO"</v>
      </c>
    </row>
    <row r="97" spans="1:5" x14ac:dyDescent="0.3">
      <c r="A97" s="33" t="str">
        <f t="shared" si="2"/>
        <v>96book_python</v>
      </c>
      <c r="B97" s="33" t="s">
        <v>3478</v>
      </c>
      <c r="C97" s="33" t="s">
        <v>1012</v>
      </c>
      <c r="D97" s="48" t="s">
        <v>3479</v>
      </c>
      <c r="E97" s="33" t="str">
        <f>_xlfn.XLOOKUP(Table8[[#This Row],[Python.map]],Table610119[python script],Table610119[field id],"1!DNE!1")</f>
        <v>"IDNAMEAO"</v>
      </c>
    </row>
    <row r="98" spans="1:5" x14ac:dyDescent="0.3">
      <c r="A98" s="33" t="str">
        <f t="shared" ref="A98:A110" si="3">ROW(A97)&amp;"book_python"</f>
        <v>97book_python</v>
      </c>
      <c r="B98" s="33" t="s">
        <v>3480</v>
      </c>
      <c r="C98" s="33" t="s">
        <v>665</v>
      </c>
      <c r="D98" s="48" t="s">
        <v>3481</v>
      </c>
      <c r="E98" s="33" t="str">
        <f>_xlfn.XLOOKUP(Table8[[#This Row],[Python.map]],Table610119[python script],Table610119[field id],"1!DNE!1")</f>
        <v>"IDBADGAO"</v>
      </c>
    </row>
    <row r="99" spans="1:5" x14ac:dyDescent="0.3">
      <c r="A99" s="33" t="str">
        <f t="shared" si="3"/>
        <v>98book_python</v>
      </c>
      <c r="B99" s="33" t="s">
        <v>3482</v>
      </c>
      <c r="C99" s="33" t="s">
        <v>702</v>
      </c>
      <c r="D99" s="48" t="s">
        <v>3483</v>
      </c>
      <c r="E99" s="33" t="str">
        <f>_xlfn.XLOOKUP(Table8[[#This Row],[Python.map]],Table610119[python script],Table610119[field id],"1!DNE!1")</f>
        <v>"IDUNITAO"</v>
      </c>
    </row>
    <row r="100" spans="1:5" x14ac:dyDescent="0.3">
      <c r="A100" s="33" t="str">
        <f t="shared" si="3"/>
        <v>99book_python</v>
      </c>
      <c r="B100" s="33" t="s">
        <v>3484</v>
      </c>
      <c r="C100" s="33" t="s">
        <v>976</v>
      </c>
      <c r="D100" s="48" t="s">
        <v>3485</v>
      </c>
      <c r="E100" s="33" t="str">
        <f>_xlfn.XLOOKUP(Table8[[#This Row],[Python.map]],Table610119[python script],Table610119[field id],"1!DNE!1")</f>
        <v>"IDFNAMTO"</v>
      </c>
    </row>
    <row r="101" spans="1:5" x14ac:dyDescent="0.3">
      <c r="A101" s="33" t="str">
        <f t="shared" si="3"/>
        <v>100book_python</v>
      </c>
      <c r="B101" s="33" t="s">
        <v>3486</v>
      </c>
      <c r="C101" s="33" t="s">
        <v>1054</v>
      </c>
      <c r="D101" s="48" t="s">
        <v>3487</v>
      </c>
      <c r="E101" s="33" t="str">
        <f>_xlfn.XLOOKUP(Table8[[#This Row],[Python.map]],Table610119[python script],Table610119[field id],"1!DNE!1")</f>
        <v>"IDLNAMTO"</v>
      </c>
    </row>
    <row r="102" spans="1:5" x14ac:dyDescent="0.3">
      <c r="A102" s="33" t="str">
        <f t="shared" si="3"/>
        <v>101book_python</v>
      </c>
      <c r="B102" s="33" t="s">
        <v>3488</v>
      </c>
      <c r="C102" s="33" t="s">
        <v>1019</v>
      </c>
      <c r="D102" s="48" t="s">
        <v>3489</v>
      </c>
      <c r="E102" s="33" t="str">
        <f>_xlfn.XLOOKUP(Table8[[#This Row],[Python.map]],Table610119[python script],Table610119[field id],"1!DNE!1")</f>
        <v>"IDNAMETO"</v>
      </c>
    </row>
    <row r="103" spans="1:5" x14ac:dyDescent="0.3">
      <c r="A103" s="33" t="str">
        <f t="shared" si="3"/>
        <v>102book_python</v>
      </c>
      <c r="B103" s="33" t="s">
        <v>3490</v>
      </c>
      <c r="C103" s="33" t="s">
        <v>670</v>
      </c>
      <c r="D103" s="48" t="s">
        <v>3491</v>
      </c>
      <c r="E103" s="33" t="str">
        <f>_xlfn.XLOOKUP(Table8[[#This Row],[Python.map]],Table610119[python script],Table610119[field id],"1!DNE!1")</f>
        <v>"IDBADGTO"</v>
      </c>
    </row>
    <row r="104" spans="1:5" x14ac:dyDescent="0.3">
      <c r="A104" s="33" t="str">
        <f t="shared" si="3"/>
        <v>103book_python</v>
      </c>
      <c r="B104" s="33" t="s">
        <v>3492</v>
      </c>
      <c r="C104" s="33" t="s">
        <v>707</v>
      </c>
      <c r="D104" s="48" t="s">
        <v>3493</v>
      </c>
      <c r="E104" s="33" t="str">
        <f>_xlfn.XLOOKUP(Table8[[#This Row],[Python.map]],Table610119[python script],Table610119[field id],"1!DNE!1")</f>
        <v>"IDUNITTO"</v>
      </c>
    </row>
    <row r="105" spans="1:5" x14ac:dyDescent="0.3">
      <c r="A105" s="33" t="str">
        <f t="shared" si="3"/>
        <v>104book_python</v>
      </c>
      <c r="B105" s="33" t="s">
        <v>3494</v>
      </c>
      <c r="C105" s="33" t="s">
        <v>655</v>
      </c>
      <c r="D105" s="48" t="s">
        <v>3495</v>
      </c>
      <c r="E105" s="33" t="str">
        <f>_xlfn.XLOOKUP(Table8[[#This Row],[Python.map]],Table610119[python script],Table610119[field id],"1!DNE!1")</f>
        <v>"IDITMN"</v>
      </c>
    </row>
    <row r="106" spans="1:5" x14ac:dyDescent="0.3">
      <c r="A106" s="33" t="str">
        <f t="shared" si="3"/>
        <v>105book_python</v>
      </c>
      <c r="B106" s="33" t="s">
        <v>3496</v>
      </c>
      <c r="C106" s="33" t="s">
        <v>2018</v>
      </c>
      <c r="D106" s="48" t="s">
        <v>3497</v>
      </c>
      <c r="E106" s="33" t="str">
        <f>_xlfn.XLOOKUP(Table8[[#This Row],[Python.map]],Table610119[python script],Table610119[field id],"1!DNE!1")</f>
        <v>"IDCSEC"</v>
      </c>
    </row>
    <row r="107" spans="1:5" x14ac:dyDescent="0.3">
      <c r="A107" s="33" t="str">
        <f t="shared" si="3"/>
        <v>106book_python</v>
      </c>
      <c r="B107" s="33" t="s">
        <v>3498</v>
      </c>
      <c r="C107" s="33" t="s">
        <v>574</v>
      </c>
      <c r="D107" s="48" t="s">
        <v>3506</v>
      </c>
      <c r="E107" s="33" t="str">
        <f>_xlfn.XLOOKUP(Table8[[#This Row],[Python.map]],Table610119[python script],Table610119[field id],"1!DNE!1")</f>
        <v>1!DNE!1</v>
      </c>
    </row>
    <row r="108" spans="1:5" x14ac:dyDescent="0.3">
      <c r="A108" s="33" t="str">
        <f t="shared" si="3"/>
        <v>107book_python</v>
      </c>
      <c r="B108" s="33" t="s">
        <v>3499</v>
      </c>
      <c r="C108" s="33" t="s">
        <v>2086</v>
      </c>
      <c r="D108" s="48" t="s">
        <v>3500</v>
      </c>
      <c r="E108" s="33" t="str">
        <f>_xlfn.XLOOKUP(Table8[[#This Row],[Python.map]],Table610119[python script],Table610119[field id],"1!DNE!1")</f>
        <v>"IDCDTE"</v>
      </c>
    </row>
    <row r="109" spans="1:5" x14ac:dyDescent="0.3">
      <c r="A109" s="33" t="str">
        <f t="shared" si="3"/>
        <v>108book_python</v>
      </c>
      <c r="C109" s="33" t="s">
        <v>2086</v>
      </c>
      <c r="D109" s="48" t="s">
        <v>3501</v>
      </c>
      <c r="E109" s="33" t="str">
        <f>_xlfn.XLOOKUP(Table8[[#This Row],[Python.map]],Table610119[python script],Table610119[field id],"1!DNE!1")</f>
        <v>"IDCTIM"</v>
      </c>
    </row>
    <row r="110" spans="1:5" x14ac:dyDescent="0.3">
      <c r="A110" s="33" t="str">
        <f t="shared" si="3"/>
        <v>109book_python</v>
      </c>
      <c r="C110" s="33" t="s">
        <v>2086</v>
      </c>
      <c r="D110" s="48" t="s">
        <v>3502</v>
      </c>
      <c r="E110" s="33" t="str">
        <f>_xlfn.XLOOKUP(Table8[[#This Row],[Python.map]],Table610119[python script],Table610119[field id],"1!DNE!1")</f>
        <v>"IDCTFL"</v>
      </c>
    </row>
    <row r="112" spans="1:5" x14ac:dyDescent="0.3">
      <c r="C112" s="33" t="s">
        <v>3503</v>
      </c>
    </row>
    <row r="113" spans="3:3" x14ac:dyDescent="0.3">
      <c r="C113" s="33" t="s">
        <v>3503</v>
      </c>
    </row>
    <row r="114" spans="3:3" x14ac:dyDescent="0.3">
      <c r="C114" s="33" t="s">
        <v>3503</v>
      </c>
    </row>
    <row r="115" spans="3:3" x14ac:dyDescent="0.3">
      <c r="C115" s="33" t="s">
        <v>3503</v>
      </c>
    </row>
    <row r="116" spans="3:3" x14ac:dyDescent="0.3">
      <c r="C116" s="33" t="s">
        <v>3503</v>
      </c>
    </row>
  </sheetData>
  <conditionalFormatting sqref="E1:E1048576">
    <cfRule type="duplicateValues" dxfId="15" priority="1"/>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9AA53-A82D-44D3-94CE-2556B46E28AF}">
  <sheetPr>
    <tabColor theme="8" tint="-0.249977111117893"/>
  </sheetPr>
  <dimension ref="A1:F261"/>
  <sheetViews>
    <sheetView workbookViewId="0">
      <selection activeCell="C269" sqref="C269"/>
    </sheetView>
  </sheetViews>
  <sheetFormatPr defaultRowHeight="14.4" x14ac:dyDescent="0.3"/>
  <cols>
    <col min="1" max="1" width="8.88671875" style="55"/>
    <col min="2" max="2" width="13.6640625" style="55" customWidth="1"/>
    <col min="3" max="3" width="26.77734375" style="55" bestFit="1" customWidth="1"/>
    <col min="4" max="4" width="20.33203125" style="55" customWidth="1"/>
    <col min="5" max="5" width="22.21875" style="55" customWidth="1"/>
    <col min="6" max="6" width="36" style="55" customWidth="1"/>
    <col min="7" max="16384" width="8.88671875" style="55"/>
  </cols>
  <sheetData>
    <row r="1" spans="1:6" x14ac:dyDescent="0.3">
      <c r="A1" s="57" t="s">
        <v>0</v>
      </c>
      <c r="B1" s="57" t="s">
        <v>3763</v>
      </c>
      <c r="C1" s="57" t="s">
        <v>3762</v>
      </c>
      <c r="D1" s="57" t="s">
        <v>3761</v>
      </c>
      <c r="E1" s="57" t="s">
        <v>3760</v>
      </c>
      <c r="F1" s="57" t="s">
        <v>3764</v>
      </c>
    </row>
    <row r="2" spans="1:6" x14ac:dyDescent="0.3">
      <c r="A2" s="55">
        <v>1</v>
      </c>
      <c r="B2" s="56" t="s">
        <v>3821</v>
      </c>
      <c r="C2" s="56" t="s">
        <v>3822</v>
      </c>
      <c r="D2" s="56" t="s">
        <v>3823</v>
      </c>
      <c r="E2" s="55" t="str">
        <f>_xlfn.XLOOKUP(Table712[[#This Row],[Field/Column Name]],Table610119[id field],Table610119['#],"0 NOT found")</f>
        <v>0 NOT found</v>
      </c>
    </row>
    <row r="3" spans="1:6" hidden="1" x14ac:dyDescent="0.3">
      <c r="A3" s="55">
        <v>2</v>
      </c>
      <c r="B3" s="55" t="s">
        <v>3821</v>
      </c>
      <c r="C3" s="55" t="s">
        <v>33</v>
      </c>
      <c r="D3" s="59" t="s">
        <v>3824</v>
      </c>
      <c r="E3" s="55" t="str">
        <f>_xlfn.XLOOKUP(Table712[[#This Row],[Field/Column Name]],Table610119[id field],Table610119['#],"0 NOT found")</f>
        <v>1expanded_IMARRD_sorted</v>
      </c>
    </row>
    <row r="4" spans="1:6" hidden="1" x14ac:dyDescent="0.3">
      <c r="A4" s="55">
        <v>3</v>
      </c>
      <c r="B4" s="56" t="s">
        <v>3821</v>
      </c>
      <c r="C4" s="56" t="s">
        <v>66</v>
      </c>
      <c r="D4" s="56" t="s">
        <v>3825</v>
      </c>
      <c r="E4" s="55" t="str">
        <f>_xlfn.XLOOKUP(Table712[[#This Row],[Field/Column Name]],Table610119[id field],Table610119['#],"0 NOT found")</f>
        <v>2expanded_IMARRD_sorted</v>
      </c>
    </row>
    <row r="5" spans="1:6" hidden="1" x14ac:dyDescent="0.3">
      <c r="A5" s="55">
        <v>4</v>
      </c>
      <c r="B5" s="55" t="s">
        <v>3821</v>
      </c>
      <c r="C5" s="55" t="s">
        <v>105</v>
      </c>
      <c r="D5" s="55" t="s">
        <v>3826</v>
      </c>
      <c r="E5" s="55" t="str">
        <f>_xlfn.XLOOKUP(Table712[[#This Row],[Field/Column Name]],Table610119[id field],Table610119['#],"0 NOT found")</f>
        <v>3expanded_IMARRD_sorted</v>
      </c>
    </row>
    <row r="6" spans="1:6" hidden="1" x14ac:dyDescent="0.3">
      <c r="A6" s="55">
        <v>5</v>
      </c>
      <c r="B6" s="56" t="s">
        <v>3821</v>
      </c>
      <c r="C6" s="56" t="s">
        <v>3089</v>
      </c>
      <c r="D6" s="56" t="s">
        <v>3827</v>
      </c>
      <c r="E6" s="55" t="str">
        <f>_xlfn.XLOOKUP(Table712[[#This Row],[Field/Column Name]],Table610119[id field],Table610119['#],"0 NOT found")</f>
        <v>90expanded_IMARRD_sorted</v>
      </c>
    </row>
    <row r="7" spans="1:6" hidden="1" x14ac:dyDescent="0.3">
      <c r="A7" s="55">
        <v>6</v>
      </c>
      <c r="B7" s="55" t="s">
        <v>3821</v>
      </c>
      <c r="C7" s="55" t="s">
        <v>3091</v>
      </c>
      <c r="D7" s="55" t="s">
        <v>3828</v>
      </c>
      <c r="E7" s="55" t="str">
        <f>_xlfn.XLOOKUP(Table712[[#This Row],[Field/Column Name]],Table610119[id field],Table610119['#],"0 NOT found")</f>
        <v>91expanded_IMARRD_sorted</v>
      </c>
    </row>
    <row r="8" spans="1:6" x14ac:dyDescent="0.3">
      <c r="A8" s="55">
        <v>7</v>
      </c>
      <c r="B8" s="56" t="s">
        <v>3821</v>
      </c>
      <c r="C8" s="56" t="s">
        <v>3829</v>
      </c>
      <c r="D8" s="56" t="s">
        <v>3830</v>
      </c>
      <c r="E8" s="55" t="str">
        <f>_xlfn.XLOOKUP(Table712[[#This Row],[Field/Column Name]],Table610119[id field],Table610119['#],"0 NOT found")</f>
        <v>0 NOT found</v>
      </c>
    </row>
    <row r="9" spans="1:6" x14ac:dyDescent="0.3">
      <c r="A9" s="55">
        <v>8</v>
      </c>
      <c r="B9" s="55" t="s">
        <v>3821</v>
      </c>
      <c r="C9" s="55" t="s">
        <v>3831</v>
      </c>
      <c r="D9" s="55" t="s">
        <v>3832</v>
      </c>
      <c r="E9" s="55" t="str">
        <f>_xlfn.XLOOKUP(Table712[[#This Row],[Field/Column Name]],Table610119[id field],Table610119['#],"0 NOT found")</f>
        <v>0 NOT found</v>
      </c>
    </row>
    <row r="10" spans="1:6" hidden="1" x14ac:dyDescent="0.3">
      <c r="A10" s="55">
        <v>9</v>
      </c>
      <c r="B10" s="56" t="s">
        <v>3821</v>
      </c>
      <c r="C10" s="56" t="s">
        <v>129</v>
      </c>
      <c r="D10" s="56" t="s">
        <v>3833</v>
      </c>
      <c r="E10" s="55" t="str">
        <f>_xlfn.XLOOKUP(Table712[[#This Row],[Field/Column Name]],Table610119[id field],Table610119['#],"0 NOT found")</f>
        <v>4expanded_IMARRD_sorted</v>
      </c>
    </row>
    <row r="11" spans="1:6" x14ac:dyDescent="0.3">
      <c r="A11" s="55">
        <v>10</v>
      </c>
      <c r="B11" s="55" t="s">
        <v>3821</v>
      </c>
      <c r="C11" s="55" t="s">
        <v>3834</v>
      </c>
      <c r="D11" s="55" t="s">
        <v>3835</v>
      </c>
      <c r="E11" s="55" t="str">
        <f>_xlfn.XLOOKUP(Table712[[#This Row],[Field/Column Name]],Table610119[id field],Table610119['#],"0 NOT found")</f>
        <v>0 NOT found</v>
      </c>
    </row>
    <row r="12" spans="1:6" x14ac:dyDescent="0.3">
      <c r="A12" s="55">
        <v>11</v>
      </c>
      <c r="B12" s="56" t="s">
        <v>3821</v>
      </c>
      <c r="C12" s="56" t="s">
        <v>3836</v>
      </c>
      <c r="D12" s="56" t="s">
        <v>3837</v>
      </c>
      <c r="E12" s="55" t="str">
        <f>_xlfn.XLOOKUP(Table712[[#This Row],[Field/Column Name]],Table610119[id field],Table610119['#],"0 NOT found")</f>
        <v>0 NOT found</v>
      </c>
    </row>
    <row r="13" spans="1:6" x14ac:dyDescent="0.3">
      <c r="A13" s="55">
        <v>12</v>
      </c>
      <c r="B13" s="55" t="s">
        <v>3821</v>
      </c>
      <c r="C13" s="55" t="s">
        <v>3838</v>
      </c>
      <c r="D13" s="55" t="s">
        <v>3839</v>
      </c>
      <c r="E13" s="55" t="str">
        <f>_xlfn.XLOOKUP(Table712[[#This Row],[Field/Column Name]],Table610119[id field],Table610119['#],"0 NOT found")</f>
        <v>0 NOT found</v>
      </c>
    </row>
    <row r="14" spans="1:6" x14ac:dyDescent="0.3">
      <c r="A14" s="55">
        <v>13</v>
      </c>
      <c r="B14" s="56" t="s">
        <v>3821</v>
      </c>
      <c r="C14" s="56" t="s">
        <v>3840</v>
      </c>
      <c r="D14" s="56" t="s">
        <v>3841</v>
      </c>
      <c r="E14" s="55" t="str">
        <f>_xlfn.XLOOKUP(Table712[[#This Row],[Field/Column Name]],Table610119[id field],Table610119['#],"0 NOT found")</f>
        <v>0 NOT found</v>
      </c>
    </row>
    <row r="15" spans="1:6" x14ac:dyDescent="0.3">
      <c r="A15" s="55">
        <v>14</v>
      </c>
      <c r="B15" s="55" t="s">
        <v>3821</v>
      </c>
      <c r="C15" s="55" t="s">
        <v>3842</v>
      </c>
      <c r="D15" s="55" t="s">
        <v>3843</v>
      </c>
      <c r="E15" s="55" t="str">
        <f>_xlfn.XLOOKUP(Table712[[#This Row],[Field/Column Name]],Table610119[id field],Table610119['#],"0 NOT found")</f>
        <v>0 NOT found</v>
      </c>
    </row>
    <row r="16" spans="1:6" x14ac:dyDescent="0.3">
      <c r="A16" s="55">
        <v>15</v>
      </c>
      <c r="B16" s="56" t="s">
        <v>3821</v>
      </c>
      <c r="C16" s="56" t="s">
        <v>3844</v>
      </c>
      <c r="D16" s="56" t="s">
        <v>3845</v>
      </c>
      <c r="E16" s="55" t="str">
        <f>_xlfn.XLOOKUP(Table712[[#This Row],[Field/Column Name]],Table610119[id field],Table610119['#],"0 NOT found")</f>
        <v>0 NOT found</v>
      </c>
    </row>
    <row r="17" spans="1:5" x14ac:dyDescent="0.3">
      <c r="A17" s="55">
        <v>16</v>
      </c>
      <c r="B17" s="55" t="s">
        <v>3821</v>
      </c>
      <c r="C17" s="55" t="s">
        <v>3846</v>
      </c>
      <c r="D17" s="55" t="s">
        <v>3847</v>
      </c>
      <c r="E17" s="55" t="str">
        <f>_xlfn.XLOOKUP(Table712[[#This Row],[Field/Column Name]],Table610119[id field],Table610119['#],"0 NOT found")</f>
        <v>0 NOT found</v>
      </c>
    </row>
    <row r="18" spans="1:5" x14ac:dyDescent="0.3">
      <c r="A18" s="55">
        <v>17</v>
      </c>
      <c r="B18" s="56" t="s">
        <v>3821</v>
      </c>
      <c r="C18" s="56" t="s">
        <v>3848</v>
      </c>
      <c r="D18" s="56" t="s">
        <v>3849</v>
      </c>
      <c r="E18" s="55" t="str">
        <f>_xlfn.XLOOKUP(Table712[[#This Row],[Field/Column Name]],Table610119[id field],Table610119['#],"0 NOT found")</f>
        <v>0 NOT found</v>
      </c>
    </row>
    <row r="19" spans="1:5" x14ac:dyDescent="0.3">
      <c r="A19" s="55">
        <v>18</v>
      </c>
      <c r="B19" s="55" t="s">
        <v>3821</v>
      </c>
      <c r="C19" s="55" t="s">
        <v>3850</v>
      </c>
      <c r="D19" s="55" t="s">
        <v>3851</v>
      </c>
      <c r="E19" s="55" t="str">
        <f>_xlfn.XLOOKUP(Table712[[#This Row],[Field/Column Name]],Table610119[id field],Table610119['#],"0 NOT found")</f>
        <v>0 NOT found</v>
      </c>
    </row>
    <row r="20" spans="1:5" x14ac:dyDescent="0.3">
      <c r="A20" s="55">
        <v>19</v>
      </c>
      <c r="B20" s="56" t="s">
        <v>3821</v>
      </c>
      <c r="C20" s="56" t="s">
        <v>3852</v>
      </c>
      <c r="D20" s="56" t="s">
        <v>3853</v>
      </c>
      <c r="E20" s="55" t="str">
        <f>_xlfn.XLOOKUP(Table712[[#This Row],[Field/Column Name]],Table610119[id field],Table610119['#],"0 NOT found")</f>
        <v>0 NOT found</v>
      </c>
    </row>
    <row r="21" spans="1:5" x14ac:dyDescent="0.3">
      <c r="A21" s="55">
        <v>20</v>
      </c>
      <c r="B21" s="55" t="s">
        <v>3821</v>
      </c>
      <c r="C21" s="55" t="s">
        <v>3854</v>
      </c>
      <c r="D21" s="55" t="s">
        <v>3855</v>
      </c>
      <c r="E21" s="55" t="str">
        <f>_xlfn.XLOOKUP(Table712[[#This Row],[Field/Column Name]],Table610119[id field],Table610119['#],"0 NOT found")</f>
        <v>0 NOT found</v>
      </c>
    </row>
    <row r="22" spans="1:5" x14ac:dyDescent="0.3">
      <c r="A22" s="55">
        <v>21</v>
      </c>
      <c r="B22" s="56" t="s">
        <v>3821</v>
      </c>
      <c r="C22" s="56" t="s">
        <v>3856</v>
      </c>
      <c r="D22" s="56" t="s">
        <v>3857</v>
      </c>
      <c r="E22" s="55" t="str">
        <f>_xlfn.XLOOKUP(Table712[[#This Row],[Field/Column Name]],Table610119[id field],Table610119['#],"0 NOT found")</f>
        <v>0 NOT found</v>
      </c>
    </row>
    <row r="23" spans="1:5" x14ac:dyDescent="0.3">
      <c r="A23" s="55">
        <v>22</v>
      </c>
      <c r="B23" s="55" t="s">
        <v>3821</v>
      </c>
      <c r="C23" s="55" t="s">
        <v>3858</v>
      </c>
      <c r="D23" s="55" t="s">
        <v>3859</v>
      </c>
      <c r="E23" s="55" t="str">
        <f>_xlfn.XLOOKUP(Table712[[#This Row],[Field/Column Name]],Table610119[id field],Table610119['#],"0 NOT found")</f>
        <v>0 NOT found</v>
      </c>
    </row>
    <row r="24" spans="1:5" x14ac:dyDescent="0.3">
      <c r="A24" s="55">
        <v>23</v>
      </c>
      <c r="B24" s="56" t="s">
        <v>3821</v>
      </c>
      <c r="C24" s="56" t="s">
        <v>3860</v>
      </c>
      <c r="D24" s="56" t="s">
        <v>3861</v>
      </c>
      <c r="E24" s="55" t="str">
        <f>_xlfn.XLOOKUP(Table712[[#This Row],[Field/Column Name]],Table610119[id field],Table610119['#],"0 NOT found")</f>
        <v>0 NOT found</v>
      </c>
    </row>
    <row r="25" spans="1:5" x14ac:dyDescent="0.3">
      <c r="A25" s="55">
        <v>24</v>
      </c>
      <c r="B25" s="55" t="s">
        <v>3821</v>
      </c>
      <c r="C25" s="55" t="s">
        <v>3862</v>
      </c>
      <c r="D25" s="55" t="s">
        <v>3863</v>
      </c>
      <c r="E25" s="55" t="str">
        <f>_xlfn.XLOOKUP(Table712[[#This Row],[Field/Column Name]],Table610119[id field],Table610119['#],"0 NOT found")</f>
        <v>0 NOT found</v>
      </c>
    </row>
    <row r="26" spans="1:5" x14ac:dyDescent="0.3">
      <c r="A26" s="55">
        <v>25</v>
      </c>
      <c r="B26" s="56" t="s">
        <v>3821</v>
      </c>
      <c r="C26" s="56" t="s">
        <v>3864</v>
      </c>
      <c r="D26" s="56" t="s">
        <v>3865</v>
      </c>
      <c r="E26" s="55" t="str">
        <f>_xlfn.XLOOKUP(Table712[[#This Row],[Field/Column Name]],Table610119[id field],Table610119['#],"0 NOT found")</f>
        <v>0 NOT found</v>
      </c>
    </row>
    <row r="27" spans="1:5" x14ac:dyDescent="0.3">
      <c r="A27" s="55">
        <v>26</v>
      </c>
      <c r="B27" s="55" t="s">
        <v>3821</v>
      </c>
      <c r="C27" s="55" t="s">
        <v>3866</v>
      </c>
      <c r="D27" s="55" t="s">
        <v>3867</v>
      </c>
      <c r="E27" s="55" t="str">
        <f>_xlfn.XLOOKUP(Table712[[#This Row],[Field/Column Name]],Table610119[id field],Table610119['#],"0 NOT found")</f>
        <v>0 NOT found</v>
      </c>
    </row>
    <row r="28" spans="1:5" x14ac:dyDescent="0.3">
      <c r="A28" s="55">
        <v>27</v>
      </c>
      <c r="B28" s="56" t="s">
        <v>3821</v>
      </c>
      <c r="C28" s="56" t="s">
        <v>3868</v>
      </c>
      <c r="D28" s="56" t="s">
        <v>3869</v>
      </c>
      <c r="E28" s="55" t="str">
        <f>_xlfn.XLOOKUP(Table712[[#This Row],[Field/Column Name]],Table610119[id field],Table610119['#],"0 NOT found")</f>
        <v>0 NOT found</v>
      </c>
    </row>
    <row r="29" spans="1:5" hidden="1" x14ac:dyDescent="0.3">
      <c r="A29" s="55">
        <v>28</v>
      </c>
      <c r="B29" s="55" t="s">
        <v>3821</v>
      </c>
      <c r="C29" s="55" t="s">
        <v>3748</v>
      </c>
      <c r="D29" s="55" t="s">
        <v>3870</v>
      </c>
      <c r="E29" s="55" t="str">
        <f>_xlfn.XLOOKUP(Table712[[#This Row],[Field/Column Name]],Table610119[id field],Table610119['#],"0 NOT found")</f>
        <v>63expanded_IMARRD_sorted</v>
      </c>
    </row>
    <row r="30" spans="1:5" hidden="1" x14ac:dyDescent="0.3">
      <c r="A30" s="55">
        <v>29</v>
      </c>
      <c r="B30" s="56" t="s">
        <v>3821</v>
      </c>
      <c r="C30" s="56" t="s">
        <v>3746</v>
      </c>
      <c r="D30" s="56" t="s">
        <v>3871</v>
      </c>
      <c r="E30" s="55" t="str">
        <f>_xlfn.XLOOKUP(Table712[[#This Row],[Field/Column Name]],Table610119[id field],Table610119['#],"0 NOT found")</f>
        <v>81expanded_IMARRD_sorted</v>
      </c>
    </row>
    <row r="31" spans="1:5" hidden="1" x14ac:dyDescent="0.3">
      <c r="A31" s="55">
        <v>30</v>
      </c>
      <c r="B31" s="55" t="s">
        <v>3821</v>
      </c>
      <c r="C31" s="55" t="s">
        <v>3744</v>
      </c>
      <c r="D31" s="55" t="s">
        <v>3872</v>
      </c>
      <c r="E31" s="55" t="str">
        <f>_xlfn.XLOOKUP(Table712[[#This Row],[Field/Column Name]],Table610119[id field],Table610119['#],"0 NOT found")</f>
        <v>86expanded_IMARRD_sorted</v>
      </c>
    </row>
    <row r="32" spans="1:5" hidden="1" x14ac:dyDescent="0.3">
      <c r="A32" s="55">
        <v>31</v>
      </c>
      <c r="B32" s="56" t="s">
        <v>3821</v>
      </c>
      <c r="C32" s="56" t="s">
        <v>3742</v>
      </c>
      <c r="D32" s="56" t="s">
        <v>3873</v>
      </c>
      <c r="E32" s="55" t="str">
        <f>_xlfn.XLOOKUP(Table712[[#This Row],[Field/Column Name]],Table610119[id field],Table610119['#],"0 NOT found")</f>
        <v>66expanded_IMARRD_sorted</v>
      </c>
    </row>
    <row r="33" spans="1:5" hidden="1" x14ac:dyDescent="0.3">
      <c r="A33" s="55">
        <v>32</v>
      </c>
      <c r="B33" s="55" t="s">
        <v>3821</v>
      </c>
      <c r="C33" s="55" t="s">
        <v>3874</v>
      </c>
      <c r="D33" s="55" t="s">
        <v>3875</v>
      </c>
      <c r="E33" s="55" t="str">
        <f>_xlfn.XLOOKUP(Table712[[#This Row],[Field/Column Name]],Table610119[id field],Table610119['#],"0 NOT found")</f>
        <v>83expanded_IMARRD_sorted</v>
      </c>
    </row>
    <row r="34" spans="1:5" x14ac:dyDescent="0.3">
      <c r="A34" s="55">
        <v>33</v>
      </c>
      <c r="B34" s="56" t="s">
        <v>3821</v>
      </c>
      <c r="C34" s="56" t="s">
        <v>3876</v>
      </c>
      <c r="D34" s="56" t="s">
        <v>3877</v>
      </c>
      <c r="E34" s="55" t="str">
        <f>_xlfn.XLOOKUP(Table712[[#This Row],[Field/Column Name]],Table610119[id field],Table610119['#],"0 NOT found")</f>
        <v>0 NOT found</v>
      </c>
    </row>
    <row r="35" spans="1:5" x14ac:dyDescent="0.3">
      <c r="A35" s="55">
        <v>34</v>
      </c>
      <c r="B35" s="55" t="s">
        <v>3821</v>
      </c>
      <c r="C35" s="55" t="s">
        <v>3878</v>
      </c>
      <c r="D35" s="55" t="s">
        <v>3879</v>
      </c>
      <c r="E35" s="55" t="str">
        <f>_xlfn.XLOOKUP(Table712[[#This Row],[Field/Column Name]],Table610119[id field],Table610119['#],"0 NOT found")</f>
        <v>0 NOT found</v>
      </c>
    </row>
    <row r="36" spans="1:5" x14ac:dyDescent="0.3">
      <c r="A36" s="55">
        <v>35</v>
      </c>
      <c r="B36" s="56" t="s">
        <v>3821</v>
      </c>
      <c r="C36" s="56" t="s">
        <v>3880</v>
      </c>
      <c r="D36" s="56" t="s">
        <v>3881</v>
      </c>
      <c r="E36" s="55" t="str">
        <f>_xlfn.XLOOKUP(Table712[[#This Row],[Field/Column Name]],Table610119[id field],Table610119['#],"0 NOT found")</f>
        <v>0 NOT found</v>
      </c>
    </row>
    <row r="37" spans="1:5" x14ac:dyDescent="0.3">
      <c r="A37" s="55">
        <v>36</v>
      </c>
      <c r="B37" s="55" t="s">
        <v>3821</v>
      </c>
      <c r="C37" s="55" t="s">
        <v>3882</v>
      </c>
      <c r="D37" s="55" t="s">
        <v>3883</v>
      </c>
      <c r="E37" s="55" t="str">
        <f>_xlfn.XLOOKUP(Table712[[#This Row],[Field/Column Name]],Table610119[id field],Table610119['#],"0 NOT found")</f>
        <v>0 NOT found</v>
      </c>
    </row>
    <row r="38" spans="1:5" x14ac:dyDescent="0.3">
      <c r="A38" s="55">
        <v>37</v>
      </c>
      <c r="B38" s="56" t="s">
        <v>3821</v>
      </c>
      <c r="C38" s="56" t="s">
        <v>3884</v>
      </c>
      <c r="D38" s="56" t="s">
        <v>3885</v>
      </c>
      <c r="E38" s="55" t="str">
        <f>_xlfn.XLOOKUP(Table712[[#This Row],[Field/Column Name]],Table610119[id field],Table610119['#],"0 NOT found")</f>
        <v>0 NOT found</v>
      </c>
    </row>
    <row r="39" spans="1:5" x14ac:dyDescent="0.3">
      <c r="A39" s="55">
        <v>38</v>
      </c>
      <c r="B39" s="55" t="s">
        <v>3821</v>
      </c>
      <c r="C39" s="55" t="s">
        <v>3886</v>
      </c>
      <c r="D39" s="55" t="s">
        <v>3887</v>
      </c>
      <c r="E39" s="55" t="str">
        <f>_xlfn.XLOOKUP(Table712[[#This Row],[Field/Column Name]],Table610119[id field],Table610119['#],"0 NOT found")</f>
        <v>0 NOT found</v>
      </c>
    </row>
    <row r="40" spans="1:5" x14ac:dyDescent="0.3">
      <c r="A40" s="55">
        <v>39</v>
      </c>
      <c r="B40" s="56" t="s">
        <v>3821</v>
      </c>
      <c r="C40" s="56" t="s">
        <v>3888</v>
      </c>
      <c r="D40" s="56" t="s">
        <v>3889</v>
      </c>
      <c r="E40" s="55" t="str">
        <f>_xlfn.XLOOKUP(Table712[[#This Row],[Field/Column Name]],Table610119[id field],Table610119['#],"0 NOT found")</f>
        <v>0 NOT found</v>
      </c>
    </row>
    <row r="41" spans="1:5" x14ac:dyDescent="0.3">
      <c r="A41" s="55">
        <v>40</v>
      </c>
      <c r="B41" s="55" t="s">
        <v>3821</v>
      </c>
      <c r="C41" s="55" t="s">
        <v>3890</v>
      </c>
      <c r="D41" s="55" t="s">
        <v>3891</v>
      </c>
      <c r="E41" s="55" t="str">
        <f>_xlfn.XLOOKUP(Table712[[#This Row],[Field/Column Name]],Table610119[id field],Table610119['#],"0 NOT found")</f>
        <v>0 NOT found</v>
      </c>
    </row>
    <row r="42" spans="1:5" x14ac:dyDescent="0.3">
      <c r="A42" s="55">
        <v>41</v>
      </c>
      <c r="B42" s="56" t="s">
        <v>3821</v>
      </c>
      <c r="C42" s="56" t="s">
        <v>3892</v>
      </c>
      <c r="D42" s="56" t="s">
        <v>3893</v>
      </c>
      <c r="E42" s="55" t="str">
        <f>_xlfn.XLOOKUP(Table712[[#This Row],[Field/Column Name]],Table610119[id field],Table610119['#],"0 NOT found")</f>
        <v>0 NOT found</v>
      </c>
    </row>
    <row r="43" spans="1:5" x14ac:dyDescent="0.3">
      <c r="A43" s="55">
        <v>42</v>
      </c>
      <c r="B43" s="55" t="s">
        <v>3821</v>
      </c>
      <c r="C43" s="55" t="s">
        <v>3894</v>
      </c>
      <c r="D43" s="55" t="s">
        <v>3895</v>
      </c>
      <c r="E43" s="55" t="str">
        <f>_xlfn.XLOOKUP(Table712[[#This Row],[Field/Column Name]],Table610119[id field],Table610119['#],"0 NOT found")</f>
        <v>0 NOT found</v>
      </c>
    </row>
    <row r="44" spans="1:5" x14ac:dyDescent="0.3">
      <c r="A44" s="55">
        <v>43</v>
      </c>
      <c r="B44" s="56" t="s">
        <v>3821</v>
      </c>
      <c r="C44" s="56" t="s">
        <v>3896</v>
      </c>
      <c r="D44" s="56" t="s">
        <v>3897</v>
      </c>
      <c r="E44" s="55" t="str">
        <f>_xlfn.XLOOKUP(Table712[[#This Row],[Field/Column Name]],Table610119[id field],Table610119['#],"0 NOT found")</f>
        <v>0 NOT found</v>
      </c>
    </row>
    <row r="45" spans="1:5" x14ac:dyDescent="0.3">
      <c r="A45" s="55">
        <v>44</v>
      </c>
      <c r="B45" s="55" t="s">
        <v>3821</v>
      </c>
      <c r="C45" s="55" t="s">
        <v>3898</v>
      </c>
      <c r="D45" s="55" t="s">
        <v>3899</v>
      </c>
      <c r="E45" s="55" t="str">
        <f>_xlfn.XLOOKUP(Table712[[#This Row],[Field/Column Name]],Table610119[id field],Table610119['#],"0 NOT found")</f>
        <v>0 NOT found</v>
      </c>
    </row>
    <row r="46" spans="1:5" x14ac:dyDescent="0.3">
      <c r="A46" s="55">
        <v>45</v>
      </c>
      <c r="B46" s="56" t="s">
        <v>3821</v>
      </c>
      <c r="C46" s="56" t="s">
        <v>3900</v>
      </c>
      <c r="D46" s="56" t="s">
        <v>3901</v>
      </c>
      <c r="E46" s="55" t="str">
        <f>_xlfn.XLOOKUP(Table712[[#This Row],[Field/Column Name]],Table610119[id field],Table610119['#],"0 NOT found")</f>
        <v>0 NOT found</v>
      </c>
    </row>
    <row r="47" spans="1:5" x14ac:dyDescent="0.3">
      <c r="A47" s="55">
        <v>46</v>
      </c>
      <c r="B47" s="55" t="s">
        <v>3821</v>
      </c>
      <c r="C47" s="55" t="s">
        <v>3902</v>
      </c>
      <c r="D47" s="55" t="s">
        <v>3903</v>
      </c>
      <c r="E47" s="55" t="str">
        <f>_xlfn.XLOOKUP(Table712[[#This Row],[Field/Column Name]],Table610119[id field],Table610119['#],"0 NOT found")</f>
        <v>0 NOT found</v>
      </c>
    </row>
    <row r="48" spans="1:5" x14ac:dyDescent="0.3">
      <c r="A48" s="55">
        <v>47</v>
      </c>
      <c r="B48" s="56" t="s">
        <v>3821</v>
      </c>
      <c r="C48" s="56" t="s">
        <v>3904</v>
      </c>
      <c r="D48" s="56" t="s">
        <v>3905</v>
      </c>
      <c r="E48" s="55" t="str">
        <f>_xlfn.XLOOKUP(Table712[[#This Row],[Field/Column Name]],Table610119[id field],Table610119['#],"0 NOT found")</f>
        <v>0 NOT found</v>
      </c>
    </row>
    <row r="49" spans="1:5" x14ac:dyDescent="0.3">
      <c r="A49" s="55">
        <v>48</v>
      </c>
      <c r="B49" s="55" t="s">
        <v>3821</v>
      </c>
      <c r="C49" s="55" t="s">
        <v>3906</v>
      </c>
      <c r="D49" s="55" t="s">
        <v>3907</v>
      </c>
      <c r="E49" s="55" t="str">
        <f>_xlfn.XLOOKUP(Table712[[#This Row],[Field/Column Name]],Table610119[id field],Table610119['#],"0 NOT found")</f>
        <v>0 NOT found</v>
      </c>
    </row>
    <row r="50" spans="1:5" x14ac:dyDescent="0.3">
      <c r="A50" s="55">
        <v>49</v>
      </c>
      <c r="B50" s="56" t="s">
        <v>3821</v>
      </c>
      <c r="C50" s="56" t="s">
        <v>3906</v>
      </c>
      <c r="D50" s="56" t="s">
        <v>3908</v>
      </c>
      <c r="E50" s="55" t="str">
        <f>_xlfn.XLOOKUP(Table712[[#This Row],[Field/Column Name]],Table610119[id field],Table610119['#],"0 NOT found")</f>
        <v>0 NOT found</v>
      </c>
    </row>
    <row r="51" spans="1:5" x14ac:dyDescent="0.3">
      <c r="A51" s="55">
        <v>50</v>
      </c>
      <c r="B51" s="55" t="s">
        <v>3821</v>
      </c>
      <c r="C51" s="55" t="s">
        <v>3909</v>
      </c>
      <c r="D51" s="55" t="s">
        <v>3910</v>
      </c>
      <c r="E51" s="55" t="str">
        <f>_xlfn.XLOOKUP(Table712[[#This Row],[Field/Column Name]],Table610119[id field],Table610119['#],"0 NOT found")</f>
        <v>0 NOT found</v>
      </c>
    </row>
    <row r="52" spans="1:5" x14ac:dyDescent="0.3">
      <c r="A52" s="55">
        <v>51</v>
      </c>
      <c r="B52" s="56" t="s">
        <v>3821</v>
      </c>
      <c r="C52" s="56" t="s">
        <v>3911</v>
      </c>
      <c r="D52" s="56" t="s">
        <v>3912</v>
      </c>
      <c r="E52" s="55" t="str">
        <f>_xlfn.XLOOKUP(Table712[[#This Row],[Field/Column Name]],Table610119[id field],Table610119['#],"0 NOT found")</f>
        <v>0 NOT found</v>
      </c>
    </row>
    <row r="53" spans="1:5" hidden="1" x14ac:dyDescent="0.3">
      <c r="A53" s="55">
        <v>52</v>
      </c>
      <c r="B53" s="55" t="s">
        <v>3821</v>
      </c>
      <c r="C53" s="55" t="s">
        <v>3913</v>
      </c>
      <c r="D53" s="55" t="s">
        <v>3914</v>
      </c>
      <c r="E53" s="55" t="str">
        <f>_xlfn.XLOOKUP(Table712[[#This Row],[Field/Column Name]],Table610119[id field],Table610119['#],"0 NOT found")</f>
        <v>10expanded_IMARRD_sorted</v>
      </c>
    </row>
    <row r="54" spans="1:5" hidden="1" x14ac:dyDescent="0.3">
      <c r="A54" s="55">
        <v>53</v>
      </c>
      <c r="B54" s="56" t="s">
        <v>3821</v>
      </c>
      <c r="C54" s="56" t="s">
        <v>3913</v>
      </c>
      <c r="D54" s="56" t="s">
        <v>3915</v>
      </c>
      <c r="E54" s="55" t="str">
        <f>_xlfn.XLOOKUP(Table712[[#This Row],[Field/Column Name]],Table610119[id field],Table610119['#],"0 NOT found")</f>
        <v>11expanded_IMARRD_sorted</v>
      </c>
    </row>
    <row r="55" spans="1:5" hidden="1" x14ac:dyDescent="0.3">
      <c r="A55" s="55">
        <v>54</v>
      </c>
      <c r="B55" s="55" t="s">
        <v>3821</v>
      </c>
      <c r="C55" s="55" t="s">
        <v>3913</v>
      </c>
      <c r="D55" s="55" t="s">
        <v>3916</v>
      </c>
      <c r="E55" s="55" t="str">
        <f>_xlfn.XLOOKUP(Table712[[#This Row],[Field/Column Name]],Table610119[id field],Table610119['#],"0 NOT found")</f>
        <v>13expanded_IMARRD_sorted</v>
      </c>
    </row>
    <row r="56" spans="1:5" hidden="1" x14ac:dyDescent="0.3">
      <c r="A56" s="55">
        <v>55</v>
      </c>
      <c r="B56" s="56" t="s">
        <v>3821</v>
      </c>
      <c r="C56" s="56" t="s">
        <v>3913</v>
      </c>
      <c r="D56" s="56" t="s">
        <v>3917</v>
      </c>
      <c r="E56" s="55" t="str">
        <f>_xlfn.XLOOKUP(Table712[[#This Row],[Field/Column Name]],Table610119[id field],Table610119['#],"0 NOT found")</f>
        <v>15expanded_IMARRD_sorted</v>
      </c>
    </row>
    <row r="57" spans="1:5" hidden="1" x14ac:dyDescent="0.3">
      <c r="A57" s="55">
        <v>56</v>
      </c>
      <c r="B57" s="55" t="s">
        <v>3821</v>
      </c>
      <c r="C57" s="55" t="s">
        <v>3918</v>
      </c>
      <c r="D57" s="55" t="s">
        <v>3919</v>
      </c>
      <c r="E57" s="55" t="str">
        <f>_xlfn.XLOOKUP(Table712[[#This Row],[Field/Column Name]],Table610119[id field],Table610119['#],"0 NOT found")</f>
        <v>16expanded_IMARRD_sorted</v>
      </c>
    </row>
    <row r="58" spans="1:5" hidden="1" x14ac:dyDescent="0.3">
      <c r="A58" s="55">
        <v>57</v>
      </c>
      <c r="B58" s="56" t="s">
        <v>3821</v>
      </c>
      <c r="C58" s="56" t="s">
        <v>3918</v>
      </c>
      <c r="D58" s="56" t="s">
        <v>3920</v>
      </c>
      <c r="E58" s="55" t="str">
        <f>_xlfn.XLOOKUP(Table712[[#This Row],[Field/Column Name]],Table610119[id field],Table610119['#],"0 NOT found")</f>
        <v>17expanded_IMARRD_sorted</v>
      </c>
    </row>
    <row r="59" spans="1:5" hidden="1" x14ac:dyDescent="0.3">
      <c r="A59" s="55">
        <v>58</v>
      </c>
      <c r="B59" s="55" t="s">
        <v>3821</v>
      </c>
      <c r="C59" s="55" t="s">
        <v>3918</v>
      </c>
      <c r="D59" s="55" t="s">
        <v>3921</v>
      </c>
      <c r="E59" s="55" t="str">
        <f>_xlfn.XLOOKUP(Table712[[#This Row],[Field/Column Name]],Table610119[id field],Table610119['#],"0 NOT found")</f>
        <v>19expanded_IMARRD_sorted</v>
      </c>
    </row>
    <row r="60" spans="1:5" hidden="1" x14ac:dyDescent="0.3">
      <c r="A60" s="55">
        <v>59</v>
      </c>
      <c r="B60" s="56" t="s">
        <v>3821</v>
      </c>
      <c r="C60" s="56" t="s">
        <v>3918</v>
      </c>
      <c r="D60" s="56" t="s">
        <v>3922</v>
      </c>
      <c r="E60" s="55" t="str">
        <f>_xlfn.XLOOKUP(Table712[[#This Row],[Field/Column Name]],Table610119[id field],Table610119['#],"0 NOT found")</f>
        <v>21expanded_IMARRD_sorted</v>
      </c>
    </row>
    <row r="61" spans="1:5" x14ac:dyDescent="0.3">
      <c r="A61" s="55">
        <v>60</v>
      </c>
      <c r="B61" s="55" t="s">
        <v>3821</v>
      </c>
      <c r="C61" s="55" t="s">
        <v>3726</v>
      </c>
      <c r="D61" s="55" t="s">
        <v>3923</v>
      </c>
      <c r="E61" s="55" t="str">
        <f>_xlfn.XLOOKUP(Table712[[#This Row],[Field/Column Name]],Table610119[id field],Table610119['#],"0 NOT found")</f>
        <v>0 NOT found</v>
      </c>
    </row>
    <row r="62" spans="1:5" hidden="1" x14ac:dyDescent="0.3">
      <c r="A62" s="55">
        <v>61</v>
      </c>
      <c r="B62" s="56" t="s">
        <v>3821</v>
      </c>
      <c r="C62" s="56" t="s">
        <v>384</v>
      </c>
      <c r="D62" s="56" t="s">
        <v>3924</v>
      </c>
      <c r="E62" s="55" t="str">
        <f>_xlfn.XLOOKUP(Table712[[#This Row],[Field/Column Name]],Table610119[id field],Table610119['#],"0 NOT found")</f>
        <v>23expanded_IMARRD_sorted</v>
      </c>
    </row>
    <row r="63" spans="1:5" hidden="1" x14ac:dyDescent="0.3">
      <c r="A63" s="55">
        <v>62</v>
      </c>
      <c r="B63" s="55" t="s">
        <v>3821</v>
      </c>
      <c r="C63" s="55" t="s">
        <v>3724</v>
      </c>
      <c r="D63" s="55" t="s">
        <v>3925</v>
      </c>
      <c r="E63" s="55" t="str">
        <f>_xlfn.XLOOKUP(Table712[[#This Row],[Field/Column Name]],Table610119[id field],Table610119['#],"0 NOT found")</f>
        <v>26expanded_IMARRD_sorted</v>
      </c>
    </row>
    <row r="64" spans="1:5" x14ac:dyDescent="0.3">
      <c r="A64" s="55">
        <v>63</v>
      </c>
      <c r="B64" s="56" t="s">
        <v>3821</v>
      </c>
      <c r="C64" s="56" t="s">
        <v>3926</v>
      </c>
      <c r="D64" s="56" t="s">
        <v>3927</v>
      </c>
      <c r="E64" s="55" t="str">
        <f>_xlfn.XLOOKUP(Table712[[#This Row],[Field/Column Name]],Table610119[id field],Table610119['#],"0 NOT found")</f>
        <v>0 NOT found</v>
      </c>
    </row>
    <row r="65" spans="1:5" hidden="1" x14ac:dyDescent="0.3">
      <c r="A65" s="55">
        <v>64</v>
      </c>
      <c r="B65" s="55" t="s">
        <v>3821</v>
      </c>
      <c r="C65" s="55" t="s">
        <v>3722</v>
      </c>
      <c r="D65" s="55" t="s">
        <v>3928</v>
      </c>
      <c r="E65" s="55" t="str">
        <f>_xlfn.XLOOKUP(Table712[[#This Row],[Field/Column Name]],Table610119[id field],Table610119['#],"0 NOT found")</f>
        <v>24expanded_IMARRD_sorted</v>
      </c>
    </row>
    <row r="66" spans="1:5" hidden="1" x14ac:dyDescent="0.3">
      <c r="A66" s="55">
        <v>65</v>
      </c>
      <c r="B66" s="56" t="s">
        <v>3821</v>
      </c>
      <c r="C66" s="56" t="s">
        <v>3718</v>
      </c>
      <c r="D66" s="56" t="s">
        <v>3929</v>
      </c>
      <c r="E66" s="55" t="str">
        <f>_xlfn.XLOOKUP(Table712[[#This Row],[Field/Column Name]],Table610119[id field],Table610119['#],"0 NOT found")</f>
        <v>25expanded_IMARRD_sorted</v>
      </c>
    </row>
    <row r="67" spans="1:5" hidden="1" x14ac:dyDescent="0.3">
      <c r="A67" s="55">
        <v>66</v>
      </c>
      <c r="B67" s="55" t="s">
        <v>3821</v>
      </c>
      <c r="C67" s="55" t="s">
        <v>152</v>
      </c>
      <c r="D67" s="55" t="s">
        <v>3930</v>
      </c>
      <c r="E67" s="55" t="str">
        <f>_xlfn.XLOOKUP(Table712[[#This Row],[Field/Column Name]],Table610119[id field],Table610119['#],"0 NOT found")</f>
        <v>5expanded_IMARRD_sorted</v>
      </c>
    </row>
    <row r="68" spans="1:5" hidden="1" x14ac:dyDescent="0.3">
      <c r="A68" s="55">
        <v>67</v>
      </c>
      <c r="B68" s="56" t="s">
        <v>3821</v>
      </c>
      <c r="C68" s="56" t="s">
        <v>3704</v>
      </c>
      <c r="D68" s="56" t="s">
        <v>3931</v>
      </c>
      <c r="E68" s="55" t="str">
        <f>_xlfn.XLOOKUP(Table712[[#This Row],[Field/Column Name]],Table610119[id field],Table610119['#],"0 NOT found")</f>
        <v>76expanded_IMARRD_sorted</v>
      </c>
    </row>
    <row r="69" spans="1:5" x14ac:dyDescent="0.3">
      <c r="A69" s="55">
        <v>68</v>
      </c>
      <c r="B69" s="55" t="s">
        <v>3821</v>
      </c>
      <c r="C69" s="55" t="s">
        <v>3932</v>
      </c>
      <c r="D69" s="55" t="s">
        <v>3933</v>
      </c>
      <c r="E69" s="55" t="str">
        <f>_xlfn.XLOOKUP(Table712[[#This Row],[Field/Column Name]],Table610119[id field],Table610119['#],"0 NOT found")</f>
        <v>0 NOT found</v>
      </c>
    </row>
    <row r="70" spans="1:5" x14ac:dyDescent="0.3">
      <c r="A70" s="55">
        <v>69</v>
      </c>
      <c r="B70" s="56" t="s">
        <v>3821</v>
      </c>
      <c r="C70" s="56" t="s">
        <v>3934</v>
      </c>
      <c r="D70" s="56" t="s">
        <v>3935</v>
      </c>
      <c r="E70" s="55" t="str">
        <f>_xlfn.XLOOKUP(Table712[[#This Row],[Field/Column Name]],Table610119[id field],Table610119['#],"0 NOT found")</f>
        <v>0 NOT found</v>
      </c>
    </row>
    <row r="71" spans="1:5" x14ac:dyDescent="0.3">
      <c r="A71" s="55">
        <v>70</v>
      </c>
      <c r="B71" s="55" t="s">
        <v>3821</v>
      </c>
      <c r="C71" s="55" t="s">
        <v>3934</v>
      </c>
      <c r="D71" s="55" t="s">
        <v>3936</v>
      </c>
      <c r="E71" s="55" t="str">
        <f>_xlfn.XLOOKUP(Table712[[#This Row],[Field/Column Name]],Table610119[id field],Table610119['#],"0 NOT found")</f>
        <v>0 NOT found</v>
      </c>
    </row>
    <row r="72" spans="1:5" x14ac:dyDescent="0.3">
      <c r="A72" s="55">
        <v>71</v>
      </c>
      <c r="B72" s="56" t="s">
        <v>3821</v>
      </c>
      <c r="C72" s="56" t="s">
        <v>3934</v>
      </c>
      <c r="D72" s="56" t="s">
        <v>3937</v>
      </c>
      <c r="E72" s="55" t="str">
        <f>_xlfn.XLOOKUP(Table712[[#This Row],[Field/Column Name]],Table610119[id field],Table610119['#],"0 NOT found")</f>
        <v>0 NOT found</v>
      </c>
    </row>
    <row r="73" spans="1:5" x14ac:dyDescent="0.3">
      <c r="A73" s="55">
        <v>72</v>
      </c>
      <c r="B73" s="55" t="s">
        <v>3821</v>
      </c>
      <c r="C73" s="55" t="s">
        <v>3934</v>
      </c>
      <c r="D73" s="55" t="s">
        <v>3938</v>
      </c>
      <c r="E73" s="55" t="str">
        <f>_xlfn.XLOOKUP(Table712[[#This Row],[Field/Column Name]],Table610119[id field],Table610119['#],"0 NOT found")</f>
        <v>0 NOT found</v>
      </c>
    </row>
    <row r="74" spans="1:5" x14ac:dyDescent="0.3">
      <c r="A74" s="55">
        <v>73</v>
      </c>
      <c r="B74" s="56" t="s">
        <v>3821</v>
      </c>
      <c r="C74" s="56" t="s">
        <v>3934</v>
      </c>
      <c r="D74" s="56" t="s">
        <v>3939</v>
      </c>
      <c r="E74" s="55" t="str">
        <f>_xlfn.XLOOKUP(Table712[[#This Row],[Field/Column Name]],Table610119[id field],Table610119['#],"0 NOT found")</f>
        <v>0 NOT found</v>
      </c>
    </row>
    <row r="75" spans="1:5" x14ac:dyDescent="0.3">
      <c r="A75" s="55">
        <v>74</v>
      </c>
      <c r="B75" s="55" t="s">
        <v>3821</v>
      </c>
      <c r="C75" s="55" t="s">
        <v>3934</v>
      </c>
      <c r="D75" s="55" t="s">
        <v>3940</v>
      </c>
      <c r="E75" s="55" t="str">
        <f>_xlfn.XLOOKUP(Table712[[#This Row],[Field/Column Name]],Table610119[id field],Table610119['#],"0 NOT found")</f>
        <v>0 NOT found</v>
      </c>
    </row>
    <row r="76" spans="1:5" hidden="1" x14ac:dyDescent="0.3">
      <c r="A76" s="55">
        <v>75</v>
      </c>
      <c r="B76" s="56" t="s">
        <v>3821</v>
      </c>
      <c r="C76" s="56" t="s">
        <v>3941</v>
      </c>
      <c r="D76" s="56" t="s">
        <v>3942</v>
      </c>
      <c r="E76" s="55" t="str">
        <f>_xlfn.XLOOKUP(Table712[[#This Row],[Field/Column Name]],Table610119[id field],Table610119['#],"0 NOT found")</f>
        <v>12expanded_IMARRD_sorted</v>
      </c>
    </row>
    <row r="77" spans="1:5" hidden="1" x14ac:dyDescent="0.3">
      <c r="A77" s="55">
        <v>76</v>
      </c>
      <c r="B77" s="55" t="s">
        <v>3821</v>
      </c>
      <c r="C77" s="55" t="s">
        <v>3941</v>
      </c>
      <c r="D77" s="55" t="s">
        <v>3943</v>
      </c>
      <c r="E77" s="55" t="str">
        <f>_xlfn.XLOOKUP(Table712[[#This Row],[Field/Column Name]],Table610119[id field],Table610119['#],"0 NOT found")</f>
        <v>14expanded_IMARRD_sorted</v>
      </c>
    </row>
    <row r="78" spans="1:5" hidden="1" x14ac:dyDescent="0.3">
      <c r="A78" s="55">
        <v>77</v>
      </c>
      <c r="B78" s="56" t="s">
        <v>3821</v>
      </c>
      <c r="C78" s="56" t="s">
        <v>3944</v>
      </c>
      <c r="D78" s="56" t="s">
        <v>3945</v>
      </c>
      <c r="E78" s="55" t="str">
        <f>_xlfn.XLOOKUP(Table712[[#This Row],[Field/Column Name]],Table610119[id field],Table610119['#],"0 NOT found")</f>
        <v>18expanded_IMARRD_sorted</v>
      </c>
    </row>
    <row r="79" spans="1:5" hidden="1" x14ac:dyDescent="0.3">
      <c r="A79" s="55">
        <v>78</v>
      </c>
      <c r="B79" s="55" t="s">
        <v>3821</v>
      </c>
      <c r="C79" s="55" t="s">
        <v>3944</v>
      </c>
      <c r="D79" s="55" t="s">
        <v>3946</v>
      </c>
      <c r="E79" s="55" t="str">
        <f>_xlfn.XLOOKUP(Table712[[#This Row],[Field/Column Name]],Table610119[id field],Table610119['#],"0 NOT found")</f>
        <v>20expanded_IMARRD_sorted</v>
      </c>
    </row>
    <row r="80" spans="1:5" hidden="1" x14ac:dyDescent="0.3">
      <c r="A80" s="55">
        <v>79</v>
      </c>
      <c r="B80" s="56" t="s">
        <v>3821</v>
      </c>
      <c r="C80" s="56" t="s">
        <v>1733</v>
      </c>
      <c r="D80" s="56" t="s">
        <v>3947</v>
      </c>
      <c r="E80" s="55" t="str">
        <f>_xlfn.XLOOKUP(Table712[[#This Row],[Field/Column Name]],Table610119[id field],Table610119['#],"0 NOT found")</f>
        <v>28expanded_IMARRD_sorted</v>
      </c>
    </row>
    <row r="81" spans="1:5" hidden="1" x14ac:dyDescent="0.3">
      <c r="A81" s="55">
        <v>80</v>
      </c>
      <c r="B81" s="55" t="s">
        <v>3821</v>
      </c>
      <c r="C81" s="55" t="s">
        <v>1733</v>
      </c>
      <c r="D81" s="55" t="s">
        <v>3948</v>
      </c>
      <c r="E81" s="55" t="str">
        <f>_xlfn.XLOOKUP(Table712[[#This Row],[Field/Column Name]],Table610119[id field],Table610119['#],"0 NOT found")</f>
        <v>29expanded_IMARRD_sorted</v>
      </c>
    </row>
    <row r="82" spans="1:5" hidden="1" x14ac:dyDescent="0.3">
      <c r="A82" s="55">
        <v>81</v>
      </c>
      <c r="B82" s="56" t="s">
        <v>3821</v>
      </c>
      <c r="C82" s="56" t="s">
        <v>1733</v>
      </c>
      <c r="D82" s="56" t="s">
        <v>3949</v>
      </c>
      <c r="E82" s="55" t="str">
        <f>_xlfn.XLOOKUP(Table712[[#This Row],[Field/Column Name]],Table610119[id field],Table610119['#],"0 NOT found")</f>
        <v>30expanded_IMARRD_sorted</v>
      </c>
    </row>
    <row r="83" spans="1:5" hidden="1" x14ac:dyDescent="0.3">
      <c r="A83" s="55">
        <v>82</v>
      </c>
      <c r="B83" s="55" t="s">
        <v>3821</v>
      </c>
      <c r="C83" s="55" t="s">
        <v>1733</v>
      </c>
      <c r="D83" s="55" t="s">
        <v>3950</v>
      </c>
      <c r="E83" s="55" t="str">
        <f>_xlfn.XLOOKUP(Table712[[#This Row],[Field/Column Name]],Table610119[id field],Table610119['#],"0 NOT found")</f>
        <v>31expanded_IMARRD_sorted</v>
      </c>
    </row>
    <row r="84" spans="1:5" hidden="1" x14ac:dyDescent="0.3">
      <c r="A84" s="55">
        <v>83</v>
      </c>
      <c r="B84" s="56" t="s">
        <v>3821</v>
      </c>
      <c r="C84" s="56" t="s">
        <v>1733</v>
      </c>
      <c r="D84" s="56" t="s">
        <v>3951</v>
      </c>
      <c r="E84" s="55" t="str">
        <f>_xlfn.XLOOKUP(Table712[[#This Row],[Field/Column Name]],Table610119[id field],Table610119['#],"0 NOT found")</f>
        <v>32expanded_IMARRD_sorted</v>
      </c>
    </row>
    <row r="85" spans="1:5" hidden="1" x14ac:dyDescent="0.3">
      <c r="A85" s="55">
        <v>84</v>
      </c>
      <c r="B85" s="55" t="s">
        <v>3821</v>
      </c>
      <c r="C85" s="55" t="s">
        <v>1733</v>
      </c>
      <c r="D85" s="55" t="s">
        <v>3952</v>
      </c>
      <c r="E85" s="55" t="str">
        <f>_xlfn.XLOOKUP(Table712[[#This Row],[Field/Column Name]],Table610119[id field],Table610119['#],"0 NOT found")</f>
        <v>33expanded_IMARRD_sorted</v>
      </c>
    </row>
    <row r="86" spans="1:5" hidden="1" x14ac:dyDescent="0.3">
      <c r="A86" s="55">
        <v>85</v>
      </c>
      <c r="B86" s="56" t="s">
        <v>3821</v>
      </c>
      <c r="C86" s="56" t="s">
        <v>478</v>
      </c>
      <c r="D86" s="56" t="s">
        <v>3953</v>
      </c>
      <c r="E86" s="55" t="str">
        <f>_xlfn.XLOOKUP(Table712[[#This Row],[Field/Column Name]],Table610119[id field],Table610119['#],"0 NOT found")</f>
        <v>34expanded_IMARRD_sorted</v>
      </c>
    </row>
    <row r="87" spans="1:5" hidden="1" x14ac:dyDescent="0.3">
      <c r="A87" s="55">
        <v>86</v>
      </c>
      <c r="B87" s="55" t="s">
        <v>3821</v>
      </c>
      <c r="C87" s="55" t="s">
        <v>478</v>
      </c>
      <c r="D87" s="55" t="s">
        <v>3954</v>
      </c>
      <c r="E87" s="55" t="str">
        <f>_xlfn.XLOOKUP(Table712[[#This Row],[Field/Column Name]],Table610119[id field],Table610119['#],"0 NOT found")</f>
        <v>35expanded_IMARRD_sorted</v>
      </c>
    </row>
    <row r="88" spans="1:5" hidden="1" x14ac:dyDescent="0.3">
      <c r="A88" s="55">
        <v>87</v>
      </c>
      <c r="B88" s="56" t="s">
        <v>3821</v>
      </c>
      <c r="C88" s="56" t="s">
        <v>478</v>
      </c>
      <c r="D88" s="56" t="s">
        <v>3955</v>
      </c>
      <c r="E88" s="55" t="str">
        <f>_xlfn.XLOOKUP(Table712[[#This Row],[Field/Column Name]],Table610119[id field],Table610119['#],"0 NOT found")</f>
        <v>36expanded_IMARRD_sorted</v>
      </c>
    </row>
    <row r="89" spans="1:5" hidden="1" x14ac:dyDescent="0.3">
      <c r="A89" s="55">
        <v>88</v>
      </c>
      <c r="B89" s="55" t="s">
        <v>3821</v>
      </c>
      <c r="C89" s="55" t="s">
        <v>478</v>
      </c>
      <c r="D89" s="55" t="s">
        <v>3956</v>
      </c>
      <c r="E89" s="55" t="str">
        <f>_xlfn.XLOOKUP(Table712[[#This Row],[Field/Column Name]],Table610119[id field],Table610119['#],"0 NOT found")</f>
        <v>37expanded_IMARRD_sorted</v>
      </c>
    </row>
    <row r="90" spans="1:5" hidden="1" x14ac:dyDescent="0.3">
      <c r="A90" s="55">
        <v>89</v>
      </c>
      <c r="B90" s="56" t="s">
        <v>3821</v>
      </c>
      <c r="C90" s="56" t="s">
        <v>478</v>
      </c>
      <c r="D90" s="56" t="s">
        <v>3957</v>
      </c>
      <c r="E90" s="55" t="str">
        <f>_xlfn.XLOOKUP(Table712[[#This Row],[Field/Column Name]],Table610119[id field],Table610119['#],"0 NOT found")</f>
        <v>38expanded_IMARRD_sorted</v>
      </c>
    </row>
    <row r="91" spans="1:5" hidden="1" x14ac:dyDescent="0.3">
      <c r="A91" s="55">
        <v>90</v>
      </c>
      <c r="B91" s="55" t="s">
        <v>3821</v>
      </c>
      <c r="C91" s="55" t="s">
        <v>478</v>
      </c>
      <c r="D91" s="55" t="s">
        <v>3958</v>
      </c>
      <c r="E91" s="55" t="str">
        <f>_xlfn.XLOOKUP(Table712[[#This Row],[Field/Column Name]],Table610119[id field],Table610119['#],"0 NOT found")</f>
        <v>39expanded_IMARRD_sorted</v>
      </c>
    </row>
    <row r="92" spans="1:5" hidden="1" x14ac:dyDescent="0.3">
      <c r="A92" s="55">
        <v>91</v>
      </c>
      <c r="B92" s="56" t="s">
        <v>3821</v>
      </c>
      <c r="C92" s="56" t="s">
        <v>503</v>
      </c>
      <c r="D92" s="56" t="s">
        <v>3959</v>
      </c>
      <c r="E92" s="55" t="str">
        <f>_xlfn.XLOOKUP(Table712[[#This Row],[Field/Column Name]],Table610119[id field],Table610119['#],"0 NOT found")</f>
        <v>40expanded_IMARRD_sorted</v>
      </c>
    </row>
    <row r="93" spans="1:5" hidden="1" x14ac:dyDescent="0.3">
      <c r="A93" s="55">
        <v>92</v>
      </c>
      <c r="B93" s="55" t="s">
        <v>3821</v>
      </c>
      <c r="C93" s="55" t="s">
        <v>503</v>
      </c>
      <c r="D93" s="55" t="s">
        <v>3960</v>
      </c>
      <c r="E93" s="55" t="str">
        <f>_xlfn.XLOOKUP(Table712[[#This Row],[Field/Column Name]],Table610119[id field],Table610119['#],"0 NOT found")</f>
        <v>41expanded_IMARRD_sorted</v>
      </c>
    </row>
    <row r="94" spans="1:5" hidden="1" x14ac:dyDescent="0.3">
      <c r="A94" s="55">
        <v>93</v>
      </c>
      <c r="B94" s="56" t="s">
        <v>3821</v>
      </c>
      <c r="C94" s="56" t="s">
        <v>503</v>
      </c>
      <c r="D94" s="56" t="s">
        <v>3961</v>
      </c>
      <c r="E94" s="55" t="str">
        <f>_xlfn.XLOOKUP(Table712[[#This Row],[Field/Column Name]],Table610119[id field],Table610119['#],"0 NOT found")</f>
        <v>42expanded_IMARRD_sorted</v>
      </c>
    </row>
    <row r="95" spans="1:5" hidden="1" x14ac:dyDescent="0.3">
      <c r="A95" s="55">
        <v>94</v>
      </c>
      <c r="B95" s="55" t="s">
        <v>3821</v>
      </c>
      <c r="C95" s="55" t="s">
        <v>503</v>
      </c>
      <c r="D95" s="55" t="s">
        <v>3962</v>
      </c>
      <c r="E95" s="55" t="str">
        <f>_xlfn.XLOOKUP(Table712[[#This Row],[Field/Column Name]],Table610119[id field],Table610119['#],"0 NOT found")</f>
        <v>43expanded_IMARRD_sorted</v>
      </c>
    </row>
    <row r="96" spans="1:5" hidden="1" x14ac:dyDescent="0.3">
      <c r="A96" s="55">
        <v>95</v>
      </c>
      <c r="B96" s="56" t="s">
        <v>3821</v>
      </c>
      <c r="C96" s="56" t="s">
        <v>503</v>
      </c>
      <c r="D96" s="56" t="s">
        <v>3963</v>
      </c>
      <c r="E96" s="55" t="str">
        <f>_xlfn.XLOOKUP(Table712[[#This Row],[Field/Column Name]],Table610119[id field],Table610119['#],"0 NOT found")</f>
        <v>44expanded_IMARRD_sorted</v>
      </c>
    </row>
    <row r="97" spans="1:5" hidden="1" x14ac:dyDescent="0.3">
      <c r="A97" s="55">
        <v>96</v>
      </c>
      <c r="B97" s="55" t="s">
        <v>3821</v>
      </c>
      <c r="C97" s="55" t="s">
        <v>503</v>
      </c>
      <c r="D97" s="55" t="s">
        <v>3964</v>
      </c>
      <c r="E97" s="55" t="str">
        <f>_xlfn.XLOOKUP(Table712[[#This Row],[Field/Column Name]],Table610119[id field],Table610119['#],"0 NOT found")</f>
        <v>45expanded_IMARRD_sorted</v>
      </c>
    </row>
    <row r="98" spans="1:5" hidden="1" x14ac:dyDescent="0.3">
      <c r="A98" s="55">
        <v>97</v>
      </c>
      <c r="B98" s="56" t="s">
        <v>3821</v>
      </c>
      <c r="C98" s="56" t="s">
        <v>1143</v>
      </c>
      <c r="D98" s="56" t="s">
        <v>3965</v>
      </c>
      <c r="E98" s="55" t="str">
        <f>_xlfn.XLOOKUP(Table712[[#This Row],[Field/Column Name]],Table610119[id field],Table610119['#],"0 NOT found")</f>
        <v>92expanded_IMARRD_sorted</v>
      </c>
    </row>
    <row r="99" spans="1:5" hidden="1" x14ac:dyDescent="0.3">
      <c r="A99" s="55">
        <v>98</v>
      </c>
      <c r="B99" s="55" t="s">
        <v>3821</v>
      </c>
      <c r="C99" s="55" t="s">
        <v>1143</v>
      </c>
      <c r="D99" s="55" t="s">
        <v>3966</v>
      </c>
      <c r="E99" s="55" t="str">
        <f>_xlfn.XLOOKUP(Table712[[#This Row],[Field/Column Name]],Table610119[id field],Table610119['#],"0 NOT found")</f>
        <v>93expanded_IMARRD_sorted</v>
      </c>
    </row>
    <row r="100" spans="1:5" hidden="1" x14ac:dyDescent="0.3">
      <c r="A100" s="55">
        <v>99</v>
      </c>
      <c r="B100" s="56" t="s">
        <v>3821</v>
      </c>
      <c r="C100" s="56" t="s">
        <v>1143</v>
      </c>
      <c r="D100" s="56" t="s">
        <v>3967</v>
      </c>
      <c r="E100" s="55" t="str">
        <f>_xlfn.XLOOKUP(Table712[[#This Row],[Field/Column Name]],Table610119[id field],Table610119['#],"0 NOT found")</f>
        <v>94expanded_IMARRD_sorted</v>
      </c>
    </row>
    <row r="101" spans="1:5" hidden="1" x14ac:dyDescent="0.3">
      <c r="A101" s="55">
        <v>100</v>
      </c>
      <c r="B101" s="55" t="s">
        <v>3821</v>
      </c>
      <c r="C101" s="55" t="s">
        <v>1143</v>
      </c>
      <c r="D101" s="55" t="s">
        <v>3968</v>
      </c>
      <c r="E101" s="55" t="str">
        <f>_xlfn.XLOOKUP(Table712[[#This Row],[Field/Column Name]],Table610119[id field],Table610119['#],"0 NOT found")</f>
        <v>95expanded_IMARRD_sorted</v>
      </c>
    </row>
    <row r="102" spans="1:5" hidden="1" x14ac:dyDescent="0.3">
      <c r="A102" s="55">
        <v>101</v>
      </c>
      <c r="B102" s="56" t="s">
        <v>3821</v>
      </c>
      <c r="C102" s="56" t="s">
        <v>1143</v>
      </c>
      <c r="D102" s="56" t="s">
        <v>3969</v>
      </c>
      <c r="E102" s="55" t="str">
        <f>_xlfn.XLOOKUP(Table712[[#This Row],[Field/Column Name]],Table610119[id field],Table610119['#],"0 NOT found")</f>
        <v>96expanded_IMARRD_sorted</v>
      </c>
    </row>
    <row r="103" spans="1:5" hidden="1" x14ac:dyDescent="0.3">
      <c r="A103" s="55">
        <v>102</v>
      </c>
      <c r="B103" s="55" t="s">
        <v>3821</v>
      </c>
      <c r="C103" s="55" t="s">
        <v>1143</v>
      </c>
      <c r="D103" s="55" t="s">
        <v>3970</v>
      </c>
      <c r="E103" s="55" t="str">
        <f>_xlfn.XLOOKUP(Table712[[#This Row],[Field/Column Name]],Table610119[id field],Table610119['#],"0 NOT found")</f>
        <v>97expanded_IMARRD_sorted</v>
      </c>
    </row>
    <row r="104" spans="1:5" hidden="1" x14ac:dyDescent="0.3">
      <c r="A104" s="55">
        <v>103</v>
      </c>
      <c r="B104" s="56" t="s">
        <v>3821</v>
      </c>
      <c r="C104" s="56" t="s">
        <v>1167</v>
      </c>
      <c r="D104" s="56" t="s">
        <v>3971</v>
      </c>
      <c r="E104" s="55" t="str">
        <f>_xlfn.XLOOKUP(Table712[[#This Row],[Field/Column Name]],Table610119[id field],Table610119['#],"0 NOT found")</f>
        <v>98expanded_IMARRD_sorted</v>
      </c>
    </row>
    <row r="105" spans="1:5" hidden="1" x14ac:dyDescent="0.3">
      <c r="A105" s="55">
        <v>104</v>
      </c>
      <c r="B105" s="55" t="s">
        <v>3821</v>
      </c>
      <c r="C105" s="55" t="s">
        <v>1167</v>
      </c>
      <c r="D105" s="55" t="s">
        <v>3972</v>
      </c>
      <c r="E105" s="55" t="str">
        <f>_xlfn.XLOOKUP(Table712[[#This Row],[Field/Column Name]],Table610119[id field],Table610119['#],"0 NOT found")</f>
        <v>99expanded_IMARRD_sorted</v>
      </c>
    </row>
    <row r="106" spans="1:5" hidden="1" x14ac:dyDescent="0.3">
      <c r="A106" s="55">
        <v>105</v>
      </c>
      <c r="B106" s="56" t="s">
        <v>3821</v>
      </c>
      <c r="C106" s="56" t="s">
        <v>1167</v>
      </c>
      <c r="D106" s="56" t="s">
        <v>3973</v>
      </c>
      <c r="E106" s="55" t="str">
        <f>_xlfn.XLOOKUP(Table712[[#This Row],[Field/Column Name]],Table610119[id field],Table610119['#],"0 NOT found")</f>
        <v>100expanded_IMARRD_sorted</v>
      </c>
    </row>
    <row r="107" spans="1:5" hidden="1" x14ac:dyDescent="0.3">
      <c r="A107" s="55">
        <v>106</v>
      </c>
      <c r="B107" s="55" t="s">
        <v>3821</v>
      </c>
      <c r="C107" s="55" t="s">
        <v>1167</v>
      </c>
      <c r="D107" s="55" t="s">
        <v>3974</v>
      </c>
      <c r="E107" s="55" t="str">
        <f>_xlfn.XLOOKUP(Table712[[#This Row],[Field/Column Name]],Table610119[id field],Table610119['#],"0 NOT found")</f>
        <v>101expanded_IMARRD_sorted</v>
      </c>
    </row>
    <row r="108" spans="1:5" hidden="1" x14ac:dyDescent="0.3">
      <c r="A108" s="55">
        <v>107</v>
      </c>
      <c r="B108" s="56" t="s">
        <v>3821</v>
      </c>
      <c r="C108" s="56" t="s">
        <v>1167</v>
      </c>
      <c r="D108" s="56" t="s">
        <v>3975</v>
      </c>
      <c r="E108" s="55" t="str">
        <f>_xlfn.XLOOKUP(Table712[[#This Row],[Field/Column Name]],Table610119[id field],Table610119['#],"0 NOT found")</f>
        <v>102expanded_IMARRD_sorted</v>
      </c>
    </row>
    <row r="109" spans="1:5" hidden="1" x14ac:dyDescent="0.3">
      <c r="A109" s="55">
        <v>108</v>
      </c>
      <c r="B109" s="55" t="s">
        <v>3821</v>
      </c>
      <c r="C109" s="55" t="s">
        <v>1167</v>
      </c>
      <c r="D109" s="55" t="s">
        <v>3976</v>
      </c>
      <c r="E109" s="55" t="str">
        <f>_xlfn.XLOOKUP(Table712[[#This Row],[Field/Column Name]],Table610119[id field],Table610119['#],"0 NOT found")</f>
        <v>103expanded_IMARRD_sorted</v>
      </c>
    </row>
    <row r="110" spans="1:5" hidden="1" x14ac:dyDescent="0.3">
      <c r="A110" s="55">
        <v>109</v>
      </c>
      <c r="B110" s="56" t="s">
        <v>3821</v>
      </c>
      <c r="C110" s="56" t="s">
        <v>1191</v>
      </c>
      <c r="D110" s="56" t="s">
        <v>3977</v>
      </c>
      <c r="E110" s="55" t="str">
        <f>_xlfn.XLOOKUP(Table712[[#This Row],[Field/Column Name]],Table610119[id field],Table610119['#],"0 NOT found")</f>
        <v>104expanded_IMARRD_sorted</v>
      </c>
    </row>
    <row r="111" spans="1:5" hidden="1" x14ac:dyDescent="0.3">
      <c r="A111" s="55">
        <v>110</v>
      </c>
      <c r="B111" s="55" t="s">
        <v>3821</v>
      </c>
      <c r="C111" s="55" t="s">
        <v>1191</v>
      </c>
      <c r="D111" s="55" t="s">
        <v>3978</v>
      </c>
      <c r="E111" s="55" t="str">
        <f>_xlfn.XLOOKUP(Table712[[#This Row],[Field/Column Name]],Table610119[id field],Table610119['#],"0 NOT found")</f>
        <v>105expanded_IMARRD_sorted</v>
      </c>
    </row>
    <row r="112" spans="1:5" hidden="1" x14ac:dyDescent="0.3">
      <c r="A112" s="55">
        <v>111</v>
      </c>
      <c r="B112" s="56" t="s">
        <v>3821</v>
      </c>
      <c r="C112" s="56" t="s">
        <v>1191</v>
      </c>
      <c r="D112" s="56" t="s">
        <v>3979</v>
      </c>
      <c r="E112" s="55" t="str">
        <f>_xlfn.XLOOKUP(Table712[[#This Row],[Field/Column Name]],Table610119[id field],Table610119['#],"0 NOT found")</f>
        <v>106expanded_IMARRD_sorted</v>
      </c>
    </row>
    <row r="113" spans="1:5" hidden="1" x14ac:dyDescent="0.3">
      <c r="A113" s="55">
        <v>112</v>
      </c>
      <c r="B113" s="55" t="s">
        <v>3821</v>
      </c>
      <c r="C113" s="55" t="s">
        <v>1191</v>
      </c>
      <c r="D113" s="55" t="s">
        <v>3980</v>
      </c>
      <c r="E113" s="55" t="str">
        <f>_xlfn.XLOOKUP(Table712[[#This Row],[Field/Column Name]],Table610119[id field],Table610119['#],"0 NOT found")</f>
        <v>107expanded_IMARRD_sorted</v>
      </c>
    </row>
    <row r="114" spans="1:5" hidden="1" x14ac:dyDescent="0.3">
      <c r="A114" s="55">
        <v>113</v>
      </c>
      <c r="B114" s="56" t="s">
        <v>3821</v>
      </c>
      <c r="C114" s="56" t="s">
        <v>1191</v>
      </c>
      <c r="D114" s="56" t="s">
        <v>3981</v>
      </c>
      <c r="E114" s="55" t="str">
        <f>_xlfn.XLOOKUP(Table712[[#This Row],[Field/Column Name]],Table610119[id field],Table610119['#],"0 NOT found")</f>
        <v>108expanded_IMARRD_sorted</v>
      </c>
    </row>
    <row r="115" spans="1:5" hidden="1" x14ac:dyDescent="0.3">
      <c r="A115" s="55">
        <v>114</v>
      </c>
      <c r="B115" s="55" t="s">
        <v>3821</v>
      </c>
      <c r="C115" s="55" t="s">
        <v>1191</v>
      </c>
      <c r="D115" s="55" t="s">
        <v>3982</v>
      </c>
      <c r="E115" s="55" t="str">
        <f>_xlfn.XLOOKUP(Table712[[#This Row],[Field/Column Name]],Table610119[id field],Table610119['#],"0 NOT found")</f>
        <v>109expanded_IMARRD_sorted</v>
      </c>
    </row>
    <row r="116" spans="1:5" hidden="1" x14ac:dyDescent="0.3">
      <c r="A116" s="55">
        <v>115</v>
      </c>
      <c r="B116" s="56" t="s">
        <v>3821</v>
      </c>
      <c r="C116" s="56" t="s">
        <v>555</v>
      </c>
      <c r="D116" s="56" t="s">
        <v>3983</v>
      </c>
      <c r="E116" s="55" t="str">
        <f>_xlfn.XLOOKUP(Table712[[#This Row],[Field/Column Name]],Table610119[id field],Table610119['#],"0 NOT found")</f>
        <v>52expanded_IMARRD_sorted</v>
      </c>
    </row>
    <row r="117" spans="1:5" hidden="1" x14ac:dyDescent="0.3">
      <c r="A117" s="55">
        <v>116</v>
      </c>
      <c r="B117" s="55" t="s">
        <v>3821</v>
      </c>
      <c r="C117" s="55" t="s">
        <v>3984</v>
      </c>
      <c r="D117" s="55" t="s">
        <v>3985</v>
      </c>
      <c r="E117" s="55" t="str">
        <f>_xlfn.XLOOKUP(Table712[[#This Row],[Field/Column Name]],Table610119[id field],Table610119['#],"0 NOT found")</f>
        <v>53expanded_IMARRD_sorted</v>
      </c>
    </row>
    <row r="118" spans="1:5" hidden="1" x14ac:dyDescent="0.3">
      <c r="A118" s="55">
        <v>117</v>
      </c>
      <c r="B118" s="56" t="s">
        <v>3821</v>
      </c>
      <c r="C118" s="56" t="s">
        <v>3678</v>
      </c>
      <c r="D118" s="56" t="s">
        <v>3986</v>
      </c>
      <c r="E118" s="55" t="str">
        <f>_xlfn.XLOOKUP(Table712[[#This Row],[Field/Column Name]],Table610119[id field],Table610119['#],"0 NOT found")</f>
        <v>74expanded_IMARRD_sorted</v>
      </c>
    </row>
    <row r="119" spans="1:5" x14ac:dyDescent="0.3">
      <c r="A119" s="55">
        <v>118</v>
      </c>
      <c r="B119" s="55" t="s">
        <v>3821</v>
      </c>
      <c r="C119" s="55" t="s">
        <v>3987</v>
      </c>
      <c r="D119" s="55" t="s">
        <v>3988</v>
      </c>
      <c r="E119" s="55" t="str">
        <f>_xlfn.XLOOKUP(Table712[[#This Row],[Field/Column Name]],Table610119[id field],Table610119['#],"0 NOT found")</f>
        <v>0 NOT found</v>
      </c>
    </row>
    <row r="120" spans="1:5" x14ac:dyDescent="0.3">
      <c r="A120" s="55">
        <v>119</v>
      </c>
      <c r="B120" s="56" t="s">
        <v>3821</v>
      </c>
      <c r="C120" s="56" t="s">
        <v>3989</v>
      </c>
      <c r="D120" s="56" t="s">
        <v>3990</v>
      </c>
      <c r="E120" s="55" t="str">
        <f>_xlfn.XLOOKUP(Table712[[#This Row],[Field/Column Name]],Table610119[id field],Table610119['#],"0 NOT found")</f>
        <v>0 NOT found</v>
      </c>
    </row>
    <row r="121" spans="1:5" hidden="1" x14ac:dyDescent="0.3">
      <c r="A121" s="55">
        <v>120</v>
      </c>
      <c r="B121" s="55" t="s">
        <v>3821</v>
      </c>
      <c r="C121" s="55" t="s">
        <v>578</v>
      </c>
      <c r="D121" s="55" t="s">
        <v>3991</v>
      </c>
      <c r="E121" s="55" t="str">
        <f>_xlfn.XLOOKUP(Table712[[#This Row],[Field/Column Name]],Table610119[id field],Table610119['#],"0 NOT found")</f>
        <v>57expanded_IMARRD_sorted</v>
      </c>
    </row>
    <row r="122" spans="1:5" hidden="1" x14ac:dyDescent="0.3">
      <c r="A122" s="55">
        <v>121</v>
      </c>
      <c r="B122" s="56" t="s">
        <v>3821</v>
      </c>
      <c r="C122" s="56" t="s">
        <v>591</v>
      </c>
      <c r="D122" s="56" t="s">
        <v>3992</v>
      </c>
      <c r="E122" s="55" t="str">
        <f>_xlfn.XLOOKUP(Table712[[#This Row],[Field/Column Name]],Table610119[id field],Table610119['#],"0 NOT found")</f>
        <v>58expanded_IMARRD_sorted</v>
      </c>
    </row>
    <row r="123" spans="1:5" hidden="1" x14ac:dyDescent="0.3">
      <c r="A123" s="55">
        <v>122</v>
      </c>
      <c r="B123" s="55" t="s">
        <v>3821</v>
      </c>
      <c r="C123" s="55" t="s">
        <v>604</v>
      </c>
      <c r="D123" s="55" t="s">
        <v>3993</v>
      </c>
      <c r="E123" s="55" t="str">
        <f>_xlfn.XLOOKUP(Table712[[#This Row],[Field/Column Name]],Table610119[id field],Table610119['#],"0 NOT found")</f>
        <v>59expanded_IMARRD_sorted</v>
      </c>
    </row>
    <row r="124" spans="1:5" x14ac:dyDescent="0.3">
      <c r="A124" s="55">
        <v>123</v>
      </c>
      <c r="B124" s="56" t="s">
        <v>3821</v>
      </c>
      <c r="C124" s="56" t="s">
        <v>3666</v>
      </c>
      <c r="D124" s="56" t="s">
        <v>3994</v>
      </c>
      <c r="E124" s="55" t="str">
        <f>_xlfn.XLOOKUP(Table712[[#This Row],[Field/Column Name]],Table610119[id field],Table610119['#],"0 NOT found")</f>
        <v>0 NOT found</v>
      </c>
    </row>
    <row r="125" spans="1:5" hidden="1" x14ac:dyDescent="0.3">
      <c r="A125" s="55">
        <v>124</v>
      </c>
      <c r="B125" s="55" t="s">
        <v>3821</v>
      </c>
      <c r="C125" s="55" t="s">
        <v>3995</v>
      </c>
      <c r="D125" s="55" t="s">
        <v>3996</v>
      </c>
    </row>
    <row r="126" spans="1:5" hidden="1" x14ac:dyDescent="0.3">
      <c r="A126" s="55">
        <v>125</v>
      </c>
      <c r="B126" s="55" t="s">
        <v>3821</v>
      </c>
      <c r="C126" s="55" t="s">
        <v>620</v>
      </c>
      <c r="D126" s="55" t="s">
        <v>3997</v>
      </c>
    </row>
    <row r="127" spans="1:5" hidden="1" x14ac:dyDescent="0.3">
      <c r="A127" s="55">
        <v>126</v>
      </c>
      <c r="B127" s="55" t="s">
        <v>3821</v>
      </c>
      <c r="C127" s="55" t="s">
        <v>3659</v>
      </c>
      <c r="D127" s="55" t="s">
        <v>3998</v>
      </c>
    </row>
    <row r="128" spans="1:5" hidden="1" x14ac:dyDescent="0.3">
      <c r="A128" s="55">
        <v>127</v>
      </c>
      <c r="B128" s="55" t="s">
        <v>3821</v>
      </c>
      <c r="C128" s="55" t="s">
        <v>3653</v>
      </c>
      <c r="D128" s="55" t="s">
        <v>3999</v>
      </c>
    </row>
    <row r="129" spans="1:4" hidden="1" x14ac:dyDescent="0.3">
      <c r="A129" s="55">
        <v>128</v>
      </c>
      <c r="B129" s="55" t="s">
        <v>3821</v>
      </c>
      <c r="C129" s="55" t="s">
        <v>718</v>
      </c>
      <c r="D129" s="55" t="s">
        <v>4000</v>
      </c>
    </row>
    <row r="130" spans="1:4" hidden="1" x14ac:dyDescent="0.3">
      <c r="A130" s="55">
        <v>129</v>
      </c>
      <c r="B130" s="55" t="s">
        <v>3821</v>
      </c>
      <c r="C130" s="55" t="s">
        <v>894</v>
      </c>
      <c r="D130" s="55" t="s">
        <v>4001</v>
      </c>
    </row>
    <row r="131" spans="1:4" hidden="1" x14ac:dyDescent="0.3">
      <c r="A131" s="55">
        <v>130</v>
      </c>
      <c r="B131" s="55" t="s">
        <v>3821</v>
      </c>
      <c r="C131" s="55" t="s">
        <v>955</v>
      </c>
      <c r="D131" s="55" t="s">
        <v>4002</v>
      </c>
    </row>
    <row r="132" spans="1:4" hidden="1" x14ac:dyDescent="0.3">
      <c r="A132" s="55">
        <v>131</v>
      </c>
      <c r="B132" s="55" t="s">
        <v>3821</v>
      </c>
      <c r="C132" s="55" t="s">
        <v>369</v>
      </c>
      <c r="D132" s="55" t="s">
        <v>4003</v>
      </c>
    </row>
    <row r="133" spans="1:4" hidden="1" x14ac:dyDescent="0.3">
      <c r="A133" s="55">
        <v>132</v>
      </c>
      <c r="B133" s="55" t="s">
        <v>3821</v>
      </c>
      <c r="C133" s="55" t="s">
        <v>3644</v>
      </c>
      <c r="D133" s="55" t="s">
        <v>4004</v>
      </c>
    </row>
    <row r="134" spans="1:4" hidden="1" x14ac:dyDescent="0.3">
      <c r="A134" s="55">
        <v>133</v>
      </c>
      <c r="B134" s="55" t="s">
        <v>3821</v>
      </c>
      <c r="C134" s="55" t="s">
        <v>2415</v>
      </c>
      <c r="D134" s="55" t="s">
        <v>4005</v>
      </c>
    </row>
    <row r="135" spans="1:4" hidden="1" x14ac:dyDescent="0.3">
      <c r="A135" s="55">
        <v>134</v>
      </c>
      <c r="B135" s="55" t="s">
        <v>3821</v>
      </c>
      <c r="C135" s="55" t="s">
        <v>745</v>
      </c>
      <c r="D135" s="55" t="s">
        <v>4006</v>
      </c>
    </row>
    <row r="136" spans="1:4" hidden="1" x14ac:dyDescent="0.3">
      <c r="A136" s="55">
        <v>135</v>
      </c>
      <c r="B136" s="55" t="s">
        <v>3821</v>
      </c>
      <c r="C136" s="55" t="s">
        <v>760</v>
      </c>
      <c r="D136" s="55" t="s">
        <v>4007</v>
      </c>
    </row>
    <row r="137" spans="1:4" hidden="1" x14ac:dyDescent="0.3">
      <c r="A137" s="55">
        <v>136</v>
      </c>
      <c r="B137" s="55" t="s">
        <v>3821</v>
      </c>
      <c r="C137" s="55" t="s">
        <v>4008</v>
      </c>
      <c r="D137" s="55" t="s">
        <v>4009</v>
      </c>
    </row>
    <row r="138" spans="1:4" hidden="1" x14ac:dyDescent="0.3">
      <c r="A138" s="55">
        <v>137</v>
      </c>
      <c r="B138" s="55" t="s">
        <v>3821</v>
      </c>
      <c r="C138" s="55" t="s">
        <v>4010</v>
      </c>
      <c r="D138" s="55" t="s">
        <v>4011</v>
      </c>
    </row>
    <row r="139" spans="1:4" hidden="1" x14ac:dyDescent="0.3">
      <c r="A139" s="55">
        <v>138</v>
      </c>
      <c r="B139" s="55" t="s">
        <v>3821</v>
      </c>
      <c r="C139" s="55" t="s">
        <v>4012</v>
      </c>
      <c r="D139" s="55" t="s">
        <v>4013</v>
      </c>
    </row>
    <row r="140" spans="1:4" hidden="1" x14ac:dyDescent="0.3">
      <c r="A140" s="55">
        <v>139</v>
      </c>
      <c r="B140" s="55" t="s">
        <v>3821</v>
      </c>
      <c r="C140" s="55" t="s">
        <v>4012</v>
      </c>
      <c r="D140" s="55" t="s">
        <v>4014</v>
      </c>
    </row>
    <row r="141" spans="1:4" hidden="1" x14ac:dyDescent="0.3">
      <c r="A141" s="55">
        <v>140</v>
      </c>
      <c r="B141" s="55" t="s">
        <v>3821</v>
      </c>
      <c r="C141" s="55" t="s">
        <v>4012</v>
      </c>
      <c r="D141" s="55" t="s">
        <v>4015</v>
      </c>
    </row>
    <row r="142" spans="1:4" hidden="1" x14ac:dyDescent="0.3">
      <c r="A142" s="55">
        <v>141</v>
      </c>
      <c r="B142" s="55" t="s">
        <v>3821</v>
      </c>
      <c r="C142" s="55" t="s">
        <v>4012</v>
      </c>
      <c r="D142" s="55" t="s">
        <v>4016</v>
      </c>
    </row>
    <row r="143" spans="1:4" hidden="1" x14ac:dyDescent="0.3">
      <c r="A143" s="55">
        <v>142</v>
      </c>
      <c r="B143" s="55" t="s">
        <v>3821</v>
      </c>
      <c r="C143" s="55" t="s">
        <v>4012</v>
      </c>
      <c r="D143" s="55" t="s">
        <v>4017</v>
      </c>
    </row>
    <row r="144" spans="1:4" hidden="1" x14ac:dyDescent="0.3">
      <c r="A144" s="55">
        <v>143</v>
      </c>
      <c r="B144" s="55" t="s">
        <v>3821</v>
      </c>
      <c r="C144" s="55" t="s">
        <v>4012</v>
      </c>
      <c r="D144" s="55" t="s">
        <v>4018</v>
      </c>
    </row>
    <row r="145" spans="1:4" hidden="1" x14ac:dyDescent="0.3">
      <c r="A145" s="55">
        <v>144</v>
      </c>
      <c r="B145" s="55" t="s">
        <v>3821</v>
      </c>
      <c r="C145" s="55" t="s">
        <v>1031</v>
      </c>
      <c r="D145" s="55" t="s">
        <v>4019</v>
      </c>
    </row>
    <row r="146" spans="1:4" hidden="1" x14ac:dyDescent="0.3">
      <c r="A146" s="55">
        <v>145</v>
      </c>
      <c r="B146" s="55" t="s">
        <v>3821</v>
      </c>
      <c r="C146" s="55" t="s">
        <v>4020</v>
      </c>
      <c r="D146" s="55" t="s">
        <v>4021</v>
      </c>
    </row>
    <row r="147" spans="1:4" hidden="1" x14ac:dyDescent="0.3">
      <c r="A147" s="55">
        <v>146</v>
      </c>
      <c r="B147" s="55" t="s">
        <v>3821</v>
      </c>
      <c r="C147" s="55" t="s">
        <v>3615</v>
      </c>
      <c r="D147" s="55" t="s">
        <v>4022</v>
      </c>
    </row>
    <row r="148" spans="1:4" hidden="1" x14ac:dyDescent="0.3">
      <c r="A148" s="55">
        <v>147</v>
      </c>
      <c r="B148" s="55" t="s">
        <v>3821</v>
      </c>
      <c r="C148" s="55" t="s">
        <v>4023</v>
      </c>
      <c r="D148" s="55" t="s">
        <v>4024</v>
      </c>
    </row>
    <row r="149" spans="1:4" hidden="1" x14ac:dyDescent="0.3">
      <c r="A149" s="55">
        <v>148</v>
      </c>
      <c r="B149" s="55" t="s">
        <v>3821</v>
      </c>
      <c r="C149" s="55" t="s">
        <v>3611</v>
      </c>
      <c r="D149" s="55" t="s">
        <v>4025</v>
      </c>
    </row>
    <row r="150" spans="1:4" hidden="1" x14ac:dyDescent="0.3">
      <c r="A150" s="55">
        <v>149</v>
      </c>
      <c r="B150" s="55" t="s">
        <v>3821</v>
      </c>
      <c r="C150" s="55" t="s">
        <v>3609</v>
      </c>
      <c r="D150" s="55" t="s">
        <v>4026</v>
      </c>
    </row>
    <row r="151" spans="1:4" hidden="1" x14ac:dyDescent="0.3">
      <c r="A151" s="55">
        <v>150</v>
      </c>
      <c r="B151" s="55" t="s">
        <v>3821</v>
      </c>
      <c r="C151" s="55" t="s">
        <v>3601</v>
      </c>
      <c r="D151" s="55" t="s">
        <v>4027</v>
      </c>
    </row>
    <row r="152" spans="1:4" hidden="1" x14ac:dyDescent="0.3">
      <c r="A152" s="55">
        <v>151</v>
      </c>
      <c r="B152" s="55" t="s">
        <v>3821</v>
      </c>
      <c r="C152" s="55" t="s">
        <v>4028</v>
      </c>
      <c r="D152" s="55" t="s">
        <v>4029</v>
      </c>
    </row>
    <row r="153" spans="1:4" hidden="1" x14ac:dyDescent="0.3">
      <c r="A153" s="55">
        <v>152</v>
      </c>
      <c r="B153" s="55" t="s">
        <v>3821</v>
      </c>
      <c r="C153" s="55" t="s">
        <v>4030</v>
      </c>
      <c r="D153" s="55" t="s">
        <v>4031</v>
      </c>
    </row>
    <row r="154" spans="1:4" hidden="1" x14ac:dyDescent="0.3">
      <c r="A154" s="55">
        <v>153</v>
      </c>
      <c r="B154" s="55" t="s">
        <v>3821</v>
      </c>
      <c r="C154" s="55" t="s">
        <v>4032</v>
      </c>
      <c r="D154" s="55" t="s">
        <v>4033</v>
      </c>
    </row>
    <row r="155" spans="1:4" hidden="1" x14ac:dyDescent="0.3">
      <c r="A155" s="55">
        <v>154</v>
      </c>
      <c r="B155" s="55" t="s">
        <v>3821</v>
      </c>
      <c r="C155" s="55" t="s">
        <v>3595</v>
      </c>
      <c r="D155" s="55" t="s">
        <v>4034</v>
      </c>
    </row>
    <row r="156" spans="1:4" hidden="1" x14ac:dyDescent="0.3">
      <c r="A156" s="55">
        <v>155</v>
      </c>
      <c r="B156" s="55" t="s">
        <v>3821</v>
      </c>
      <c r="C156" s="55" t="s">
        <v>4035</v>
      </c>
      <c r="D156" s="55" t="s">
        <v>4036</v>
      </c>
    </row>
    <row r="157" spans="1:4" hidden="1" x14ac:dyDescent="0.3">
      <c r="A157" s="55">
        <v>156</v>
      </c>
      <c r="B157" s="55" t="s">
        <v>3821</v>
      </c>
      <c r="C157" s="55" t="s">
        <v>1091</v>
      </c>
      <c r="D157" s="55" t="s">
        <v>4037</v>
      </c>
    </row>
    <row r="158" spans="1:4" hidden="1" x14ac:dyDescent="0.3">
      <c r="A158" s="55">
        <v>157</v>
      </c>
      <c r="B158" s="55" t="s">
        <v>3821</v>
      </c>
      <c r="C158" s="55" t="s">
        <v>786</v>
      </c>
      <c r="D158" s="55" t="s">
        <v>4038</v>
      </c>
    </row>
    <row r="159" spans="1:4" hidden="1" x14ac:dyDescent="0.3">
      <c r="A159" s="55">
        <v>158</v>
      </c>
      <c r="B159" s="55" t="s">
        <v>3821</v>
      </c>
      <c r="C159" s="55" t="s">
        <v>4039</v>
      </c>
      <c r="D159" s="55" t="s">
        <v>4040</v>
      </c>
    </row>
    <row r="160" spans="1:4" hidden="1" x14ac:dyDescent="0.3">
      <c r="A160" s="55">
        <v>159</v>
      </c>
      <c r="B160" s="55" t="s">
        <v>3821</v>
      </c>
      <c r="C160" s="55" t="s">
        <v>4041</v>
      </c>
      <c r="D160" s="55" t="s">
        <v>4042</v>
      </c>
    </row>
    <row r="161" spans="1:4" hidden="1" x14ac:dyDescent="0.3">
      <c r="A161" s="55">
        <v>160</v>
      </c>
      <c r="B161" s="55" t="s">
        <v>3821</v>
      </c>
      <c r="C161" s="55" t="s">
        <v>4043</v>
      </c>
      <c r="D161" s="55" t="s">
        <v>4044</v>
      </c>
    </row>
    <row r="162" spans="1:4" hidden="1" x14ac:dyDescent="0.3">
      <c r="A162" s="55">
        <v>161</v>
      </c>
      <c r="B162" s="55" t="s">
        <v>3821</v>
      </c>
      <c r="C162" s="55" t="s">
        <v>634</v>
      </c>
      <c r="D162" s="55" t="s">
        <v>4045</v>
      </c>
    </row>
    <row r="163" spans="1:4" hidden="1" x14ac:dyDescent="0.3">
      <c r="A163" s="55">
        <v>162</v>
      </c>
      <c r="B163" s="55" t="s">
        <v>3821</v>
      </c>
      <c r="C163" s="55" t="s">
        <v>4046</v>
      </c>
      <c r="D163" s="55" t="s">
        <v>4047</v>
      </c>
    </row>
    <row r="164" spans="1:4" hidden="1" x14ac:dyDescent="0.3">
      <c r="A164" s="55">
        <v>163</v>
      </c>
      <c r="B164" s="55" t="s">
        <v>3821</v>
      </c>
      <c r="C164" s="55" t="s">
        <v>4048</v>
      </c>
      <c r="D164" s="55" t="s">
        <v>4049</v>
      </c>
    </row>
    <row r="165" spans="1:4" hidden="1" x14ac:dyDescent="0.3">
      <c r="A165" s="55">
        <v>164</v>
      </c>
      <c r="B165" s="55" t="s">
        <v>3821</v>
      </c>
      <c r="C165" s="55" t="s">
        <v>4050</v>
      </c>
      <c r="D165" s="55" t="s">
        <v>4051</v>
      </c>
    </row>
    <row r="166" spans="1:4" hidden="1" x14ac:dyDescent="0.3">
      <c r="A166" s="55">
        <v>165</v>
      </c>
      <c r="B166" s="55" t="s">
        <v>3821</v>
      </c>
      <c r="C166" s="55" t="s">
        <v>4052</v>
      </c>
      <c r="D166" s="55" t="s">
        <v>4053</v>
      </c>
    </row>
    <row r="167" spans="1:4" hidden="1" x14ac:dyDescent="0.3">
      <c r="A167" s="55">
        <v>166</v>
      </c>
      <c r="B167" s="55" t="s">
        <v>3821</v>
      </c>
      <c r="C167" s="55" t="s">
        <v>4054</v>
      </c>
      <c r="D167" s="55" t="s">
        <v>4055</v>
      </c>
    </row>
    <row r="168" spans="1:4" hidden="1" x14ac:dyDescent="0.3">
      <c r="A168" s="55">
        <v>167</v>
      </c>
      <c r="B168" s="55" t="s">
        <v>3821</v>
      </c>
      <c r="C168" s="55" t="s">
        <v>4056</v>
      </c>
      <c r="D168" s="55" t="s">
        <v>4057</v>
      </c>
    </row>
    <row r="169" spans="1:4" hidden="1" x14ac:dyDescent="0.3">
      <c r="A169" s="55">
        <v>168</v>
      </c>
      <c r="B169" s="55" t="s">
        <v>3821</v>
      </c>
      <c r="C169" s="55" t="s">
        <v>4058</v>
      </c>
      <c r="D169" s="55" t="s">
        <v>4059</v>
      </c>
    </row>
    <row r="170" spans="1:4" hidden="1" x14ac:dyDescent="0.3">
      <c r="A170" s="55">
        <v>169</v>
      </c>
      <c r="B170" s="55" t="s">
        <v>3821</v>
      </c>
      <c r="C170" s="55" t="s">
        <v>4060</v>
      </c>
      <c r="D170" s="55" t="s">
        <v>4061</v>
      </c>
    </row>
    <row r="171" spans="1:4" hidden="1" x14ac:dyDescent="0.3">
      <c r="A171" s="55">
        <v>170</v>
      </c>
      <c r="B171" s="55" t="s">
        <v>3821</v>
      </c>
      <c r="C171" s="55" t="s">
        <v>4062</v>
      </c>
      <c r="D171" s="55" t="s">
        <v>4063</v>
      </c>
    </row>
    <row r="172" spans="1:4" hidden="1" x14ac:dyDescent="0.3">
      <c r="A172" s="55">
        <v>171</v>
      </c>
      <c r="B172" s="55" t="s">
        <v>3821</v>
      </c>
      <c r="C172" s="55" t="s">
        <v>4064</v>
      </c>
      <c r="D172" s="55" t="s">
        <v>4065</v>
      </c>
    </row>
    <row r="173" spans="1:4" hidden="1" x14ac:dyDescent="0.3">
      <c r="A173" s="55">
        <v>172</v>
      </c>
      <c r="B173" s="55" t="s">
        <v>3821</v>
      </c>
      <c r="C173" s="55" t="s">
        <v>4066</v>
      </c>
      <c r="D173" s="55" t="s">
        <v>4067</v>
      </c>
    </row>
    <row r="174" spans="1:4" hidden="1" x14ac:dyDescent="0.3">
      <c r="A174" s="55">
        <v>173</v>
      </c>
      <c r="B174" s="55" t="s">
        <v>3821</v>
      </c>
      <c r="C174" s="55" t="s">
        <v>4068</v>
      </c>
      <c r="D174" s="55" t="s">
        <v>4069</v>
      </c>
    </row>
    <row r="175" spans="1:4" hidden="1" x14ac:dyDescent="0.3">
      <c r="A175" s="55">
        <v>174</v>
      </c>
      <c r="B175" s="55" t="s">
        <v>3821</v>
      </c>
      <c r="C175" s="55" t="s">
        <v>4070</v>
      </c>
      <c r="D175" s="55" t="s">
        <v>4071</v>
      </c>
    </row>
    <row r="176" spans="1:4" hidden="1" x14ac:dyDescent="0.3">
      <c r="A176" s="55">
        <v>175</v>
      </c>
      <c r="B176" s="55" t="s">
        <v>3821</v>
      </c>
      <c r="C176" s="55" t="s">
        <v>4072</v>
      </c>
      <c r="D176" s="55" t="s">
        <v>4073</v>
      </c>
    </row>
    <row r="177" spans="1:4" hidden="1" x14ac:dyDescent="0.3">
      <c r="A177" s="55">
        <v>176</v>
      </c>
      <c r="B177" s="55" t="s">
        <v>3821</v>
      </c>
      <c r="C177" s="55" t="s">
        <v>4074</v>
      </c>
      <c r="D177" s="55" t="s">
        <v>4075</v>
      </c>
    </row>
    <row r="178" spans="1:4" hidden="1" x14ac:dyDescent="0.3">
      <c r="A178" s="55">
        <v>177</v>
      </c>
      <c r="B178" s="55" t="s">
        <v>3821</v>
      </c>
      <c r="C178" s="55" t="s">
        <v>4076</v>
      </c>
      <c r="D178" s="55" t="s">
        <v>4077</v>
      </c>
    </row>
    <row r="179" spans="1:4" hidden="1" x14ac:dyDescent="0.3">
      <c r="A179" s="55">
        <v>178</v>
      </c>
      <c r="B179" s="55" t="s">
        <v>3821</v>
      </c>
      <c r="C179" s="55" t="s">
        <v>4078</v>
      </c>
      <c r="D179" s="55" t="s">
        <v>4079</v>
      </c>
    </row>
    <row r="180" spans="1:4" hidden="1" x14ac:dyDescent="0.3">
      <c r="A180" s="55">
        <v>179</v>
      </c>
      <c r="B180" s="55" t="s">
        <v>3821</v>
      </c>
      <c r="C180" s="55" t="s">
        <v>4080</v>
      </c>
      <c r="D180" s="55" t="s">
        <v>4081</v>
      </c>
    </row>
    <row r="181" spans="1:4" hidden="1" x14ac:dyDescent="0.3">
      <c r="A181" s="55">
        <v>180</v>
      </c>
      <c r="B181" s="55" t="s">
        <v>3821</v>
      </c>
      <c r="C181" s="55" t="s">
        <v>4082</v>
      </c>
      <c r="D181" s="55" t="s">
        <v>4083</v>
      </c>
    </row>
    <row r="182" spans="1:4" hidden="1" x14ac:dyDescent="0.3">
      <c r="A182" s="55">
        <v>181</v>
      </c>
      <c r="B182" s="55" t="s">
        <v>3821</v>
      </c>
      <c r="C182" s="55" t="s">
        <v>4084</v>
      </c>
      <c r="D182" s="55" t="s">
        <v>4085</v>
      </c>
    </row>
    <row r="183" spans="1:4" hidden="1" x14ac:dyDescent="0.3">
      <c r="A183" s="55">
        <v>182</v>
      </c>
      <c r="B183" s="55" t="s">
        <v>3821</v>
      </c>
      <c r="C183" s="55" t="s">
        <v>4086</v>
      </c>
      <c r="D183" s="55" t="s">
        <v>4087</v>
      </c>
    </row>
    <row r="184" spans="1:4" hidden="1" x14ac:dyDescent="0.3">
      <c r="A184" s="55">
        <v>183</v>
      </c>
      <c r="B184" s="55" t="s">
        <v>3821</v>
      </c>
      <c r="C184" s="55" t="s">
        <v>4088</v>
      </c>
      <c r="D184" s="55" t="s">
        <v>4089</v>
      </c>
    </row>
    <row r="185" spans="1:4" hidden="1" x14ac:dyDescent="0.3">
      <c r="A185" s="55">
        <v>184</v>
      </c>
      <c r="B185" s="55" t="s">
        <v>3821</v>
      </c>
      <c r="C185" s="55" t="s">
        <v>4090</v>
      </c>
      <c r="D185" s="55" t="s">
        <v>4091</v>
      </c>
    </row>
    <row r="186" spans="1:4" hidden="1" x14ac:dyDescent="0.3">
      <c r="A186" s="55">
        <v>185</v>
      </c>
      <c r="B186" s="55" t="s">
        <v>3821</v>
      </c>
      <c r="C186" s="55" t="s">
        <v>4092</v>
      </c>
      <c r="D186" s="55" t="s">
        <v>4093</v>
      </c>
    </row>
    <row r="187" spans="1:4" hidden="1" x14ac:dyDescent="0.3">
      <c r="A187" s="55">
        <v>186</v>
      </c>
      <c r="B187" s="55" t="s">
        <v>3821</v>
      </c>
      <c r="C187" s="55" t="s">
        <v>4094</v>
      </c>
      <c r="D187" s="55" t="s">
        <v>4095</v>
      </c>
    </row>
    <row r="188" spans="1:4" hidden="1" x14ac:dyDescent="0.3">
      <c r="A188" s="55">
        <v>187</v>
      </c>
      <c r="B188" s="55" t="s">
        <v>3821</v>
      </c>
      <c r="C188" s="55" t="s">
        <v>4096</v>
      </c>
      <c r="D188" s="55" t="s">
        <v>4097</v>
      </c>
    </row>
    <row r="189" spans="1:4" hidden="1" x14ac:dyDescent="0.3">
      <c r="A189" s="55">
        <v>188</v>
      </c>
      <c r="B189" s="55" t="s">
        <v>3821</v>
      </c>
      <c r="C189" s="55" t="s">
        <v>4098</v>
      </c>
      <c r="D189" s="55" t="s">
        <v>4099</v>
      </c>
    </row>
    <row r="190" spans="1:4" hidden="1" x14ac:dyDescent="0.3">
      <c r="A190" s="55">
        <v>189</v>
      </c>
      <c r="B190" s="55" t="s">
        <v>3821</v>
      </c>
      <c r="C190" s="55" t="s">
        <v>4100</v>
      </c>
      <c r="D190" s="55" t="s">
        <v>4101</v>
      </c>
    </row>
    <row r="191" spans="1:4" hidden="1" x14ac:dyDescent="0.3">
      <c r="A191" s="55">
        <v>190</v>
      </c>
      <c r="B191" s="55" t="s">
        <v>3821</v>
      </c>
      <c r="C191" s="55" t="s">
        <v>4102</v>
      </c>
      <c r="D191" s="55" t="s">
        <v>4103</v>
      </c>
    </row>
    <row r="192" spans="1:4" hidden="1" x14ac:dyDescent="0.3">
      <c r="A192" s="55">
        <v>191</v>
      </c>
      <c r="B192" s="55" t="s">
        <v>3821</v>
      </c>
      <c r="C192" s="55" t="s">
        <v>4104</v>
      </c>
      <c r="D192" s="55" t="s">
        <v>4105</v>
      </c>
    </row>
    <row r="193" spans="1:4" hidden="1" x14ac:dyDescent="0.3">
      <c r="A193" s="55">
        <v>192</v>
      </c>
      <c r="B193" s="55" t="s">
        <v>3821</v>
      </c>
      <c r="C193" s="55" t="s">
        <v>4106</v>
      </c>
      <c r="D193" s="55" t="s">
        <v>4107</v>
      </c>
    </row>
    <row r="194" spans="1:4" hidden="1" x14ac:dyDescent="0.3">
      <c r="A194" s="55">
        <v>193</v>
      </c>
      <c r="B194" s="55" t="s">
        <v>3821</v>
      </c>
      <c r="C194" s="55" t="s">
        <v>3568</v>
      </c>
      <c r="D194" s="55" t="s">
        <v>4108</v>
      </c>
    </row>
    <row r="195" spans="1:4" hidden="1" x14ac:dyDescent="0.3">
      <c r="A195" s="55">
        <v>194</v>
      </c>
      <c r="B195" s="55" t="s">
        <v>3821</v>
      </c>
      <c r="C195" s="55" t="s">
        <v>4109</v>
      </c>
      <c r="D195" s="55" t="s">
        <v>4110</v>
      </c>
    </row>
    <row r="196" spans="1:4" hidden="1" x14ac:dyDescent="0.3">
      <c r="A196" s="55">
        <v>195</v>
      </c>
      <c r="B196" s="55" t="s">
        <v>3821</v>
      </c>
      <c r="C196" s="55" t="s">
        <v>4109</v>
      </c>
      <c r="D196" s="55" t="s">
        <v>4111</v>
      </c>
    </row>
    <row r="197" spans="1:4" hidden="1" x14ac:dyDescent="0.3">
      <c r="A197" s="55">
        <v>196</v>
      </c>
      <c r="B197" s="55" t="s">
        <v>3821</v>
      </c>
      <c r="C197" s="55" t="s">
        <v>4109</v>
      </c>
      <c r="D197" s="55" t="s">
        <v>4112</v>
      </c>
    </row>
    <row r="198" spans="1:4" hidden="1" x14ac:dyDescent="0.3">
      <c r="A198" s="55">
        <v>197</v>
      </c>
      <c r="B198" s="55" t="s">
        <v>3821</v>
      </c>
      <c r="C198" s="55" t="s">
        <v>4109</v>
      </c>
      <c r="D198" s="55" t="s">
        <v>4113</v>
      </c>
    </row>
    <row r="199" spans="1:4" hidden="1" x14ac:dyDescent="0.3">
      <c r="A199" s="55">
        <v>198</v>
      </c>
      <c r="B199" s="55" t="s">
        <v>3821</v>
      </c>
      <c r="C199" s="55" t="s">
        <v>4109</v>
      </c>
      <c r="D199" s="55" t="s">
        <v>4114</v>
      </c>
    </row>
    <row r="200" spans="1:4" hidden="1" x14ac:dyDescent="0.3">
      <c r="A200" s="55">
        <v>199</v>
      </c>
      <c r="B200" s="55" t="s">
        <v>3821</v>
      </c>
      <c r="C200" s="55" t="s">
        <v>4109</v>
      </c>
      <c r="D200" s="55" t="s">
        <v>4115</v>
      </c>
    </row>
    <row r="201" spans="1:4" hidden="1" x14ac:dyDescent="0.3">
      <c r="A201" s="55">
        <v>200</v>
      </c>
      <c r="B201" s="55" t="s">
        <v>3821</v>
      </c>
      <c r="C201" s="55" t="s">
        <v>919</v>
      </c>
      <c r="D201" s="55" t="s">
        <v>4116</v>
      </c>
    </row>
    <row r="202" spans="1:4" hidden="1" x14ac:dyDescent="0.3">
      <c r="A202" s="55">
        <v>201</v>
      </c>
      <c r="B202" s="55" t="s">
        <v>3821</v>
      </c>
      <c r="C202" s="55" t="s">
        <v>4117</v>
      </c>
      <c r="D202" s="55" t="s">
        <v>4118</v>
      </c>
    </row>
    <row r="203" spans="1:4" hidden="1" x14ac:dyDescent="0.3">
      <c r="A203" s="55">
        <v>202</v>
      </c>
      <c r="B203" s="55" t="s">
        <v>3821</v>
      </c>
      <c r="C203" s="55" t="s">
        <v>931</v>
      </c>
      <c r="D203" s="55" t="s">
        <v>4119</v>
      </c>
    </row>
    <row r="204" spans="1:4" hidden="1" x14ac:dyDescent="0.3">
      <c r="A204" s="55">
        <v>203</v>
      </c>
      <c r="B204" s="55" t="s">
        <v>3821</v>
      </c>
      <c r="C204" s="55" t="s">
        <v>4120</v>
      </c>
      <c r="D204" s="55" t="s">
        <v>4121</v>
      </c>
    </row>
    <row r="205" spans="1:4" hidden="1" x14ac:dyDescent="0.3">
      <c r="A205" s="55">
        <v>204</v>
      </c>
      <c r="B205" s="55" t="s">
        <v>3821</v>
      </c>
      <c r="C205" s="55" t="s">
        <v>207</v>
      </c>
      <c r="D205" s="55" t="s">
        <v>4122</v>
      </c>
    </row>
    <row r="206" spans="1:4" hidden="1" x14ac:dyDescent="0.3">
      <c r="A206" s="55">
        <v>205</v>
      </c>
      <c r="B206" s="55" t="s">
        <v>3821</v>
      </c>
      <c r="C206" s="55" t="s">
        <v>223</v>
      </c>
      <c r="D206" s="55" t="s">
        <v>4123</v>
      </c>
    </row>
    <row r="207" spans="1:4" hidden="1" x14ac:dyDescent="0.3">
      <c r="A207" s="55">
        <v>206</v>
      </c>
      <c r="B207" s="55" t="s">
        <v>3821</v>
      </c>
      <c r="C207" s="55" t="s">
        <v>254</v>
      </c>
      <c r="D207" s="55" t="s">
        <v>4124</v>
      </c>
    </row>
    <row r="208" spans="1:4" hidden="1" x14ac:dyDescent="0.3">
      <c r="A208" s="55">
        <v>207</v>
      </c>
      <c r="B208" s="55" t="s">
        <v>3821</v>
      </c>
      <c r="C208" s="55" t="s">
        <v>306</v>
      </c>
      <c r="D208" s="55" t="s">
        <v>4125</v>
      </c>
    </row>
    <row r="209" spans="1:4" hidden="1" x14ac:dyDescent="0.3">
      <c r="A209" s="55">
        <v>208</v>
      </c>
      <c r="B209" s="55" t="s">
        <v>3821</v>
      </c>
      <c r="C209" s="55" t="s">
        <v>4126</v>
      </c>
      <c r="D209" s="55" t="s">
        <v>4127</v>
      </c>
    </row>
    <row r="210" spans="1:4" hidden="1" x14ac:dyDescent="0.3">
      <c r="A210" s="55">
        <v>209</v>
      </c>
      <c r="B210" s="55" t="s">
        <v>3821</v>
      </c>
      <c r="C210" s="55" t="s">
        <v>4128</v>
      </c>
      <c r="D210" s="55" t="s">
        <v>4129</v>
      </c>
    </row>
    <row r="211" spans="1:4" hidden="1" x14ac:dyDescent="0.3">
      <c r="A211" s="55">
        <v>210</v>
      </c>
      <c r="B211" s="55" t="s">
        <v>3821</v>
      </c>
      <c r="C211" s="55" t="s">
        <v>4130</v>
      </c>
      <c r="D211" s="55" t="s">
        <v>4131</v>
      </c>
    </row>
    <row r="212" spans="1:4" hidden="1" x14ac:dyDescent="0.3">
      <c r="A212" s="55">
        <v>211</v>
      </c>
      <c r="B212" s="55" t="s">
        <v>3821</v>
      </c>
      <c r="C212" s="55" t="s">
        <v>4132</v>
      </c>
      <c r="D212" s="55" t="s">
        <v>4133</v>
      </c>
    </row>
    <row r="213" spans="1:4" hidden="1" x14ac:dyDescent="0.3">
      <c r="A213" s="55">
        <v>212</v>
      </c>
      <c r="B213" s="55" t="s">
        <v>3821</v>
      </c>
      <c r="C213" s="55" t="s">
        <v>4134</v>
      </c>
      <c r="D213" s="55" t="s">
        <v>4135</v>
      </c>
    </row>
    <row r="214" spans="1:4" hidden="1" x14ac:dyDescent="0.3">
      <c r="A214" s="55">
        <v>213</v>
      </c>
      <c r="B214" s="55" t="s">
        <v>3821</v>
      </c>
      <c r="C214" s="55" t="s">
        <v>4136</v>
      </c>
      <c r="D214" s="55" t="s">
        <v>4137</v>
      </c>
    </row>
    <row r="215" spans="1:4" hidden="1" x14ac:dyDescent="0.3">
      <c r="A215" s="55">
        <v>214</v>
      </c>
      <c r="B215" s="55" t="s">
        <v>3821</v>
      </c>
      <c r="C215" s="55" t="s">
        <v>4138</v>
      </c>
      <c r="D215" s="55" t="s">
        <v>4139</v>
      </c>
    </row>
    <row r="216" spans="1:4" hidden="1" x14ac:dyDescent="0.3">
      <c r="A216" s="55">
        <v>215</v>
      </c>
      <c r="B216" s="55" t="s">
        <v>3821</v>
      </c>
      <c r="C216" s="55" t="s">
        <v>4140</v>
      </c>
      <c r="D216" s="55" t="s">
        <v>4141</v>
      </c>
    </row>
    <row r="217" spans="1:4" hidden="1" x14ac:dyDescent="0.3">
      <c r="A217" s="55">
        <v>216</v>
      </c>
      <c r="B217" s="55" t="s">
        <v>3821</v>
      </c>
      <c r="C217" s="55" t="s">
        <v>4142</v>
      </c>
      <c r="D217" s="55" t="s">
        <v>4143</v>
      </c>
    </row>
    <row r="218" spans="1:4" hidden="1" x14ac:dyDescent="0.3">
      <c r="A218" s="55">
        <v>217</v>
      </c>
      <c r="B218" s="55" t="s">
        <v>3821</v>
      </c>
      <c r="C218" s="55" t="s">
        <v>4144</v>
      </c>
      <c r="D218" s="55" t="s">
        <v>4145</v>
      </c>
    </row>
    <row r="219" spans="1:4" hidden="1" x14ac:dyDescent="0.3">
      <c r="A219" s="55">
        <v>218</v>
      </c>
      <c r="B219" s="55" t="s">
        <v>3821</v>
      </c>
      <c r="C219" s="55" t="s">
        <v>4146</v>
      </c>
      <c r="D219" s="55" t="s">
        <v>4147</v>
      </c>
    </row>
    <row r="220" spans="1:4" hidden="1" x14ac:dyDescent="0.3">
      <c r="A220" s="55">
        <v>219</v>
      </c>
      <c r="B220" s="55" t="s">
        <v>3821</v>
      </c>
      <c r="C220" s="55" t="s">
        <v>4148</v>
      </c>
      <c r="D220" s="55" t="s">
        <v>4149</v>
      </c>
    </row>
    <row r="221" spans="1:4" hidden="1" x14ac:dyDescent="0.3">
      <c r="A221" s="55">
        <v>220</v>
      </c>
      <c r="B221" s="55" t="s">
        <v>3821</v>
      </c>
      <c r="C221" s="55" t="s">
        <v>4150</v>
      </c>
      <c r="D221" s="55" t="s">
        <v>4151</v>
      </c>
    </row>
    <row r="222" spans="1:4" hidden="1" x14ac:dyDescent="0.3">
      <c r="A222" s="55">
        <v>221</v>
      </c>
      <c r="B222" s="55" t="s">
        <v>3821</v>
      </c>
      <c r="C222" s="55" t="s">
        <v>851</v>
      </c>
      <c r="D222" s="55" t="s">
        <v>4152</v>
      </c>
    </row>
    <row r="223" spans="1:4" hidden="1" x14ac:dyDescent="0.3">
      <c r="A223" s="55">
        <v>222</v>
      </c>
      <c r="B223" s="55" t="s">
        <v>3821</v>
      </c>
      <c r="C223" s="55" t="s">
        <v>4153</v>
      </c>
      <c r="D223" s="55" t="s">
        <v>4154</v>
      </c>
    </row>
    <row r="224" spans="1:4" hidden="1" x14ac:dyDescent="0.3">
      <c r="A224" s="55">
        <v>223</v>
      </c>
      <c r="B224" s="55" t="s">
        <v>3821</v>
      </c>
      <c r="C224" s="55" t="s">
        <v>4155</v>
      </c>
      <c r="D224" s="55" t="s">
        <v>4156</v>
      </c>
    </row>
    <row r="225" spans="1:4" hidden="1" x14ac:dyDescent="0.3">
      <c r="A225" s="55">
        <v>224</v>
      </c>
      <c r="B225" s="55" t="s">
        <v>3821</v>
      </c>
      <c r="C225" s="55" t="s">
        <v>4157</v>
      </c>
      <c r="D225" s="55" t="s">
        <v>4158</v>
      </c>
    </row>
    <row r="226" spans="1:4" hidden="1" x14ac:dyDescent="0.3">
      <c r="A226" s="55">
        <v>225</v>
      </c>
      <c r="B226" s="55" t="s">
        <v>3821</v>
      </c>
      <c r="C226" s="55" t="s">
        <v>4159</v>
      </c>
      <c r="D226" s="55" t="s">
        <v>4160</v>
      </c>
    </row>
    <row r="227" spans="1:4" hidden="1" x14ac:dyDescent="0.3">
      <c r="A227" s="55">
        <v>226</v>
      </c>
      <c r="B227" s="55" t="s">
        <v>3821</v>
      </c>
      <c r="C227" s="55" t="s">
        <v>4161</v>
      </c>
      <c r="D227" s="55" t="s">
        <v>4162</v>
      </c>
    </row>
    <row r="228" spans="1:4" hidden="1" x14ac:dyDescent="0.3">
      <c r="A228" s="55">
        <v>227</v>
      </c>
      <c r="B228" s="55" t="s">
        <v>3821</v>
      </c>
      <c r="C228" s="55" t="s">
        <v>4163</v>
      </c>
      <c r="D228" s="55" t="s">
        <v>4164</v>
      </c>
    </row>
    <row r="229" spans="1:4" hidden="1" x14ac:dyDescent="0.3">
      <c r="A229" s="55">
        <v>228</v>
      </c>
      <c r="B229" s="55" t="s">
        <v>3821</v>
      </c>
      <c r="C229" s="55" t="s">
        <v>4165</v>
      </c>
      <c r="D229" s="55" t="s">
        <v>4166</v>
      </c>
    </row>
    <row r="230" spans="1:4" hidden="1" x14ac:dyDescent="0.3">
      <c r="A230" s="55">
        <v>229</v>
      </c>
      <c r="B230" s="55" t="s">
        <v>3821</v>
      </c>
      <c r="C230" s="55" t="s">
        <v>4167</v>
      </c>
      <c r="D230" s="55" t="s">
        <v>4168</v>
      </c>
    </row>
    <row r="231" spans="1:4" hidden="1" x14ac:dyDescent="0.3">
      <c r="A231" s="55">
        <v>230</v>
      </c>
      <c r="B231" s="55" t="s">
        <v>3821</v>
      </c>
      <c r="C231" s="55" t="s">
        <v>4169</v>
      </c>
      <c r="D231" s="55" t="s">
        <v>4170</v>
      </c>
    </row>
    <row r="232" spans="1:4" hidden="1" x14ac:dyDescent="0.3">
      <c r="A232" s="55">
        <v>231</v>
      </c>
      <c r="B232" s="55" t="s">
        <v>3821</v>
      </c>
      <c r="C232" s="55" t="s">
        <v>4171</v>
      </c>
      <c r="D232" s="55" t="s">
        <v>4172</v>
      </c>
    </row>
    <row r="233" spans="1:4" hidden="1" x14ac:dyDescent="0.3">
      <c r="A233" s="55">
        <v>232</v>
      </c>
      <c r="B233" s="55" t="s">
        <v>3821</v>
      </c>
      <c r="C233" s="55" t="s">
        <v>4173</v>
      </c>
      <c r="D233" s="55" t="s">
        <v>4174</v>
      </c>
    </row>
    <row r="234" spans="1:4" hidden="1" x14ac:dyDescent="0.3">
      <c r="A234" s="55">
        <v>233</v>
      </c>
      <c r="B234" s="55" t="s">
        <v>3821</v>
      </c>
      <c r="C234" s="55" t="s">
        <v>4175</v>
      </c>
      <c r="D234" s="55" t="s">
        <v>4176</v>
      </c>
    </row>
    <row r="235" spans="1:4" hidden="1" x14ac:dyDescent="0.3">
      <c r="A235" s="55">
        <v>234</v>
      </c>
      <c r="B235" s="55" t="s">
        <v>3821</v>
      </c>
      <c r="C235" s="55" t="s">
        <v>4177</v>
      </c>
      <c r="D235" s="55" t="s">
        <v>4178</v>
      </c>
    </row>
    <row r="236" spans="1:4" hidden="1" x14ac:dyDescent="0.3">
      <c r="A236" s="55">
        <v>235</v>
      </c>
      <c r="B236" s="55" t="s">
        <v>3821</v>
      </c>
      <c r="C236" s="55" t="s">
        <v>4179</v>
      </c>
      <c r="D236" s="55" t="s">
        <v>4180</v>
      </c>
    </row>
    <row r="237" spans="1:4" hidden="1" x14ac:dyDescent="0.3">
      <c r="A237" s="55">
        <v>236</v>
      </c>
      <c r="B237" s="55" t="s">
        <v>3821</v>
      </c>
      <c r="C237" s="55" t="s">
        <v>4181</v>
      </c>
      <c r="D237" s="55" t="s">
        <v>4182</v>
      </c>
    </row>
    <row r="238" spans="1:4" hidden="1" x14ac:dyDescent="0.3">
      <c r="A238" s="55">
        <v>237</v>
      </c>
      <c r="B238" s="55" t="s">
        <v>3821</v>
      </c>
      <c r="C238" s="55" t="s">
        <v>4183</v>
      </c>
      <c r="D238" s="55" t="s">
        <v>4184</v>
      </c>
    </row>
    <row r="239" spans="1:4" hidden="1" x14ac:dyDescent="0.3">
      <c r="A239" s="55">
        <v>238</v>
      </c>
      <c r="B239" s="55" t="s">
        <v>3821</v>
      </c>
      <c r="C239" s="55" t="s">
        <v>4185</v>
      </c>
      <c r="D239" s="55" t="s">
        <v>4186</v>
      </c>
    </row>
    <row r="240" spans="1:4" hidden="1" x14ac:dyDescent="0.3">
      <c r="A240" s="55">
        <v>239</v>
      </c>
      <c r="B240" s="55" t="s">
        <v>3821</v>
      </c>
      <c r="C240" s="55" t="s">
        <v>4187</v>
      </c>
      <c r="D240" s="55" t="s">
        <v>4188</v>
      </c>
    </row>
    <row r="241" spans="1:4" hidden="1" x14ac:dyDescent="0.3">
      <c r="A241" s="55">
        <v>240</v>
      </c>
      <c r="B241" s="55" t="s">
        <v>3821</v>
      </c>
      <c r="C241" s="55" t="s">
        <v>4189</v>
      </c>
      <c r="D241" s="55" t="s">
        <v>4190</v>
      </c>
    </row>
    <row r="242" spans="1:4" hidden="1" x14ac:dyDescent="0.3">
      <c r="A242" s="55">
        <v>241</v>
      </c>
      <c r="B242" s="55" t="s">
        <v>3821</v>
      </c>
      <c r="C242" s="55" t="s">
        <v>4191</v>
      </c>
      <c r="D242" s="55" t="s">
        <v>4192</v>
      </c>
    </row>
    <row r="243" spans="1:4" hidden="1" x14ac:dyDescent="0.3">
      <c r="A243" s="55">
        <v>242</v>
      </c>
      <c r="B243" s="55" t="s">
        <v>3821</v>
      </c>
      <c r="C243" s="55" t="s">
        <v>4193</v>
      </c>
      <c r="D243" s="55" t="s">
        <v>4194</v>
      </c>
    </row>
    <row r="244" spans="1:4" hidden="1" x14ac:dyDescent="0.3">
      <c r="A244" s="55">
        <v>243</v>
      </c>
      <c r="B244" s="55" t="s">
        <v>3821</v>
      </c>
      <c r="C244" s="55" t="s">
        <v>4195</v>
      </c>
      <c r="D244" s="55" t="s">
        <v>4196</v>
      </c>
    </row>
    <row r="245" spans="1:4" hidden="1" x14ac:dyDescent="0.3">
      <c r="A245" s="55">
        <v>244</v>
      </c>
      <c r="B245" s="55" t="s">
        <v>3821</v>
      </c>
      <c r="C245" s="55" t="s">
        <v>4197</v>
      </c>
      <c r="D245" s="55" t="s">
        <v>4198</v>
      </c>
    </row>
    <row r="246" spans="1:4" hidden="1" x14ac:dyDescent="0.3">
      <c r="A246" s="55">
        <v>245</v>
      </c>
      <c r="B246" s="55" t="s">
        <v>3821</v>
      </c>
      <c r="C246" s="55" t="s">
        <v>4199</v>
      </c>
      <c r="D246" s="55" t="s">
        <v>4200</v>
      </c>
    </row>
    <row r="247" spans="1:4" hidden="1" x14ac:dyDescent="0.3">
      <c r="A247" s="55">
        <v>246</v>
      </c>
      <c r="B247" s="55" t="s">
        <v>3821</v>
      </c>
      <c r="C247" s="55" t="s">
        <v>4201</v>
      </c>
      <c r="D247" s="55" t="s">
        <v>4202</v>
      </c>
    </row>
    <row r="248" spans="1:4" hidden="1" x14ac:dyDescent="0.3">
      <c r="A248" s="55">
        <v>247</v>
      </c>
      <c r="B248" s="55" t="s">
        <v>3821</v>
      </c>
      <c r="C248" s="55" t="s">
        <v>4203</v>
      </c>
      <c r="D248" s="55" t="s">
        <v>4204</v>
      </c>
    </row>
    <row r="249" spans="1:4" hidden="1" x14ac:dyDescent="0.3">
      <c r="A249" s="55">
        <v>248</v>
      </c>
      <c r="B249" s="55" t="s">
        <v>3821</v>
      </c>
      <c r="C249" s="55" t="s">
        <v>4205</v>
      </c>
      <c r="D249" s="55" t="s">
        <v>4206</v>
      </c>
    </row>
    <row r="250" spans="1:4" hidden="1" x14ac:dyDescent="0.3">
      <c r="A250" s="55">
        <v>249</v>
      </c>
      <c r="B250" s="55" t="s">
        <v>3821</v>
      </c>
      <c r="C250" s="55" t="s">
        <v>4207</v>
      </c>
      <c r="D250" s="55" t="s">
        <v>4208</v>
      </c>
    </row>
    <row r="251" spans="1:4" hidden="1" x14ac:dyDescent="0.3">
      <c r="A251" s="55">
        <v>250</v>
      </c>
      <c r="B251" s="55" t="s">
        <v>3821</v>
      </c>
      <c r="C251" s="55" t="s">
        <v>4209</v>
      </c>
      <c r="D251" s="55" t="s">
        <v>4210</v>
      </c>
    </row>
    <row r="252" spans="1:4" hidden="1" x14ac:dyDescent="0.3">
      <c r="A252" s="55">
        <v>251</v>
      </c>
      <c r="B252" s="55" t="s">
        <v>3821</v>
      </c>
      <c r="C252" s="55" t="s">
        <v>4211</v>
      </c>
      <c r="D252" s="55" t="s">
        <v>4212</v>
      </c>
    </row>
    <row r="253" spans="1:4" hidden="1" x14ac:dyDescent="0.3">
      <c r="A253" s="55">
        <v>252</v>
      </c>
      <c r="B253" s="55" t="s">
        <v>3821</v>
      </c>
      <c r="C253" s="55" t="s">
        <v>4213</v>
      </c>
      <c r="D253" s="55" t="s">
        <v>4214</v>
      </c>
    </row>
    <row r="254" spans="1:4" hidden="1" x14ac:dyDescent="0.3">
      <c r="A254" s="55">
        <v>253</v>
      </c>
      <c r="B254" s="55" t="s">
        <v>3821</v>
      </c>
      <c r="C254" s="55" t="s">
        <v>4215</v>
      </c>
      <c r="D254" s="55" t="s">
        <v>4216</v>
      </c>
    </row>
    <row r="255" spans="1:4" hidden="1" x14ac:dyDescent="0.3">
      <c r="A255" s="55">
        <v>254</v>
      </c>
      <c r="B255" s="55" t="s">
        <v>3821</v>
      </c>
      <c r="C255" s="55" t="s">
        <v>4217</v>
      </c>
      <c r="D255" s="55" t="s">
        <v>4218</v>
      </c>
    </row>
    <row r="256" spans="1:4" hidden="1" x14ac:dyDescent="0.3">
      <c r="A256" s="55">
        <v>255</v>
      </c>
      <c r="B256" s="55" t="s">
        <v>3821</v>
      </c>
      <c r="C256" s="55" t="s">
        <v>4219</v>
      </c>
      <c r="D256" s="55" t="s">
        <v>4220</v>
      </c>
    </row>
    <row r="257" spans="1:4" hidden="1" x14ac:dyDescent="0.3">
      <c r="A257" s="55">
        <v>256</v>
      </c>
      <c r="B257" s="55" t="s">
        <v>3821</v>
      </c>
      <c r="C257" s="55" t="s">
        <v>4221</v>
      </c>
      <c r="D257" s="55" t="s">
        <v>4222</v>
      </c>
    </row>
    <row r="258" spans="1:4" hidden="1" x14ac:dyDescent="0.3">
      <c r="A258" s="55">
        <v>257</v>
      </c>
      <c r="B258" s="55" t="s">
        <v>3821</v>
      </c>
      <c r="C258" s="55" t="s">
        <v>4223</v>
      </c>
      <c r="D258" s="55" t="s">
        <v>4224</v>
      </c>
    </row>
    <row r="259" spans="1:4" hidden="1" x14ac:dyDescent="0.3">
      <c r="A259" s="55">
        <v>258</v>
      </c>
      <c r="B259" s="55" t="s">
        <v>3821</v>
      </c>
      <c r="C259" s="55" t="s">
        <v>4225</v>
      </c>
      <c r="D259" s="55" t="s">
        <v>4226</v>
      </c>
    </row>
    <row r="260" spans="1:4" hidden="1" x14ac:dyDescent="0.3">
      <c r="A260" s="55">
        <v>259</v>
      </c>
      <c r="B260" s="55" t="s">
        <v>3821</v>
      </c>
      <c r="C260" s="55" t="s">
        <v>4227</v>
      </c>
      <c r="D260" s="55" t="s">
        <v>4228</v>
      </c>
    </row>
    <row r="261" spans="1:4" hidden="1" x14ac:dyDescent="0.3">
      <c r="A261" s="55">
        <v>260</v>
      </c>
      <c r="B261" s="55" t="s">
        <v>3821</v>
      </c>
      <c r="C261" s="55" t="s">
        <v>4229</v>
      </c>
      <c r="D261" s="55" t="s">
        <v>4230</v>
      </c>
    </row>
  </sheetData>
  <conditionalFormatting sqref="E2:E261">
    <cfRule type="duplicateValues" dxfId="14" priority="1"/>
  </conditionalFormatting>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A5D32-2F82-4454-8372-248BECF0070A}">
  <sheetPr>
    <tabColor theme="9" tint="0.79998168889431442"/>
  </sheetPr>
  <dimension ref="A1:AF56"/>
  <sheetViews>
    <sheetView topLeftCell="AA1" zoomScale="85" zoomScaleNormal="85" workbookViewId="0">
      <selection activeCell="AF2" sqref="AF2"/>
    </sheetView>
  </sheetViews>
  <sheetFormatPr defaultColWidth="9.109375" defaultRowHeight="14.4" x14ac:dyDescent="0.3"/>
  <cols>
    <col min="1" max="1" width="6.33203125" style="28" customWidth="1"/>
    <col min="2" max="2" width="6.21875" style="28" hidden="1" customWidth="1"/>
    <col min="3" max="3" width="5.77734375" style="28" hidden="1" customWidth="1"/>
    <col min="4" max="4" width="6.21875" style="28" hidden="1" customWidth="1"/>
    <col min="5" max="5" width="9.109375" style="28"/>
    <col min="6" max="6" width="14.88671875" style="28" hidden="1" customWidth="1"/>
    <col min="7" max="7" width="6" style="28" hidden="1" customWidth="1"/>
    <col min="8" max="8" width="12.109375" style="28" customWidth="1"/>
    <col min="9" max="9" width="16" style="28" customWidth="1"/>
    <col min="10" max="10" width="7.44140625" style="28" hidden="1" customWidth="1"/>
    <col min="11" max="11" width="13.33203125" style="28" hidden="1" customWidth="1"/>
    <col min="12" max="12" width="12.5546875" style="28" hidden="1" customWidth="1"/>
    <col min="13" max="13" width="8.44140625" style="28" customWidth="1"/>
    <col min="14" max="14" width="9.109375" style="28" hidden="1" customWidth="1"/>
    <col min="15" max="15" width="26.5546875" style="28" hidden="1" customWidth="1"/>
    <col min="16" max="16" width="16.88671875" style="28" hidden="1" customWidth="1"/>
    <col min="17" max="17" width="9.109375" style="28" hidden="1" customWidth="1"/>
    <col min="18" max="18" width="25.44140625" style="28" customWidth="1"/>
    <col min="19" max="19" width="19.5546875" style="28" hidden="1" customWidth="1"/>
    <col min="20" max="20" width="9.109375" style="28" hidden="1" customWidth="1"/>
    <col min="21" max="21" width="15.88671875" style="28" hidden="1" customWidth="1"/>
    <col min="22" max="22" width="14.5546875" style="28" hidden="1" customWidth="1"/>
    <col min="23" max="23" width="96.33203125" style="22" customWidth="1"/>
    <col min="24" max="24" width="97" style="22" hidden="1" customWidth="1"/>
    <col min="25" max="25" width="20" style="28" hidden="1" customWidth="1"/>
    <col min="26" max="26" width="12.5546875" style="28" hidden="1" customWidth="1"/>
    <col min="27" max="27" width="44.6640625" style="28" customWidth="1"/>
    <col min="28" max="28" width="23" style="28" customWidth="1"/>
    <col min="29" max="29" width="9.109375" style="28"/>
    <col min="30" max="30" width="135" style="28" customWidth="1"/>
    <col min="31" max="31" width="31.6640625" style="28" customWidth="1"/>
    <col min="32" max="16384" width="9.109375" style="28"/>
  </cols>
  <sheetData>
    <row r="1" spans="1:32" s="22" customFormat="1" ht="27.6" customHeight="1" x14ac:dyDescent="0.3">
      <c r="A1" s="22" t="s">
        <v>0</v>
      </c>
      <c r="B1" s="23" t="s">
        <v>1</v>
      </c>
      <c r="C1" s="23" t="s">
        <v>2</v>
      </c>
      <c r="D1" s="23" t="s">
        <v>3</v>
      </c>
      <c r="E1" s="24" t="s">
        <v>3075</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21</v>
      </c>
      <c r="V1" s="1" t="s">
        <v>22</v>
      </c>
      <c r="W1" s="18" t="s">
        <v>1228</v>
      </c>
      <c r="X1" s="19" t="s">
        <v>24</v>
      </c>
      <c r="Y1" s="20" t="s">
        <v>25</v>
      </c>
      <c r="Z1" s="20" t="s">
        <v>26</v>
      </c>
      <c r="AA1" s="20" t="s">
        <v>27</v>
      </c>
      <c r="AB1" s="20" t="s">
        <v>28</v>
      </c>
      <c r="AC1" s="25" t="s">
        <v>3076</v>
      </c>
      <c r="AD1" s="26" t="s">
        <v>3077</v>
      </c>
      <c r="AE1" s="27" t="s">
        <v>3078</v>
      </c>
      <c r="AF1" s="22" t="s">
        <v>3540</v>
      </c>
    </row>
    <row r="2" spans="1:32" ht="18.75" customHeight="1" x14ac:dyDescent="0.3">
      <c r="A2" s="28" t="str">
        <f>ROW(A1)&amp;"expanded_IMFLDR_sorted"</f>
        <v>1expanded_IMFLDR_sorted</v>
      </c>
      <c r="B2" s="28">
        <f>IF(H1=H2,B1,B1+1)</f>
        <v>1</v>
      </c>
      <c r="C2" s="28">
        <f>IF(I1=I2,C1,C1+1)</f>
        <v>2</v>
      </c>
      <c r="D2" s="28">
        <f>IF(M1=M2,D1,D1+1)</f>
        <v>3</v>
      </c>
      <c r="E2" s="51" t="s">
        <v>32</v>
      </c>
      <c r="F2" s="28" t="s">
        <v>8</v>
      </c>
      <c r="G2" s="28">
        <v>334</v>
      </c>
      <c r="H2" s="29" t="s">
        <v>33</v>
      </c>
      <c r="I2" s="30" t="s">
        <v>66</v>
      </c>
      <c r="J2" s="28" t="s">
        <v>34</v>
      </c>
      <c r="K2" s="28" t="s">
        <v>67</v>
      </c>
      <c r="L2" s="28" t="s">
        <v>36</v>
      </c>
      <c r="M2" s="31" t="s">
        <v>87</v>
      </c>
      <c r="N2" s="28" t="s">
        <v>66</v>
      </c>
      <c r="O2" s="28" t="s">
        <v>88</v>
      </c>
      <c r="P2" s="28" t="s">
        <v>89</v>
      </c>
      <c r="Q2" s="22" t="s">
        <v>70</v>
      </c>
      <c r="R2" s="28" t="s">
        <v>71</v>
      </c>
      <c r="S2" s="28" t="s">
        <v>72</v>
      </c>
      <c r="W2" s="22" t="s">
        <v>74</v>
      </c>
      <c r="X2" s="22" t="s">
        <v>88</v>
      </c>
      <c r="Y2" s="28" t="s">
        <v>45</v>
      </c>
      <c r="Z2" s="28" t="s">
        <v>90</v>
      </c>
      <c r="AA2" s="28" t="s">
        <v>91</v>
      </c>
      <c r="AB2" s="28" t="s">
        <v>92</v>
      </c>
      <c r="AC2" s="28" t="str">
        <f>SUBSTITUTE(Table33[[#This Row],[field name]],"field: ","")</f>
        <v>"IFCITY"</v>
      </c>
      <c r="AD2" s="28" t="str">
        <f>SUBSTITUTE((CLEAN(TRIM(Table33[[#This Row],[field id]]))&amp;": "&amp;CHAR(34)&amp;Table33[[#This Row],[&lt;&lt;NOLA_Exchange&gt;&gt;
Booking]]&amp;CHAR(34)&amp;CHAR(44)),"/nola:BookingExchange","")</f>
        <v>"IFCITY": "/j:Booking/j:BookingSubject/RoleOfPerson/PersonContactInformation/ContactMailingAddress/AddressCityName",</v>
      </c>
      <c r="AE2" s="32" t="str">
        <f>_xlfn.XLOOKUP(Table33[[#This Row],[&lt;&lt;NOLA_Exchange&gt;&gt;
Booking]],Table264[XPATHS],Table264['#],"DNE")</f>
        <v>97rel_xpath</v>
      </c>
      <c r="AF2" s="28" t="str">
        <f>SUBSTITUTE(Table33[[#This Row],[field id]],CHAR(34),"")</f>
        <v>IFCITY</v>
      </c>
    </row>
    <row r="3" spans="1:32" ht="30" customHeight="1" x14ac:dyDescent="0.3">
      <c r="A3" s="28" t="str">
        <f t="shared" ref="A3:A56" si="0">ROW(A2)&amp;"expanded_IMFLDR_sorted"</f>
        <v>2expanded_IMFLDR_sorted</v>
      </c>
      <c r="B3" s="28" t="e">
        <f>IF(#REF!=H3,#REF!,#REF!+1)</f>
        <v>#REF!</v>
      </c>
      <c r="C3" s="28" t="e">
        <f>IF(#REF!=I3,#REF!,#REF!+1)</f>
        <v>#REF!</v>
      </c>
      <c r="D3" s="28" t="e">
        <f>IF(#REF!=M3,#REF!,#REF!+1)</f>
        <v>#REF!</v>
      </c>
      <c r="E3" s="51" t="s">
        <v>32</v>
      </c>
      <c r="F3" s="28" t="s">
        <v>8</v>
      </c>
      <c r="G3" s="28">
        <v>335</v>
      </c>
      <c r="H3" s="29" t="s">
        <v>33</v>
      </c>
      <c r="I3" s="30" t="s">
        <v>129</v>
      </c>
      <c r="J3" s="28" t="s">
        <v>34</v>
      </c>
      <c r="K3" s="28" t="s">
        <v>130</v>
      </c>
      <c r="L3" s="28" t="s">
        <v>36</v>
      </c>
      <c r="M3" s="31" t="s">
        <v>87</v>
      </c>
      <c r="N3" s="28" t="s">
        <v>129</v>
      </c>
      <c r="O3" s="28" t="s">
        <v>149</v>
      </c>
      <c r="P3" s="28" t="s">
        <v>150</v>
      </c>
      <c r="Q3" s="28" t="s">
        <v>133</v>
      </c>
      <c r="R3" s="28" t="s">
        <v>134</v>
      </c>
      <c r="S3" s="28" t="s">
        <v>42</v>
      </c>
      <c r="W3" s="22" t="s">
        <v>136</v>
      </c>
      <c r="X3" s="28" t="s">
        <v>149</v>
      </c>
      <c r="Y3" s="28" t="s">
        <v>45</v>
      </c>
      <c r="Z3" s="28" t="s">
        <v>90</v>
      </c>
      <c r="AA3" s="28" t="s">
        <v>137</v>
      </c>
      <c r="AB3" s="28" t="s">
        <v>151</v>
      </c>
      <c r="AC3" s="28" t="str">
        <f>SUBSTITUTE(Table33[[#This Row],[field name]],"field: ","")</f>
        <v>"IFABRN"</v>
      </c>
      <c r="AD3" s="28" t="str">
        <f>SUBSTITUTE((CLEAN(TRIM(Table33[[#This Row],[field id]]))&amp;": "&amp;CHAR(34)&amp;Table33[[#This Row],[&lt;&lt;NOLA_Exchange&gt;&gt;
Booking]]&amp;CHAR(34)&amp;CHAR(44)),"/nola:BookingExchange","")</f>
        <v>"IFABRN": "/j:Booking/j:BookingSubject/RoleOfPerson/PersonContactInformation/ContactMailingAddress/AddressSecondaryUnitText",</v>
      </c>
      <c r="AE3" s="32" t="str">
        <f>_xlfn.XLOOKUP(Table33[[#This Row],[&lt;&lt;NOLA_Exchange&gt;&gt;
Booking]],Table264[XPATHS],Table264['#],"DNE")</f>
        <v>86rel_xpath</v>
      </c>
      <c r="AF3" s="28" t="str">
        <f>SUBSTITUTE(Table33[[#This Row],[field id]],CHAR(34),"")</f>
        <v>IFABRN</v>
      </c>
    </row>
    <row r="4" spans="1:32" ht="30" customHeight="1" x14ac:dyDescent="0.3">
      <c r="A4" s="28" t="str">
        <f t="shared" si="0"/>
        <v>3expanded_IMFLDR_sorted</v>
      </c>
      <c r="B4" s="28" t="e">
        <f>IF(#REF!=H4,#REF!,#REF!+1)</f>
        <v>#REF!</v>
      </c>
      <c r="C4" s="28" t="e">
        <f>IF(#REF!=I4,#REF!,#REF!+1)</f>
        <v>#REF!</v>
      </c>
      <c r="D4" s="28" t="e">
        <f>IF(#REF!=M4,#REF!,#REF!+1)</f>
        <v>#REF!</v>
      </c>
      <c r="E4" s="51" t="s">
        <v>32</v>
      </c>
      <c r="F4" s="38" t="s">
        <v>8</v>
      </c>
      <c r="G4" s="38">
        <v>337</v>
      </c>
      <c r="H4" s="39" t="s">
        <v>33</v>
      </c>
      <c r="I4" s="40" t="s">
        <v>152</v>
      </c>
      <c r="J4" s="38" t="s">
        <v>153</v>
      </c>
      <c r="K4" s="38" t="s">
        <v>154</v>
      </c>
      <c r="L4" s="38" t="s">
        <v>36</v>
      </c>
      <c r="M4" s="41" t="s">
        <v>182</v>
      </c>
      <c r="N4" s="38" t="s">
        <v>152</v>
      </c>
      <c r="O4" s="38" t="s">
        <v>183</v>
      </c>
      <c r="P4" s="42" t="s">
        <v>184</v>
      </c>
      <c r="Q4" s="42" t="s">
        <v>157</v>
      </c>
      <c r="R4" s="38" t="s">
        <v>158</v>
      </c>
      <c r="S4" s="38" t="s">
        <v>159</v>
      </c>
      <c r="T4" s="38"/>
      <c r="U4" s="38"/>
      <c r="V4" s="38"/>
      <c r="W4" s="42" t="s">
        <v>161</v>
      </c>
      <c r="X4" s="42" t="s">
        <v>183</v>
      </c>
      <c r="Y4" s="38" t="s">
        <v>45</v>
      </c>
      <c r="Z4" s="38" t="s">
        <v>90</v>
      </c>
      <c r="AA4" s="38" t="s">
        <v>162</v>
      </c>
      <c r="AB4" s="38" t="s">
        <v>185</v>
      </c>
      <c r="AC4" s="28" t="str">
        <f>SUBSTITUTE(Table33[[#This Row],[field name]],"field: ","")</f>
        <v>"IFABRC"</v>
      </c>
      <c r="AD4" s="28" t="str">
        <f>SUBSTITUTE((CLEAN(TRIM(Table33[[#This Row],[field id]]))&amp;": "&amp;CHAR(34)&amp;Table33[[#This Row],[&lt;&lt;NOLA_Exchange&gt;&gt;
Booking]]&amp;CHAR(34)&amp;CHAR(44)),"/nola:BookingExchange","")</f>
        <v>"IFABRC": "/j:Booking/j:BookingSubject/RoleOfPerson/PersonContactInformation/ContactMailingAddress/AddressDeliveryPointID",</v>
      </c>
      <c r="AE4" s="32" t="str">
        <f>_xlfn.XLOOKUP(Table33[[#This Row],[&lt;&lt;NOLA_Exchange&gt;&gt;
Booking]],Table264[XPATHS],Table264['#],"DNE")</f>
        <v>95rel_xpath</v>
      </c>
      <c r="AF4" s="28" t="str">
        <f>SUBSTITUTE(Table33[[#This Row],[field id]],CHAR(34),"")</f>
        <v>IFABRC</v>
      </c>
    </row>
    <row r="5" spans="1:32" ht="30" customHeight="1" x14ac:dyDescent="0.3">
      <c r="A5" s="28" t="str">
        <f t="shared" si="0"/>
        <v>4expanded_IMFLDR_sorted</v>
      </c>
      <c r="B5" s="28" t="e">
        <f>IF(#REF!=H5,#REF!,#REF!+1)</f>
        <v>#REF!</v>
      </c>
      <c r="C5" s="28" t="e">
        <f>IF(#REF!=I5,#REF!,#REF!+1)</f>
        <v>#REF!</v>
      </c>
      <c r="D5" s="28" t="e">
        <f>IF(#REF!=M5,#REF!,#REF!+1)</f>
        <v>#REF!</v>
      </c>
      <c r="E5" s="51" t="s">
        <v>32</v>
      </c>
      <c r="F5" s="38" t="s">
        <v>8</v>
      </c>
      <c r="G5" s="38">
        <v>339</v>
      </c>
      <c r="H5" s="39" t="s">
        <v>33</v>
      </c>
      <c r="I5" s="40" t="s">
        <v>186</v>
      </c>
      <c r="J5" s="38" t="s">
        <v>153</v>
      </c>
      <c r="K5" s="38" t="s">
        <v>94</v>
      </c>
      <c r="L5" s="38" t="s">
        <v>36</v>
      </c>
      <c r="M5" s="41" t="s">
        <v>49</v>
      </c>
      <c r="N5" s="38" t="s">
        <v>186</v>
      </c>
      <c r="O5" s="38" t="s">
        <v>203</v>
      </c>
      <c r="P5" s="42" t="s">
        <v>204</v>
      </c>
      <c r="Q5" s="42" t="s">
        <v>189</v>
      </c>
      <c r="R5" s="38" t="s">
        <v>190</v>
      </c>
      <c r="S5" s="38" t="s">
        <v>191</v>
      </c>
      <c r="T5" s="38"/>
      <c r="U5" s="38"/>
      <c r="V5" s="38" t="s">
        <v>191</v>
      </c>
      <c r="W5" s="50" t="s">
        <v>110</v>
      </c>
      <c r="X5" s="42" t="s">
        <v>203</v>
      </c>
      <c r="Y5" s="38" t="s">
        <v>45</v>
      </c>
      <c r="Z5" s="38" t="s">
        <v>90</v>
      </c>
      <c r="AA5" s="38" t="s">
        <v>205</v>
      </c>
      <c r="AB5" s="38" t="s">
        <v>206</v>
      </c>
      <c r="AC5" s="28" t="str">
        <f>SUBSTITUTE(Table33[[#This Row],[field name]],"field: ","")</f>
        <v>"IFSTCD"</v>
      </c>
      <c r="AD5" s="28" t="str">
        <f>SUBSTITUTE((CLEAN(TRIM(Table33[[#This Row],[field id]]))&amp;": "&amp;CHAR(34)&amp;Table33[[#This Row],[&lt;&lt;NOLA_Exchange&gt;&gt;
Booking]]&amp;CHAR(34)&amp;CHAR(44)),"/nola:BookingExchange","")</f>
        <v>"IFSTCD": "/j:Booking/j:BookingSubject/RoleOfPerson/PersonContactInformation/ContactMailingAddress/AddressState/StateName",</v>
      </c>
      <c r="AE5" s="32" t="str">
        <f>_xlfn.XLOOKUP(Table33[[#This Row],[&lt;&lt;NOLA_Exchange&gt;&gt;
Booking]],Table264[XPATHS],Table264['#],"DNE")</f>
        <v>99rel_xpath</v>
      </c>
      <c r="AF5" s="28" t="str">
        <f>SUBSTITUTE(Table33[[#This Row],[field id]],CHAR(34),"")</f>
        <v>IFSTCD</v>
      </c>
    </row>
    <row r="6" spans="1:32" ht="30" customHeight="1" x14ac:dyDescent="0.3">
      <c r="A6" s="28" t="str">
        <f t="shared" si="0"/>
        <v>5expanded_IMFLDR_sorted</v>
      </c>
      <c r="B6" s="28" t="e">
        <f>IF(#REF!=H6,#REF!,#REF!+1)</f>
        <v>#REF!</v>
      </c>
      <c r="C6" s="28" t="e">
        <f>IF(#REF!=I6,#REF!,#REF!+1)</f>
        <v>#REF!</v>
      </c>
      <c r="D6" s="28" t="e">
        <f>IF(#REF!=M6,#REF!,#REF!+1)</f>
        <v>#REF!</v>
      </c>
      <c r="E6" s="51" t="s">
        <v>32</v>
      </c>
      <c r="F6" s="38" t="s">
        <v>8</v>
      </c>
      <c r="G6" s="38">
        <v>341</v>
      </c>
      <c r="H6" s="39" t="s">
        <v>33</v>
      </c>
      <c r="I6" s="40" t="s">
        <v>223</v>
      </c>
      <c r="J6" s="38" t="s">
        <v>34</v>
      </c>
      <c r="K6" s="38" t="s">
        <v>224</v>
      </c>
      <c r="L6" s="38" t="s">
        <v>36</v>
      </c>
      <c r="M6" s="41" t="s">
        <v>182</v>
      </c>
      <c r="N6" s="38" t="s">
        <v>223</v>
      </c>
      <c r="O6" s="38" t="s">
        <v>251</v>
      </c>
      <c r="P6" s="42" t="s">
        <v>252</v>
      </c>
      <c r="Q6" s="42" t="s">
        <v>227</v>
      </c>
      <c r="R6" s="38" t="s">
        <v>228</v>
      </c>
      <c r="S6" s="38" t="s">
        <v>72</v>
      </c>
      <c r="T6" s="38"/>
      <c r="U6" s="38"/>
      <c r="V6" s="38"/>
      <c r="W6" s="42" t="s">
        <v>230</v>
      </c>
      <c r="X6" s="42" t="s">
        <v>251</v>
      </c>
      <c r="Y6" s="38" t="s">
        <v>45</v>
      </c>
      <c r="Z6" s="38" t="s">
        <v>90</v>
      </c>
      <c r="AA6" s="38" t="s">
        <v>231</v>
      </c>
      <c r="AB6" s="38" t="s">
        <v>253</v>
      </c>
      <c r="AC6" s="28" t="str">
        <f>SUBSTITUTE(Table33[[#This Row],[field name]],"field: ","")</f>
        <v>"IFSTNM"</v>
      </c>
      <c r="AD6" s="28" t="str">
        <f>SUBSTITUTE((CLEAN(TRIM(Table33[[#This Row],[field id]]))&amp;": "&amp;CHAR(34)&amp;Table33[[#This Row],[&lt;&lt;NOLA_Exchange&gt;&gt;
Booking]]&amp;CHAR(34)&amp;CHAR(44)),"/nola:BookingExchange","")</f>
        <v>"IFSTNM": "/j:Booking/j:BookingSubject/RoleOfPerson/PersonContactInformation/ContactMailingAddress/AddressStreet/StreetName",</v>
      </c>
      <c r="AE6" s="32" t="str">
        <f>_xlfn.XLOOKUP(Table33[[#This Row],[&lt;&lt;NOLA_Exchange&gt;&gt;
Booking]],Table264[XPATHS],Table264['#],"DNE")</f>
        <v>92rel_xpath</v>
      </c>
      <c r="AF6" s="28" t="str">
        <f>SUBSTITUTE(Table33[[#This Row],[field id]],CHAR(34),"")</f>
        <v>IFSTNM</v>
      </c>
    </row>
    <row r="7" spans="1:32" ht="30" customHeight="1" x14ac:dyDescent="0.3">
      <c r="A7" s="28" t="str">
        <f t="shared" si="0"/>
        <v>6expanded_IMFLDR_sorted</v>
      </c>
      <c r="B7" s="28" t="e">
        <f>IF(#REF!=H7,#REF!,#REF!+1)</f>
        <v>#REF!</v>
      </c>
      <c r="C7" s="28" t="e">
        <f>IF(#REF!=I7,#REF!,#REF!+1)</f>
        <v>#REF!</v>
      </c>
      <c r="D7" s="28" t="e">
        <f>IF(#REF!=M7,#REF!,#REF!+1)</f>
        <v>#REF!</v>
      </c>
      <c r="E7" s="51" t="s">
        <v>32</v>
      </c>
      <c r="F7" s="38" t="s">
        <v>8</v>
      </c>
      <c r="G7" s="38">
        <v>342</v>
      </c>
      <c r="H7" s="39" t="s">
        <v>33</v>
      </c>
      <c r="I7" s="40" t="s">
        <v>254</v>
      </c>
      <c r="J7" s="38" t="s">
        <v>34</v>
      </c>
      <c r="K7" s="38" t="s">
        <v>255</v>
      </c>
      <c r="L7" s="38" t="s">
        <v>36</v>
      </c>
      <c r="M7" s="41" t="s">
        <v>182</v>
      </c>
      <c r="N7" s="38" t="s">
        <v>254</v>
      </c>
      <c r="O7" s="38" t="s">
        <v>283</v>
      </c>
      <c r="P7" s="42" t="s">
        <v>284</v>
      </c>
      <c r="Q7" s="42" t="s">
        <v>258</v>
      </c>
      <c r="R7" s="38" t="s">
        <v>259</v>
      </c>
      <c r="S7" s="38" t="s">
        <v>42</v>
      </c>
      <c r="T7" s="38"/>
      <c r="U7" s="38"/>
      <c r="V7" s="38"/>
      <c r="W7" s="42" t="s">
        <v>261</v>
      </c>
      <c r="X7" s="42" t="s">
        <v>283</v>
      </c>
      <c r="Y7" s="38" t="s">
        <v>45</v>
      </c>
      <c r="Z7" s="38" t="s">
        <v>90</v>
      </c>
      <c r="AA7" s="38" t="s">
        <v>262</v>
      </c>
      <c r="AB7" s="38" t="s">
        <v>285</v>
      </c>
      <c r="AC7" s="28" t="str">
        <f>SUBSTITUTE(Table33[[#This Row],[field name]],"field: ","")</f>
        <v>"IFSTNO"</v>
      </c>
      <c r="AD7" s="28" t="str">
        <f>SUBSTITUTE((CLEAN(TRIM(Table33[[#This Row],[field id]]))&amp;": "&amp;CHAR(34)&amp;Table33[[#This Row],[&lt;&lt;NOLA_Exchange&gt;&gt;
Booking]]&amp;CHAR(34)&amp;CHAR(44)),"/nola:BookingExchange","")</f>
        <v>"IFSTNO": "/j:Booking/j:BookingSubject/RoleOfPerson/PersonContactInformation/ContactMailingAddress/AddressStreet/StreetNumberText",</v>
      </c>
      <c r="AE7" s="32" t="str">
        <f>_xlfn.XLOOKUP(Table33[[#This Row],[&lt;&lt;NOLA_Exchange&gt;&gt;
Booking]],Table264[XPATHS],Table264['#],"DNE")</f>
        <v>89rel_xpath</v>
      </c>
      <c r="AF7" s="28" t="str">
        <f>SUBSTITUTE(Table33[[#This Row],[field id]],CHAR(34),"")</f>
        <v>IFSTNO</v>
      </c>
    </row>
    <row r="8" spans="1:32" ht="30" customHeight="1" x14ac:dyDescent="0.3">
      <c r="A8" s="28" t="str">
        <f t="shared" si="0"/>
        <v>7expanded_IMFLDR_sorted</v>
      </c>
      <c r="B8" s="28" t="e">
        <f>IF(#REF!=H8,#REF!,#REF!+1)</f>
        <v>#REF!</v>
      </c>
      <c r="C8" s="28" t="e">
        <f>IF(#REF!=I8,#REF!,#REF!+1)</f>
        <v>#REF!</v>
      </c>
      <c r="D8" s="28" t="e">
        <f>IF(#REF!=M8,#REF!,#REF!+1)</f>
        <v>#REF!</v>
      </c>
      <c r="E8" s="51" t="s">
        <v>32</v>
      </c>
      <c r="F8" s="38" t="s">
        <v>8</v>
      </c>
      <c r="G8" s="38">
        <v>343</v>
      </c>
      <c r="H8" s="39" t="s">
        <v>33</v>
      </c>
      <c r="I8" s="40" t="s">
        <v>286</v>
      </c>
      <c r="J8" s="38" t="s">
        <v>34</v>
      </c>
      <c r="K8" s="38" t="s">
        <v>287</v>
      </c>
      <c r="L8" s="38" t="s">
        <v>36</v>
      </c>
      <c r="M8" s="41" t="s">
        <v>49</v>
      </c>
      <c r="N8" s="38" t="s">
        <v>286</v>
      </c>
      <c r="O8" s="38" t="s">
        <v>302</v>
      </c>
      <c r="P8" s="42" t="s">
        <v>303</v>
      </c>
      <c r="Q8" s="42" t="s">
        <v>290</v>
      </c>
      <c r="R8" s="38" t="s">
        <v>291</v>
      </c>
      <c r="S8" s="38" t="s">
        <v>42</v>
      </c>
      <c r="T8" s="38"/>
      <c r="U8" s="38"/>
      <c r="V8" s="38"/>
      <c r="W8" s="42" t="s">
        <v>293</v>
      </c>
      <c r="X8" s="42" t="s">
        <v>302</v>
      </c>
      <c r="Y8" s="38" t="s">
        <v>45</v>
      </c>
      <c r="Z8" s="38" t="s">
        <v>90</v>
      </c>
      <c r="AA8" s="38" t="s">
        <v>304</v>
      </c>
      <c r="AB8" s="38" t="s">
        <v>305</v>
      </c>
      <c r="AC8" s="28" t="str">
        <f>SUBSTITUTE(Table33[[#This Row],[field name]],"field: ","")</f>
        <v>"IFSTPF"</v>
      </c>
      <c r="AD8" s="28" t="str">
        <f>SUBSTITUTE((CLEAN(TRIM(Table33[[#This Row],[field id]]))&amp;": "&amp;CHAR(34)&amp;Table33[[#This Row],[&lt;&lt;NOLA_Exchange&gt;&gt;
Booking]]&amp;CHAR(34)&amp;CHAR(44)),"/nola:BookingExchange","")</f>
        <v>"IFSTPF": "/j:Booking/j:BookingSubject/RoleOfPerson/PersonContactInformation/ContactMailingAddress/AddressStreet/StreetPredirectional/StreetDirectionalText",</v>
      </c>
      <c r="AE8" s="32" t="str">
        <f>_xlfn.XLOOKUP(Table33[[#This Row],[&lt;&lt;NOLA_Exchange&gt;&gt;
Booking]],Table264[XPATHS],Table264['#],"DNE")</f>
        <v>91rel_xpath</v>
      </c>
      <c r="AF8" s="28" t="str">
        <f>SUBSTITUTE(Table33[[#This Row],[field id]],CHAR(34),"")</f>
        <v>IFSTPF</v>
      </c>
    </row>
    <row r="9" spans="1:32" ht="30" customHeight="1" x14ac:dyDescent="0.3">
      <c r="A9" s="28" t="str">
        <f t="shared" si="0"/>
        <v>8expanded_IMFLDR_sorted</v>
      </c>
      <c r="B9" s="28" t="e">
        <f>IF(#REF!=H9,#REF!,#REF!+1)</f>
        <v>#REF!</v>
      </c>
      <c r="C9" s="28" t="e">
        <f>IF(#REF!=I9,#REF!,#REF!+1)</f>
        <v>#REF!</v>
      </c>
      <c r="D9" s="28" t="e">
        <f>IF(#REF!=M9,#REF!,#REF!+1)</f>
        <v>#REF!</v>
      </c>
      <c r="E9" s="51" t="s">
        <v>32</v>
      </c>
      <c r="F9" s="38" t="s">
        <v>8</v>
      </c>
      <c r="G9" s="38">
        <v>344</v>
      </c>
      <c r="H9" s="39" t="s">
        <v>33</v>
      </c>
      <c r="I9" s="40" t="s">
        <v>306</v>
      </c>
      <c r="J9" s="38" t="s">
        <v>34</v>
      </c>
      <c r="K9" s="38" t="s">
        <v>307</v>
      </c>
      <c r="L9" s="38" t="s">
        <v>36</v>
      </c>
      <c r="M9" s="41" t="s">
        <v>182</v>
      </c>
      <c r="N9" s="38" t="s">
        <v>306</v>
      </c>
      <c r="O9" s="38" t="s">
        <v>333</v>
      </c>
      <c r="P9" s="42" t="s">
        <v>334</v>
      </c>
      <c r="Q9" s="42" t="s">
        <v>310</v>
      </c>
      <c r="R9" s="38" t="s">
        <v>291</v>
      </c>
      <c r="S9" s="38" t="s">
        <v>42</v>
      </c>
      <c r="T9" s="38"/>
      <c r="U9" s="38"/>
      <c r="V9" s="38"/>
      <c r="W9" s="42" t="s">
        <v>312</v>
      </c>
      <c r="X9" s="42" t="s">
        <v>333</v>
      </c>
      <c r="Y9" s="38" t="s">
        <v>45</v>
      </c>
      <c r="Z9" s="38" t="s">
        <v>90</v>
      </c>
      <c r="AA9" s="38" t="s">
        <v>313</v>
      </c>
      <c r="AB9" s="38" t="s">
        <v>335</v>
      </c>
      <c r="AC9" s="38" t="str">
        <f>SUBSTITUTE(Table33[[#This Row],[field name]],"field: ","")</f>
        <v>"IFSTSF"</v>
      </c>
      <c r="AD9" s="28" t="str">
        <f>SUBSTITUTE((CLEAN(TRIM(Table33[[#This Row],[field id]]))&amp;": "&amp;CHAR(34)&amp;Table33[[#This Row],[&lt;&lt;NOLA_Exchange&gt;&gt;
Booking]]&amp;CHAR(34)&amp;CHAR(44)),"/nola:BookingExchange","")</f>
        <v>"IFSTSF": "/j:Booking/j:BookingSubject/RoleOfPerson/PersonContactInformation/ContactMailingAddress/AddressStreet/StreetPostdirectional/StreetDirectionalText",</v>
      </c>
      <c r="AE9" s="32" t="str">
        <f>_xlfn.XLOOKUP(Table33[[#This Row],[&lt;&lt;NOLA_Exchange&gt;&gt;
Booking]],Table264[XPATHS],Table264['#],"DNE")</f>
        <v>94rel_xpath</v>
      </c>
      <c r="AF9" s="28" t="str">
        <f>SUBSTITUTE(Table33[[#This Row],[field id]],CHAR(34),"")</f>
        <v>IFSTSF</v>
      </c>
    </row>
    <row r="10" spans="1:32" ht="30" customHeight="1" x14ac:dyDescent="0.3">
      <c r="A10" s="28" t="str">
        <f t="shared" si="0"/>
        <v>9expanded_IMFLDR_sorted</v>
      </c>
      <c r="B10" s="28" t="e">
        <f>IF(#REF!=H10,#REF!,#REF!+1)</f>
        <v>#REF!</v>
      </c>
      <c r="C10" s="28" t="e">
        <f>IF(#REF!=I10,#REF!,#REF!+1)</f>
        <v>#REF!</v>
      </c>
      <c r="D10" s="28" t="e">
        <f>IF(#REF!=M10,#REF!,#REF!+1)</f>
        <v>#REF!</v>
      </c>
      <c r="E10" s="51" t="s">
        <v>32</v>
      </c>
      <c r="F10" s="38" t="s">
        <v>8</v>
      </c>
      <c r="G10" s="38">
        <v>345</v>
      </c>
      <c r="H10" s="39" t="s">
        <v>33</v>
      </c>
      <c r="I10" s="40" t="s">
        <v>336</v>
      </c>
      <c r="J10" s="38" t="s">
        <v>34</v>
      </c>
      <c r="K10" s="38" t="s">
        <v>337</v>
      </c>
      <c r="L10" s="38" t="s">
        <v>36</v>
      </c>
      <c r="M10" s="41" t="s">
        <v>52</v>
      </c>
      <c r="N10" s="38" t="s">
        <v>336</v>
      </c>
      <c r="O10" s="38" t="s">
        <v>338</v>
      </c>
      <c r="P10" s="42" t="s">
        <v>339</v>
      </c>
      <c r="Q10" s="42" t="s">
        <v>340</v>
      </c>
      <c r="R10" s="38" t="s">
        <v>341</v>
      </c>
      <c r="S10" s="38" t="s">
        <v>159</v>
      </c>
      <c r="T10" s="38"/>
      <c r="U10" s="38"/>
      <c r="V10" s="38"/>
      <c r="W10" s="42" t="s">
        <v>343</v>
      </c>
      <c r="X10" s="42" t="s">
        <v>338</v>
      </c>
      <c r="Y10" s="38" t="s">
        <v>45</v>
      </c>
      <c r="Z10" s="38" t="s">
        <v>90</v>
      </c>
      <c r="AA10" s="38" t="s">
        <v>344</v>
      </c>
      <c r="AB10" s="38" t="s">
        <v>345</v>
      </c>
      <c r="AC10" s="38" t="str">
        <f>SUBSTITUTE(Table33[[#This Row],[field name]],"field: ","")</f>
        <v>"IFZIPC"</v>
      </c>
      <c r="AD10" s="28" t="str">
        <f>SUBSTITUTE((CLEAN(TRIM(Table33[[#This Row],[field id]]))&amp;": "&amp;CHAR(34)&amp;Table33[[#This Row],[&lt;&lt;NOLA_Exchange&gt;&gt;
Booking]]&amp;CHAR(34)&amp;CHAR(44)),"/nola:BookingExchange","")</f>
        <v>"IFZIPC": "/j:Booking/j:BookingSubject/RoleOfPerson/PersonContactInformation/ContactMailingAddress/AddressPostalCode",</v>
      </c>
      <c r="AE10" s="32" t="str">
        <f>_xlfn.XLOOKUP(Table33[[#This Row],[&lt;&lt;NOLA_Exchange&gt;&gt;
Booking]],Table264[XPATHS],Table264['#],"DNE")</f>
        <v>102rel_xpath</v>
      </c>
      <c r="AF10" s="28" t="str">
        <f>SUBSTITUTE(Table33[[#This Row],[field id]],CHAR(34),"")</f>
        <v>IFZIPC</v>
      </c>
    </row>
    <row r="11" spans="1:32" ht="30" customHeight="1" x14ac:dyDescent="0.3">
      <c r="A11" s="28" t="str">
        <f t="shared" si="0"/>
        <v>10expanded_IMFLDR_sorted</v>
      </c>
      <c r="B11" s="28" t="e">
        <f>IF(#REF!=H11,#REF!,#REF!+1)</f>
        <v>#REF!</v>
      </c>
      <c r="C11" s="28" t="e">
        <f>IF(#REF!=I11,#REF!,#REF!+1)</f>
        <v>#REF!</v>
      </c>
      <c r="D11" s="28" t="e">
        <f>IF(#REF!=M11,#REF!,#REF!+1)</f>
        <v>#REF!</v>
      </c>
      <c r="E11" s="51" t="s">
        <v>32</v>
      </c>
      <c r="F11" s="38" t="s">
        <v>8</v>
      </c>
      <c r="G11" s="38">
        <v>126</v>
      </c>
      <c r="H11" s="39" t="s">
        <v>354</v>
      </c>
      <c r="I11" s="40" t="s">
        <v>355</v>
      </c>
      <c r="J11" s="38" t="s">
        <v>34</v>
      </c>
      <c r="K11" s="38" t="s">
        <v>356</v>
      </c>
      <c r="L11" s="38" t="s">
        <v>36</v>
      </c>
      <c r="M11" s="41" t="s">
        <v>37</v>
      </c>
      <c r="N11" s="38" t="s">
        <v>355</v>
      </c>
      <c r="O11" s="38" t="s">
        <v>357</v>
      </c>
      <c r="P11" s="42" t="s">
        <v>358</v>
      </c>
      <c r="Q11" s="42" t="s">
        <v>359</v>
      </c>
      <c r="R11" s="38" t="s">
        <v>360</v>
      </c>
      <c r="S11" s="38" t="s">
        <v>42</v>
      </c>
      <c r="T11" s="38"/>
      <c r="U11" s="38"/>
      <c r="V11" s="38"/>
      <c r="W11" s="42" t="s">
        <v>362</v>
      </c>
      <c r="X11" s="42" t="s">
        <v>357</v>
      </c>
      <c r="Y11" s="38" t="s">
        <v>45</v>
      </c>
      <c r="Z11" s="38" t="s">
        <v>90</v>
      </c>
      <c r="AA11" s="38" t="s">
        <v>363</v>
      </c>
      <c r="AB11" s="38" t="s">
        <v>364</v>
      </c>
      <c r="AC11" s="38" t="str">
        <f>SUBSTITUTE(Table33[[#This Row],[field name]],"field: ","")</f>
        <v>"IFAGCY"</v>
      </c>
      <c r="AD11" s="28" t="str">
        <f>SUBSTITUTE((CLEAN(TRIM(Table33[[#This Row],[field id]]))&amp;": "&amp;CHAR(34)&amp;Table33[[#This Row],[&lt;&lt;NOLA_Exchange&gt;&gt;
Booking]]&amp;CHAR(34)&amp;CHAR(44)),"/nola:BookingExchange","")</f>
        <v>"IFAGCY": "/j:Booking/j:BookingAgency/OrganizationName",</v>
      </c>
      <c r="AE11" s="32" t="str">
        <f>_xlfn.XLOOKUP(Table33[[#This Row],[&lt;&lt;NOLA_Exchange&gt;&gt;
Booking]],Table264[XPATHS],Table264['#],"DNE")</f>
        <v>5rel_xpath</v>
      </c>
      <c r="AF11" s="28" t="str">
        <f>SUBSTITUTE(Table33[[#This Row],[field id]],CHAR(34),"")</f>
        <v>IFAGCY</v>
      </c>
    </row>
    <row r="12" spans="1:32" ht="30" customHeight="1" x14ac:dyDescent="0.3">
      <c r="A12" s="28" t="str">
        <f t="shared" si="0"/>
        <v>11expanded_IMFLDR_sorted</v>
      </c>
      <c r="B12" s="28" t="e">
        <f>IF(#REF!=H12,#REF!,#REF!+1)</f>
        <v>#REF!</v>
      </c>
      <c r="C12" s="28" t="e">
        <f>IF(#REF!=I12,#REF!,#REF!+1)</f>
        <v>#REF!</v>
      </c>
      <c r="D12" s="28" t="e">
        <f>IF(#REF!=M12,#REF!,#REF!+1)</f>
        <v>#REF!</v>
      </c>
      <c r="E12" s="51" t="s">
        <v>32</v>
      </c>
      <c r="F12" s="38" t="s">
        <v>8</v>
      </c>
      <c r="G12" s="38">
        <v>245</v>
      </c>
      <c r="H12" s="39" t="s">
        <v>368</v>
      </c>
      <c r="I12" s="40" t="s">
        <v>369</v>
      </c>
      <c r="J12" s="38" t="s">
        <v>34</v>
      </c>
      <c r="K12" s="38" t="s">
        <v>371</v>
      </c>
      <c r="L12" s="38" t="s">
        <v>36</v>
      </c>
      <c r="M12" s="41" t="s">
        <v>57</v>
      </c>
      <c r="N12" s="38" t="s">
        <v>369</v>
      </c>
      <c r="O12" s="38" t="s">
        <v>380</v>
      </c>
      <c r="P12" s="42" t="s">
        <v>381</v>
      </c>
      <c r="Q12" s="42" t="s">
        <v>374</v>
      </c>
      <c r="R12" s="38" t="s">
        <v>1551</v>
      </c>
      <c r="S12" s="38" t="s">
        <v>1552</v>
      </c>
      <c r="T12" s="38"/>
      <c r="U12" s="38"/>
      <c r="V12" s="38"/>
      <c r="W12" s="42" t="s">
        <v>377</v>
      </c>
      <c r="X12" s="42" t="s">
        <v>380</v>
      </c>
      <c r="Y12" s="38" t="s">
        <v>382</v>
      </c>
      <c r="Z12" s="38" t="s">
        <v>90</v>
      </c>
      <c r="AA12" s="38" t="s">
        <v>378</v>
      </c>
      <c r="AB12" s="38" t="s">
        <v>383</v>
      </c>
      <c r="AC12" s="38" t="str">
        <f>SUBSTITUTE(Table33[[#This Row],[field name]],"field: ","")</f>
        <v>"IFFLDR"</v>
      </c>
      <c r="AD12" s="28" t="str">
        <f>SUBSTITUTE((CLEAN(TRIM(Table33[[#This Row],[field id]]))&amp;": "&amp;CHAR(34)&amp;Table33[[#This Row],[&lt;&lt;NOLA_Exchange&gt;&gt;
Booking]]&amp;CHAR(34)&amp;CHAR(44)),"/nola:BookingExchange","")</f>
        <v>"IFFLDR": "/j:Booking/j:BookingDocumentControlIdentification/IdentificationID",</v>
      </c>
      <c r="AE12" s="32" t="str">
        <f>_xlfn.XLOOKUP(Table33[[#This Row],[&lt;&lt;NOLA_Exchange&gt;&gt;
Booking]],Table264[XPATHS],Table264['#],"DNE")</f>
        <v>12rel_xpath</v>
      </c>
      <c r="AF12" s="28" t="str">
        <f>SUBSTITUTE(Table33[[#This Row],[field id]],CHAR(34),"")</f>
        <v>IFFLDR</v>
      </c>
    </row>
    <row r="13" spans="1:32" ht="30" customHeight="1" x14ac:dyDescent="0.3">
      <c r="A13" s="28" t="str">
        <f t="shared" si="0"/>
        <v>12expanded_IMFLDR_sorted</v>
      </c>
      <c r="B13" s="28" t="e">
        <f t="shared" ref="B13:B30" si="1">IF(H12=H13,B12,B12+1)</f>
        <v>#REF!</v>
      </c>
      <c r="C13" s="28" t="e">
        <f t="shared" ref="C13:C30" si="2">IF(I12=I13,C12,C12+1)</f>
        <v>#REF!</v>
      </c>
      <c r="D13" s="28" t="e">
        <f t="shared" ref="D13:D30" si="3">IF(M12=M13,D12,D12+1)</f>
        <v>#REF!</v>
      </c>
      <c r="E13" s="51" t="s">
        <v>32</v>
      </c>
      <c r="F13" s="38" t="s">
        <v>8</v>
      </c>
      <c r="G13" s="38">
        <v>296</v>
      </c>
      <c r="H13" s="39" t="s">
        <v>397</v>
      </c>
      <c r="I13" s="40" t="s">
        <v>398</v>
      </c>
      <c r="J13" s="38" t="s">
        <v>399</v>
      </c>
      <c r="K13" s="38" t="s">
        <v>400</v>
      </c>
      <c r="L13" s="38" t="s">
        <v>36</v>
      </c>
      <c r="M13" s="41" t="s">
        <v>49</v>
      </c>
      <c r="N13" s="38" t="s">
        <v>398</v>
      </c>
      <c r="O13" s="38" t="s">
        <v>418</v>
      </c>
      <c r="P13" s="42" t="s">
        <v>419</v>
      </c>
      <c r="Q13" s="42" t="s">
        <v>403</v>
      </c>
      <c r="R13" s="38" t="s">
        <v>404</v>
      </c>
      <c r="S13" s="38" t="s">
        <v>405</v>
      </c>
      <c r="T13" s="38"/>
      <c r="U13" s="38"/>
      <c r="V13" s="38"/>
      <c r="W13" s="42" t="s">
        <v>407</v>
      </c>
      <c r="X13" s="42" t="s">
        <v>418</v>
      </c>
      <c r="Y13" s="38" t="s">
        <v>45</v>
      </c>
      <c r="Z13" s="38" t="s">
        <v>90</v>
      </c>
      <c r="AA13" s="38" t="s">
        <v>416</v>
      </c>
      <c r="AB13" s="38" t="s">
        <v>420</v>
      </c>
      <c r="AC13" s="38" t="str">
        <f>SUBSTITUTE(Table33[[#This Row],[field name]],"field: ","")</f>
        <v>"IFBKPN"</v>
      </c>
      <c r="AD13" s="28" t="str">
        <f>SUBSTITUTE((CLEAN(TRIM(Table33[[#This Row],[field id]]))&amp;": "&amp;CHAR(34)&amp;Table33[[#This Row],[&lt;&lt;NOLA_Exchange&gt;&gt;
Booking]]&amp;CHAR(34)&amp;CHAR(44)),"/nola:BookingExchange","")</f>
        <v>"IFBKPN": "/j:Booking/ActivityDate/DateTime",</v>
      </c>
      <c r="AE13" s="32" t="str">
        <f>_xlfn.XLOOKUP(Table33[[#This Row],[&lt;&lt;NOLA_Exchange&gt;&gt;
Booking]],Table264[XPATHS],Table264['#],"DNE")</f>
        <v>3rel_xpath</v>
      </c>
      <c r="AF13" s="28" t="str">
        <f>SUBSTITUTE(Table33[[#This Row],[field id]],CHAR(34),"")</f>
        <v>IFBKPN</v>
      </c>
    </row>
    <row r="14" spans="1:32" ht="30" customHeight="1" x14ac:dyDescent="0.3">
      <c r="A14" s="28" t="str">
        <f t="shared" si="0"/>
        <v>13expanded_IMFLDR_sorted</v>
      </c>
      <c r="B14" s="28" t="e">
        <f t="shared" si="1"/>
        <v>#REF!</v>
      </c>
      <c r="C14" s="28" t="e">
        <f t="shared" si="2"/>
        <v>#REF!</v>
      </c>
      <c r="D14" s="28" t="e">
        <f t="shared" si="3"/>
        <v>#REF!</v>
      </c>
      <c r="E14" s="51" t="s">
        <v>32</v>
      </c>
      <c r="F14" s="38" t="s">
        <v>8</v>
      </c>
      <c r="G14" s="38">
        <v>296</v>
      </c>
      <c r="H14" s="39" t="s">
        <v>397</v>
      </c>
      <c r="I14" s="40" t="s">
        <v>398</v>
      </c>
      <c r="J14" s="38" t="s">
        <v>399</v>
      </c>
      <c r="K14" s="38" t="s">
        <v>400</v>
      </c>
      <c r="L14" s="38" t="s">
        <v>36</v>
      </c>
      <c r="M14" s="41" t="s">
        <v>421</v>
      </c>
      <c r="N14" s="38" t="s">
        <v>398</v>
      </c>
      <c r="O14" s="38" t="s">
        <v>422</v>
      </c>
      <c r="P14" s="42" t="s">
        <v>423</v>
      </c>
      <c r="Q14" s="42" t="s">
        <v>403</v>
      </c>
      <c r="R14" s="38" t="s">
        <v>404</v>
      </c>
      <c r="S14" s="38" t="s">
        <v>405</v>
      </c>
      <c r="T14" s="38"/>
      <c r="U14" s="38"/>
      <c r="V14" s="38"/>
      <c r="W14" s="42" t="s">
        <v>407</v>
      </c>
      <c r="X14" s="42" t="s">
        <v>422</v>
      </c>
      <c r="Y14" s="38" t="s">
        <v>45</v>
      </c>
      <c r="Z14" s="38" t="s">
        <v>90</v>
      </c>
      <c r="AA14" s="38" t="s">
        <v>408</v>
      </c>
      <c r="AB14" s="38" t="s">
        <v>424</v>
      </c>
      <c r="AC14" s="38" t="str">
        <f>SUBSTITUTE(Table33[[#This Row],[field name]],"field: ","")</f>
        <v>"IFBKDT"</v>
      </c>
      <c r="AD14" s="28" t="str">
        <f>SUBSTITUTE((CLEAN(TRIM(Table33[[#This Row],[field id]]))&amp;": "&amp;CHAR(34)&amp;Table33[[#This Row],[&lt;&lt;NOLA_Exchange&gt;&gt;
Booking]]&amp;CHAR(34)&amp;CHAR(44)),"/nola:BookingExchange","")</f>
        <v>"IFBKDT": "/j:Booking/ActivityDate/DateTime",</v>
      </c>
      <c r="AE14" s="32" t="str">
        <f>_xlfn.XLOOKUP(Table33[[#This Row],[&lt;&lt;NOLA_Exchange&gt;&gt;
Booking]],Table264[XPATHS],Table264['#],"DNE")</f>
        <v>3rel_xpath</v>
      </c>
      <c r="AF14" s="28" t="str">
        <f>SUBSTITUTE(Table33[[#This Row],[field id]],CHAR(34),"")</f>
        <v>IFBKDT</v>
      </c>
    </row>
    <row r="15" spans="1:32" ht="30" customHeight="1" x14ac:dyDescent="0.3">
      <c r="A15" s="28" t="str">
        <f t="shared" si="0"/>
        <v>14expanded_IMFLDR_sorted</v>
      </c>
      <c r="B15" s="28" t="e">
        <f t="shared" si="1"/>
        <v>#REF!</v>
      </c>
      <c r="C15" s="28" t="e">
        <f t="shared" si="2"/>
        <v>#REF!</v>
      </c>
      <c r="D15" s="28" t="e">
        <f t="shared" si="3"/>
        <v>#REF!</v>
      </c>
      <c r="E15" s="51" t="s">
        <v>32</v>
      </c>
      <c r="F15" s="38" t="s">
        <v>8</v>
      </c>
      <c r="G15" s="38">
        <v>296</v>
      </c>
      <c r="H15" s="39" t="s">
        <v>397</v>
      </c>
      <c r="I15" s="40" t="s">
        <v>398</v>
      </c>
      <c r="J15" s="38" t="s">
        <v>399</v>
      </c>
      <c r="K15" s="38" t="s">
        <v>400</v>
      </c>
      <c r="L15" s="38" t="s">
        <v>36</v>
      </c>
      <c r="M15" s="41" t="s">
        <v>425</v>
      </c>
      <c r="N15" s="38" t="s">
        <v>398</v>
      </c>
      <c r="O15" s="38" t="s">
        <v>426</v>
      </c>
      <c r="P15" s="42" t="s">
        <v>427</v>
      </c>
      <c r="Q15" s="42" t="s">
        <v>403</v>
      </c>
      <c r="R15" s="38" t="s">
        <v>404</v>
      </c>
      <c r="S15" s="38" t="s">
        <v>405</v>
      </c>
      <c r="T15" s="38"/>
      <c r="U15" s="38"/>
      <c r="V15" s="38"/>
      <c r="W15" s="42" t="s">
        <v>407</v>
      </c>
      <c r="X15" s="42" t="s">
        <v>426</v>
      </c>
      <c r="Y15" s="38" t="s">
        <v>45</v>
      </c>
      <c r="Z15" s="38" t="s">
        <v>90</v>
      </c>
      <c r="AA15" s="38" t="s">
        <v>412</v>
      </c>
      <c r="AB15" s="38" t="s">
        <v>428</v>
      </c>
      <c r="AC15" s="38" t="str">
        <f>SUBSTITUTE(Table33[[#This Row],[field name]],"field: ","")</f>
        <v>"IFBKTM"</v>
      </c>
      <c r="AD15" s="28" t="str">
        <f>SUBSTITUTE((CLEAN(TRIM(Table33[[#This Row],[field id]]))&amp;": "&amp;CHAR(34)&amp;Table33[[#This Row],[&lt;&lt;NOLA_Exchange&gt;&gt;
Booking]]&amp;CHAR(34)&amp;CHAR(44)),"/nola:BookingExchange","")</f>
        <v>"IFBKTM": "/j:Booking/ActivityDate/DateTime",</v>
      </c>
      <c r="AE15" s="32" t="str">
        <f>_xlfn.XLOOKUP(Table33[[#This Row],[&lt;&lt;NOLA_Exchange&gt;&gt;
Booking]],Table264[XPATHS],Table264['#],"DNE")</f>
        <v>3rel_xpath</v>
      </c>
      <c r="AF15" s="28" t="str">
        <f>SUBSTITUTE(Table33[[#This Row],[field id]],CHAR(34),"")</f>
        <v>IFBKTM</v>
      </c>
    </row>
    <row r="16" spans="1:32" ht="30" customHeight="1" x14ac:dyDescent="0.3">
      <c r="A16" s="28" t="str">
        <f t="shared" si="0"/>
        <v>15expanded_IMFLDR_sorted</v>
      </c>
      <c r="B16" s="28" t="e">
        <f t="shared" si="1"/>
        <v>#REF!</v>
      </c>
      <c r="C16" s="28" t="e">
        <f t="shared" si="2"/>
        <v>#REF!</v>
      </c>
      <c r="D16" s="28" t="e">
        <f t="shared" si="3"/>
        <v>#REF!</v>
      </c>
      <c r="E16" s="51" t="s">
        <v>32</v>
      </c>
      <c r="F16" s="38" t="s">
        <v>8</v>
      </c>
      <c r="G16" s="38">
        <v>300</v>
      </c>
      <c r="H16" s="39" t="s">
        <v>397</v>
      </c>
      <c r="I16" s="40" t="s">
        <v>429</v>
      </c>
      <c r="J16" s="38" t="s">
        <v>34</v>
      </c>
      <c r="K16" s="38" t="s">
        <v>430</v>
      </c>
      <c r="L16" s="38" t="s">
        <v>36</v>
      </c>
      <c r="M16" s="41" t="s">
        <v>429</v>
      </c>
      <c r="N16" s="38" t="s">
        <v>429</v>
      </c>
      <c r="O16" s="38" t="s">
        <v>431</v>
      </c>
      <c r="P16" s="42" t="s">
        <v>432</v>
      </c>
      <c r="Q16" s="42" t="s">
        <v>432</v>
      </c>
      <c r="R16" s="38" t="s">
        <v>433</v>
      </c>
      <c r="S16" s="38" t="s">
        <v>42</v>
      </c>
      <c r="T16" s="38"/>
      <c r="U16" s="38"/>
      <c r="V16" s="38"/>
      <c r="W16" s="42" t="s">
        <v>435</v>
      </c>
      <c r="X16" s="42" t="s">
        <v>431</v>
      </c>
      <c r="Y16" s="38" t="s">
        <v>45</v>
      </c>
      <c r="Z16" s="38" t="s">
        <v>90</v>
      </c>
      <c r="AA16" s="38" t="s">
        <v>436</v>
      </c>
      <c r="AB16" s="38" t="s">
        <v>437</v>
      </c>
      <c r="AC16" s="38" t="str">
        <f>SUBSTITUTE(Table33[[#This Row],[field name]],"field: ","")</f>
        <v>"IFBPTY"</v>
      </c>
      <c r="AD16" s="28" t="str">
        <f>SUBSTITUTE((CLEAN(TRIM(Table33[[#This Row],[field id]]))&amp;": "&amp;CHAR(34)&amp;Table33[[#This Row],[&lt;&lt;NOLA_Exchange&gt;&gt;
Booking]]&amp;CHAR(34)&amp;CHAR(44)),"/nola:BookingExchange","")</f>
        <v>"IFBPTY": "/j:Booking/j:BookingSubject/j:SubjectAppointment/j:AppointmentPriorityText",</v>
      </c>
      <c r="AE16" s="32" t="str">
        <f>_xlfn.XLOOKUP(Table33[[#This Row],[&lt;&lt;NOLA_Exchange&gt;&gt;
Booking]],Table264[XPATHS],Table264['#],"DNE")</f>
        <v>205rel_xpath</v>
      </c>
      <c r="AF16" s="28" t="str">
        <f>SUBSTITUTE(Table33[[#This Row],[field id]],CHAR(34),"")</f>
        <v>IFBPTY</v>
      </c>
    </row>
    <row r="17" spans="1:32" ht="30" customHeight="1" x14ac:dyDescent="0.3">
      <c r="A17" s="28" t="str">
        <f t="shared" si="0"/>
        <v>16expanded_IMFLDR_sorted</v>
      </c>
      <c r="B17" s="28" t="e">
        <f t="shared" si="1"/>
        <v>#REF!</v>
      </c>
      <c r="C17" s="28" t="e">
        <f t="shared" si="2"/>
        <v>#REF!</v>
      </c>
      <c r="D17" s="28" t="e">
        <f t="shared" si="3"/>
        <v>#REF!</v>
      </c>
      <c r="E17" s="51" t="s">
        <v>32</v>
      </c>
      <c r="F17" s="38" t="s">
        <v>8</v>
      </c>
      <c r="G17" s="38">
        <v>304</v>
      </c>
      <c r="H17" s="39" t="s">
        <v>397</v>
      </c>
      <c r="I17" s="40" t="s">
        <v>438</v>
      </c>
      <c r="J17" s="38" t="s">
        <v>34</v>
      </c>
      <c r="K17" s="38" t="s">
        <v>439</v>
      </c>
      <c r="L17" s="38" t="s">
        <v>440</v>
      </c>
      <c r="M17" s="41" t="s">
        <v>49</v>
      </c>
      <c r="N17" s="38" t="s">
        <v>438</v>
      </c>
      <c r="O17" s="38" t="s">
        <v>448</v>
      </c>
      <c r="P17" s="42" t="s">
        <v>449</v>
      </c>
      <c r="Q17" s="42" t="s">
        <v>443</v>
      </c>
      <c r="R17" s="38" t="s">
        <v>375</v>
      </c>
      <c r="S17" s="38" t="s">
        <v>159</v>
      </c>
      <c r="T17" s="38"/>
      <c r="U17" s="38"/>
      <c r="V17" s="38"/>
      <c r="W17" s="42" t="s">
        <v>445</v>
      </c>
      <c r="X17" s="42" t="s">
        <v>448</v>
      </c>
      <c r="Y17" s="38" t="s">
        <v>45</v>
      </c>
      <c r="Z17" s="38" t="s">
        <v>90</v>
      </c>
      <c r="AA17" s="38" t="s">
        <v>446</v>
      </c>
      <c r="AB17" s="38" t="s">
        <v>450</v>
      </c>
      <c r="AC17" s="38" t="str">
        <f>SUBSTITUTE(Table33[[#This Row],[field name]],"field: ","")</f>
        <v>"IFSCNO"</v>
      </c>
      <c r="AD17" s="28" t="str">
        <f>SUBSTITUTE((CLEAN(TRIM(Table33[[#This Row],[field id]]))&amp;": "&amp;CHAR(34)&amp;Table33[[#This Row],[&lt;&lt;NOLA_Exchange&gt;&gt;
Booking]]&amp;CHAR(34)&amp;CHAR(44)),"/nola:BookingExchange","")</f>
        <v>"IFSCNO": "/j:Booking/j:BookingAgencyRecordIdentification/IdentificationID",</v>
      </c>
      <c r="AE17" s="32" t="str">
        <f>_xlfn.XLOOKUP(Table33[[#This Row],[&lt;&lt;NOLA_Exchange&gt;&gt;
Booking]],Table264[XPATHS],Table264['#],"DNE")</f>
        <v>10rel_xpath</v>
      </c>
      <c r="AF17" s="28" t="str">
        <f>SUBSTITUTE(Table33[[#This Row],[field id]],CHAR(34),"")</f>
        <v>IFSCNO</v>
      </c>
    </row>
    <row r="18" spans="1:32" ht="30" customHeight="1" x14ac:dyDescent="0.3">
      <c r="A18" s="28" t="str">
        <f t="shared" si="0"/>
        <v>17expanded_IMFLDR_sorted</v>
      </c>
      <c r="B18" s="28" t="e">
        <f t="shared" si="1"/>
        <v>#REF!</v>
      </c>
      <c r="C18" s="28" t="e">
        <f t="shared" si="2"/>
        <v>#REF!</v>
      </c>
      <c r="D18" s="28" t="e">
        <f t="shared" si="3"/>
        <v>#REF!</v>
      </c>
      <c r="E18" s="51" t="s">
        <v>32</v>
      </c>
      <c r="F18" s="38" t="s">
        <v>8</v>
      </c>
      <c r="G18" s="38">
        <v>359</v>
      </c>
      <c r="H18" s="39" t="s">
        <v>530</v>
      </c>
      <c r="I18" s="40" t="s">
        <v>531</v>
      </c>
      <c r="J18" s="38" t="s">
        <v>532</v>
      </c>
      <c r="K18" s="38" t="s">
        <v>533</v>
      </c>
      <c r="L18" s="38" t="s">
        <v>440</v>
      </c>
      <c r="M18" s="41" t="s">
        <v>49</v>
      </c>
      <c r="N18" s="38" t="s">
        <v>531</v>
      </c>
      <c r="O18" s="38" t="s">
        <v>550</v>
      </c>
      <c r="P18" s="42" t="s">
        <v>551</v>
      </c>
      <c r="Q18" s="42" t="s">
        <v>536</v>
      </c>
      <c r="R18" s="38" t="s">
        <v>537</v>
      </c>
      <c r="S18" s="38" t="s">
        <v>538</v>
      </c>
      <c r="T18" s="38"/>
      <c r="U18" s="38"/>
      <c r="V18" s="38"/>
      <c r="W18" s="42" t="s">
        <v>540</v>
      </c>
      <c r="X18" s="42" t="s">
        <v>550</v>
      </c>
      <c r="Y18" s="38" t="s">
        <v>45</v>
      </c>
      <c r="Z18" s="38" t="s">
        <v>90</v>
      </c>
      <c r="AA18" s="38" t="s">
        <v>552</v>
      </c>
      <c r="AB18" s="38" t="s">
        <v>553</v>
      </c>
      <c r="AC18" s="38" t="str">
        <f>SUBSTITUTE(Table33[[#This Row],[field name]],"field: ","")</f>
        <v>"IFPHNO"</v>
      </c>
      <c r="AD18" s="28" t="str">
        <f>SUBSTITUTE((CLEAN(TRIM(Table33[[#This Row],[field id]]))&amp;": "&amp;CHAR(34)&amp;Table33[[#This Row],[&lt;&lt;NOLA_Exchange&gt;&gt;
Booking]]&amp;CHAR(34)&amp;CHAR(44)),"/nola:BookingExchange","")</f>
        <v>"IFPHNO": "/j:Booking/j:BookingSubject/RoleOfPerson/PersonContactInformation/ContactTelephoneNumber",</v>
      </c>
      <c r="AE18" s="32" t="str">
        <f>_xlfn.XLOOKUP(Table33[[#This Row],[&lt;&lt;NOLA_Exchange&gt;&gt;
Booking]],Table264[XPATHS],Table264['#],"DNE")</f>
        <v>104rel_xpath</v>
      </c>
      <c r="AF18" s="28" t="str">
        <f>SUBSTITUTE(Table33[[#This Row],[field id]],CHAR(34),"")</f>
        <v>IFPHNO</v>
      </c>
    </row>
    <row r="19" spans="1:32" ht="30" customHeight="1" x14ac:dyDescent="0.3">
      <c r="A19" s="28" t="str">
        <f t="shared" si="0"/>
        <v>18expanded_IMFLDR_sorted</v>
      </c>
      <c r="B19" s="28" t="e">
        <f>IF(#REF!=H19,#REF!,#REF!+1)</f>
        <v>#REF!</v>
      </c>
      <c r="C19" s="28" t="e">
        <f>IF(#REF!=I19,#REF!,#REF!+1)</f>
        <v>#REF!</v>
      </c>
      <c r="D19" s="28" t="e">
        <f>IF(#REF!=M19,#REF!,#REF!+1)</f>
        <v>#REF!</v>
      </c>
      <c r="E19" s="51" t="s">
        <v>32</v>
      </c>
      <c r="F19" s="38" t="s">
        <v>8</v>
      </c>
      <c r="G19" s="38">
        <v>258</v>
      </c>
      <c r="H19" s="39" t="s">
        <v>577</v>
      </c>
      <c r="I19" s="40" t="s">
        <v>578</v>
      </c>
      <c r="J19" s="38" t="s">
        <v>34</v>
      </c>
      <c r="K19" s="38" t="s">
        <v>579</v>
      </c>
      <c r="L19" s="38" t="s">
        <v>36</v>
      </c>
      <c r="M19" s="41" t="s">
        <v>57</v>
      </c>
      <c r="N19" s="38" t="s">
        <v>578</v>
      </c>
      <c r="O19" s="38" t="s">
        <v>587</v>
      </c>
      <c r="P19" s="42" t="s">
        <v>588</v>
      </c>
      <c r="Q19" s="42" t="s">
        <v>582</v>
      </c>
      <c r="R19" s="38" t="s">
        <v>375</v>
      </c>
      <c r="S19" s="38" t="s">
        <v>159</v>
      </c>
      <c r="T19" s="38"/>
      <c r="U19" s="38"/>
      <c r="V19" s="38"/>
      <c r="W19" s="42" t="s">
        <v>584</v>
      </c>
      <c r="X19" s="42" t="s">
        <v>587</v>
      </c>
      <c r="Y19" s="38" t="s">
        <v>45</v>
      </c>
      <c r="Z19" s="38" t="s">
        <v>90</v>
      </c>
      <c r="AA19" s="38" t="s">
        <v>589</v>
      </c>
      <c r="AB19" s="38" t="s">
        <v>590</v>
      </c>
      <c r="AC19" s="38" t="str">
        <f>SUBSTITUTE(Table33[[#This Row],[field name]],"field: ","")</f>
        <v>"IFLICN"</v>
      </c>
      <c r="AD19" s="28" t="str">
        <f>SUBSTITUTE((CLEAN(TRIM(Table33[[#This Row],[field id]]))&amp;": "&amp;CHAR(34)&amp;Table33[[#This Row],[&lt;&lt;NOLA_Exchange&gt;&gt;
Booking]]&amp;CHAR(34)&amp;CHAR(44)),"/nola:BookingExchange","")</f>
        <v>"IFLICN": "/j:Booking/j:BookingSubject/RoleOfPerson/j:PersonAugmentation/j:DriverLicense/j:DriverLicenseCardIdentification/IdentificationID",</v>
      </c>
      <c r="AE19" s="32" t="str">
        <f>_xlfn.XLOOKUP(Table33[[#This Row],[&lt;&lt;NOLA_Exchange&gt;&gt;
Booking]],Table264[XPATHS],Table264['#],"DNE")</f>
        <v>158rel_xpath</v>
      </c>
      <c r="AF19" s="28" t="str">
        <f>SUBSTITUTE(Table33[[#This Row],[field id]],CHAR(34),"")</f>
        <v>IFLICN</v>
      </c>
    </row>
    <row r="20" spans="1:32" ht="30" customHeight="1" x14ac:dyDescent="0.3">
      <c r="A20" s="28" t="str">
        <f t="shared" si="0"/>
        <v>19expanded_IMFLDR_sorted</v>
      </c>
      <c r="B20" s="28" t="e">
        <f t="shared" si="1"/>
        <v>#REF!</v>
      </c>
      <c r="C20" s="28" t="e">
        <f t="shared" si="2"/>
        <v>#REF!</v>
      </c>
      <c r="D20" s="28" t="e">
        <f t="shared" si="3"/>
        <v>#REF!</v>
      </c>
      <c r="E20" s="51" t="s">
        <v>32</v>
      </c>
      <c r="F20" s="38" t="s">
        <v>8</v>
      </c>
      <c r="G20" s="38">
        <v>259</v>
      </c>
      <c r="H20" s="39" t="s">
        <v>577</v>
      </c>
      <c r="I20" s="40" t="s">
        <v>591</v>
      </c>
      <c r="J20" s="38" t="s">
        <v>153</v>
      </c>
      <c r="K20" s="38" t="s">
        <v>592</v>
      </c>
      <c r="L20" s="38" t="s">
        <v>36</v>
      </c>
      <c r="M20" s="41" t="s">
        <v>57</v>
      </c>
      <c r="N20" s="38" t="s">
        <v>591</v>
      </c>
      <c r="O20" s="38" t="s">
        <v>600</v>
      </c>
      <c r="P20" s="42" t="s">
        <v>601</v>
      </c>
      <c r="Q20" s="42" t="s">
        <v>595</v>
      </c>
      <c r="R20" s="38" t="s">
        <v>190</v>
      </c>
      <c r="S20" s="38" t="s">
        <v>596</v>
      </c>
      <c r="T20" s="38"/>
      <c r="U20" s="38"/>
      <c r="V20" s="38"/>
      <c r="W20" s="50" t="s">
        <v>3507</v>
      </c>
      <c r="X20" s="42" t="s">
        <v>600</v>
      </c>
      <c r="Y20" s="38" t="s">
        <v>45</v>
      </c>
      <c r="Z20" s="38" t="s">
        <v>90</v>
      </c>
      <c r="AA20" s="38" t="s">
        <v>602</v>
      </c>
      <c r="AB20" s="38" t="s">
        <v>603</v>
      </c>
      <c r="AC20" s="38" t="str">
        <f>SUBSTITUTE(Table33[[#This Row],[field name]],"field: ","")</f>
        <v>"IFSTCDL"</v>
      </c>
      <c r="AD20" s="28" t="str">
        <f>SUBSTITUTE((CLEAN(TRIM(Table33[[#This Row],[field id]]))&amp;": "&amp;CHAR(34)&amp;Table33[[#This Row],[&lt;&lt;NOLA_Exchange&gt;&gt;
Booking]]&amp;CHAR(34)&amp;CHAR(44)),"/nola:BookingExchange","")</f>
        <v>"IFSTCDL": "/j:Booking/j:BookingSubject/RoleOfPerson/j:PersonAugmentation/j:DriverLicense/j:DriverLicenseCardIdentification/IdentificationJurisdiction/JurisdictionLocation/Address/AddressState/StateName",</v>
      </c>
      <c r="AE20" s="32" t="str">
        <f>_xlfn.XLOOKUP(Table33[[#This Row],[&lt;&lt;NOLA_Exchange&gt;&gt;
Booking]],Table264[XPATHS],Table264['#],"DNE")</f>
        <v>163rel_xpath</v>
      </c>
      <c r="AF20" s="28" t="str">
        <f>SUBSTITUTE(Table33[[#This Row],[field id]],CHAR(34),"")</f>
        <v>IFSTCDL</v>
      </c>
    </row>
    <row r="21" spans="1:32" ht="30" customHeight="1" x14ac:dyDescent="0.3">
      <c r="A21" s="28" t="str">
        <f t="shared" si="0"/>
        <v>20expanded_IMFLDR_sorted</v>
      </c>
      <c r="B21" s="28" t="e">
        <f t="shared" si="1"/>
        <v>#REF!</v>
      </c>
      <c r="C21" s="28" t="e">
        <f t="shared" si="2"/>
        <v>#REF!</v>
      </c>
      <c r="D21" s="28" t="e">
        <f t="shared" si="3"/>
        <v>#REF!</v>
      </c>
      <c r="E21" s="51" t="s">
        <v>32</v>
      </c>
      <c r="F21" s="38" t="s">
        <v>8</v>
      </c>
      <c r="G21" s="38">
        <v>260</v>
      </c>
      <c r="H21" s="39" t="s">
        <v>577</v>
      </c>
      <c r="I21" s="40" t="s">
        <v>604</v>
      </c>
      <c r="J21" s="38" t="s">
        <v>605</v>
      </c>
      <c r="K21" s="38" t="s">
        <v>2234</v>
      </c>
      <c r="L21" s="38" t="s">
        <v>36</v>
      </c>
      <c r="M21" s="41" t="s">
        <v>57</v>
      </c>
      <c r="N21" s="38" t="s">
        <v>604</v>
      </c>
      <c r="O21" s="38" t="s">
        <v>616</v>
      </c>
      <c r="P21" s="42" t="s">
        <v>617</v>
      </c>
      <c r="Q21" s="42" t="s">
        <v>609</v>
      </c>
      <c r="R21" s="38" t="s">
        <v>610</v>
      </c>
      <c r="S21" s="38" t="s">
        <v>611</v>
      </c>
      <c r="T21" s="38"/>
      <c r="U21" s="38"/>
      <c r="V21" s="38"/>
      <c r="W21" s="42" t="s">
        <v>2235</v>
      </c>
      <c r="X21" s="42" t="s">
        <v>616</v>
      </c>
      <c r="Y21" s="38" t="s">
        <v>45</v>
      </c>
      <c r="Z21" s="38" t="s">
        <v>90</v>
      </c>
      <c r="AA21" s="38" t="s">
        <v>618</v>
      </c>
      <c r="AB21" s="38" t="s">
        <v>619</v>
      </c>
      <c r="AC21" s="38" t="str">
        <f>SUBSTITUTE(Table33[[#This Row],[field name]],"field: ","")</f>
        <v>"IFLICY"</v>
      </c>
      <c r="AD21" s="28" t="str">
        <f>SUBSTITUTE((CLEAN(TRIM(Table33[[#This Row],[field id]]))&amp;": "&amp;CHAR(34)&amp;Table33[[#This Row],[&lt;&lt;NOLA_Exchange&gt;&gt;
Booking]]&amp;CHAR(34)&amp;CHAR(44)),"/nola:BookingExchange","")</f>
        <v>"IFLICY": "/j:Booking/j:BookingSubject/RoleOfPerson/j:PersonAugmentation/j:DriverLicense/j:DriverLicenseCardIdentification/IdentificationExpirationDate/YearDate",</v>
      </c>
      <c r="AE21" s="32" t="str">
        <f>_xlfn.XLOOKUP(Table33[[#This Row],[&lt;&lt;NOLA_Exchange&gt;&gt;
Booking]],Table264[XPATHS],Table264['#],"DNE")</f>
        <v>165rel_xpath</v>
      </c>
      <c r="AF21" s="28" t="str">
        <f>SUBSTITUTE(Table33[[#This Row],[field id]],CHAR(34),"")</f>
        <v>IFLICY</v>
      </c>
    </row>
    <row r="22" spans="1:32" ht="30" customHeight="1" x14ac:dyDescent="0.3">
      <c r="A22" s="28" t="str">
        <f t="shared" si="0"/>
        <v>21expanded_IMFLDR_sorted</v>
      </c>
      <c r="B22" s="28" t="e">
        <f t="shared" si="1"/>
        <v>#REF!</v>
      </c>
      <c r="C22" s="28" t="e">
        <f t="shared" si="2"/>
        <v>#REF!</v>
      </c>
      <c r="D22" s="28" t="e">
        <f t="shared" si="3"/>
        <v>#REF!</v>
      </c>
      <c r="E22" s="51" t="s">
        <v>32</v>
      </c>
      <c r="F22" s="38" t="s">
        <v>8</v>
      </c>
      <c r="G22" s="38">
        <v>322</v>
      </c>
      <c r="H22" s="39" t="s">
        <v>620</v>
      </c>
      <c r="I22" s="40" t="s">
        <v>621</v>
      </c>
      <c r="J22" s="38" t="s">
        <v>34</v>
      </c>
      <c r="K22" s="38" t="s">
        <v>622</v>
      </c>
      <c r="L22" s="38" t="s">
        <v>36</v>
      </c>
      <c r="M22" s="41" t="s">
        <v>52</v>
      </c>
      <c r="N22" s="38" t="s">
        <v>621</v>
      </c>
      <c r="O22" s="38" t="s">
        <v>623</v>
      </c>
      <c r="P22" s="42" t="s">
        <v>624</v>
      </c>
      <c r="Q22" s="42" t="s">
        <v>625</v>
      </c>
      <c r="R22" s="38" t="s">
        <v>626</v>
      </c>
      <c r="S22" s="38" t="s">
        <v>42</v>
      </c>
      <c r="T22" s="38"/>
      <c r="U22" s="38"/>
      <c r="V22" s="38"/>
      <c r="W22" s="42" t="s">
        <v>628</v>
      </c>
      <c r="X22" s="42" t="s">
        <v>623</v>
      </c>
      <c r="Y22" s="38" t="s">
        <v>45</v>
      </c>
      <c r="Z22" s="38" t="s">
        <v>90</v>
      </c>
      <c r="AA22" s="38" t="s">
        <v>629</v>
      </c>
      <c r="AB22" s="38" t="s">
        <v>630</v>
      </c>
      <c r="AC22" s="38" t="str">
        <f>SUBSTITUTE(Table33[[#This Row],[field name]],"field: ","")</f>
        <v>"IFEMPR"</v>
      </c>
      <c r="AD22" s="28" t="str">
        <f>SUBSTITUTE((CLEAN(TRIM(Table33[[#This Row],[field id]]))&amp;": "&amp;CHAR(34)&amp;Table33[[#This Row],[&lt;&lt;NOLA_Exchange&gt;&gt;
Booking]]&amp;CHAR(34)&amp;CHAR(44)),"/nola:BookingExchange","")</f>
        <v>"IFEMPR": "/j:Booking/j:BookingSubject/RoleOfPerson/nola-ext:PersonAugmentation/PersonEmploymentAssociation/Employer/hs:EmployerAugmentation/hs:EmployerName",</v>
      </c>
      <c r="AE22" s="32" t="str">
        <f>_xlfn.XLOOKUP(Table33[[#This Row],[&lt;&lt;NOLA_Exchange&gt;&gt;
Booking]],Table264[XPATHS],Table264['#],"DNE")</f>
        <v>151rel_xpath</v>
      </c>
      <c r="AF22" s="28" t="str">
        <f>SUBSTITUTE(Table33[[#This Row],[field id]],CHAR(34),"")</f>
        <v>IFEMPR</v>
      </c>
    </row>
    <row r="23" spans="1:32" ht="30" customHeight="1" x14ac:dyDescent="0.3">
      <c r="A23" s="28" t="str">
        <f t="shared" si="0"/>
        <v>22expanded_IMFLDR_sorted</v>
      </c>
      <c r="B23" s="28" t="e">
        <f t="shared" si="1"/>
        <v>#REF!</v>
      </c>
      <c r="C23" s="28" t="e">
        <f t="shared" si="2"/>
        <v>#REF!</v>
      </c>
      <c r="D23" s="28" t="e">
        <f t="shared" si="3"/>
        <v>#REF!</v>
      </c>
      <c r="E23" s="51" t="s">
        <v>32</v>
      </c>
      <c r="F23" s="38" t="s">
        <v>8</v>
      </c>
      <c r="G23" s="38">
        <v>323</v>
      </c>
      <c r="H23" s="39" t="s">
        <v>620</v>
      </c>
      <c r="I23" s="40" t="s">
        <v>634</v>
      </c>
      <c r="J23" s="38" t="s">
        <v>34</v>
      </c>
      <c r="K23" s="38" t="s">
        <v>635</v>
      </c>
      <c r="L23" s="38" t="s">
        <v>36</v>
      </c>
      <c r="M23" s="41" t="s">
        <v>57</v>
      </c>
      <c r="N23" s="38" t="s">
        <v>634</v>
      </c>
      <c r="O23" s="38" t="s">
        <v>644</v>
      </c>
      <c r="P23" s="42" t="s">
        <v>645</v>
      </c>
      <c r="Q23" s="42" t="s">
        <v>638</v>
      </c>
      <c r="R23" s="38" t="s">
        <v>639</v>
      </c>
      <c r="S23" s="38" t="s">
        <v>42</v>
      </c>
      <c r="T23" s="38"/>
      <c r="U23" s="38"/>
      <c r="V23" s="38"/>
      <c r="W23" s="42" t="s">
        <v>641</v>
      </c>
      <c r="X23" s="42" t="s">
        <v>644</v>
      </c>
      <c r="Y23" s="38" t="s">
        <v>45</v>
      </c>
      <c r="Z23" s="38" t="s">
        <v>90</v>
      </c>
      <c r="AA23" s="38" t="s">
        <v>646</v>
      </c>
      <c r="AB23" s="38" t="s">
        <v>647</v>
      </c>
      <c r="AC23" s="38" t="str">
        <f>SUBSTITUTE(Table33[[#This Row],[field name]],"field: ","")</f>
        <v>"IFOCUP"</v>
      </c>
      <c r="AD23" s="28" t="str">
        <f>SUBSTITUTE((CLEAN(TRIM(Table33[[#This Row],[field id]]))&amp;": "&amp;CHAR(34)&amp;Table33[[#This Row],[&lt;&lt;NOLA_Exchange&gt;&gt;
Booking]]&amp;CHAR(34)&amp;CHAR(44)),"/nola:BookingExchange","")</f>
        <v>"IFOCUP": "/j:Booking/j:BookingSubject/RoleOfPerson/nola-ext:PersonAugmentation/PersonEmploymentAssociation/EmployeeOccupationText",</v>
      </c>
      <c r="AE23" s="32" t="str">
        <f>_xlfn.XLOOKUP(Table33[[#This Row],[&lt;&lt;NOLA_Exchange&gt;&gt;
Booking]],Table264[XPATHS],Table264['#],"DNE")</f>
        <v>152rel_xpath</v>
      </c>
      <c r="AF23" s="28" t="str">
        <f>SUBSTITUTE(Table33[[#This Row],[field id]],CHAR(34),"")</f>
        <v>IFOCUP</v>
      </c>
    </row>
    <row r="24" spans="1:32" ht="30" customHeight="1" x14ac:dyDescent="0.3">
      <c r="A24" s="28" t="str">
        <f t="shared" si="0"/>
        <v>23expanded_IMFLDR_sorted</v>
      </c>
      <c r="B24" s="28" t="e">
        <f t="shared" si="1"/>
        <v>#REF!</v>
      </c>
      <c r="C24" s="28" t="e">
        <f t="shared" si="2"/>
        <v>#REF!</v>
      </c>
      <c r="D24" s="28" t="e">
        <f t="shared" si="3"/>
        <v>#REF!</v>
      </c>
      <c r="E24" s="51" t="s">
        <v>32</v>
      </c>
      <c r="F24" s="38" t="s">
        <v>8</v>
      </c>
      <c r="G24" s="38">
        <v>173</v>
      </c>
      <c r="H24" s="39" t="s">
        <v>658</v>
      </c>
      <c r="I24" s="40" t="s">
        <v>659</v>
      </c>
      <c r="J24" s="38" t="s">
        <v>34</v>
      </c>
      <c r="K24" s="38" t="s">
        <v>660</v>
      </c>
      <c r="L24" s="38" t="s">
        <v>440</v>
      </c>
      <c r="M24" s="41" t="s">
        <v>57</v>
      </c>
      <c r="N24" s="38" t="s">
        <v>659</v>
      </c>
      <c r="O24" s="38" t="s">
        <v>673</v>
      </c>
      <c r="P24" s="42" t="s">
        <v>674</v>
      </c>
      <c r="Q24" s="42" t="s">
        <v>663</v>
      </c>
      <c r="R24" s="38" t="s">
        <v>375</v>
      </c>
      <c r="S24" s="38" t="s">
        <v>159</v>
      </c>
      <c r="T24" s="38"/>
      <c r="U24" s="38"/>
      <c r="V24" s="38"/>
      <c r="W24" s="42" t="s">
        <v>665</v>
      </c>
      <c r="X24" s="42" t="s">
        <v>673</v>
      </c>
      <c r="Y24" s="38" t="s">
        <v>45</v>
      </c>
      <c r="Z24" s="38" t="s">
        <v>90</v>
      </c>
      <c r="AA24" s="38" t="s">
        <v>666</v>
      </c>
      <c r="AB24" s="38" t="s">
        <v>675</v>
      </c>
      <c r="AC24" s="38" t="str">
        <f>SUBSTITUTE(Table33[[#This Row],[field name]],"field: ","")</f>
        <v>"IFAO1B"</v>
      </c>
      <c r="AD24" s="28" t="str">
        <f>SUBSTITUTE((CLEAN(TRIM(Table33[[#This Row],[field id]]))&amp;": "&amp;CHAR(34)&amp;Table33[[#This Row],[&lt;&lt;NOLA_Exchange&gt;&gt;
Booking]]&amp;CHAR(34)&amp;CHAR(44)),"/nola:BookingExchange","")</f>
        <v>"IFAO1B": "/j:Booking/j:Arrest/j:ArrestOfficial[1]/j:EnforcementOfficialBadgeIdentification/IdentificationID",</v>
      </c>
      <c r="AE24" s="32" t="str">
        <f>_xlfn.XLOOKUP(Table33[[#This Row],[&lt;&lt;NOLA_Exchange&gt;&gt;
Booking]],Table264[XPATHS],Table264['#],"DNE")</f>
        <v>336rel_xpath</v>
      </c>
      <c r="AF24" s="28" t="str">
        <f>SUBSTITUTE(Table33[[#This Row],[field id]],CHAR(34),"")</f>
        <v>IFAO1B</v>
      </c>
    </row>
    <row r="25" spans="1:32" ht="30" customHeight="1" x14ac:dyDescent="0.3">
      <c r="A25" s="28" t="str">
        <f t="shared" si="0"/>
        <v>24expanded_IMFLDR_sorted</v>
      </c>
      <c r="B25" s="28" t="e">
        <f>IF(#REF!=H25,#REF!,#REF!+1)</f>
        <v>#REF!</v>
      </c>
      <c r="C25" s="28" t="e">
        <f>IF(#REF!=I25,#REF!,#REF!+1)</f>
        <v>#REF!</v>
      </c>
      <c r="D25" s="28" t="e">
        <f>IF(#REF!=M25,#REF!,#REF!+1)</f>
        <v>#REF!</v>
      </c>
      <c r="E25" s="51" t="s">
        <v>32</v>
      </c>
      <c r="F25" s="38" t="s">
        <v>8</v>
      </c>
      <c r="G25" s="38">
        <v>173</v>
      </c>
      <c r="H25" s="39" t="s">
        <v>658</v>
      </c>
      <c r="I25" s="40" t="s">
        <v>659</v>
      </c>
      <c r="J25" s="38" t="s">
        <v>34</v>
      </c>
      <c r="K25" s="38" t="s">
        <v>660</v>
      </c>
      <c r="L25" s="38" t="s">
        <v>440</v>
      </c>
      <c r="M25" s="41" t="s">
        <v>49</v>
      </c>
      <c r="N25" s="38" t="s">
        <v>659</v>
      </c>
      <c r="O25" s="38" t="s">
        <v>676</v>
      </c>
      <c r="P25" s="42" t="s">
        <v>677</v>
      </c>
      <c r="Q25" s="42" t="s">
        <v>663</v>
      </c>
      <c r="R25" s="38" t="s">
        <v>375</v>
      </c>
      <c r="S25" s="38" t="s">
        <v>159</v>
      </c>
      <c r="T25" s="38"/>
      <c r="U25" s="38"/>
      <c r="V25" s="38"/>
      <c r="W25" s="50" t="s">
        <v>670</v>
      </c>
      <c r="X25" s="42" t="s">
        <v>676</v>
      </c>
      <c r="Y25" s="38" t="s">
        <v>45</v>
      </c>
      <c r="Z25" s="38" t="s">
        <v>90</v>
      </c>
      <c r="AA25" s="38" t="s">
        <v>678</v>
      </c>
      <c r="AB25" s="38" t="s">
        <v>679</v>
      </c>
      <c r="AC25" s="38" t="str">
        <f>SUBSTITUTE(Table33[[#This Row],[field name]],"field: ","")</f>
        <v>"IFAO2B"</v>
      </c>
      <c r="AD25" s="28" t="str">
        <f>SUBSTITUTE((CLEAN(TRIM(Table33[[#This Row],[field id]]))&amp;": "&amp;CHAR(34)&amp;Table33[[#This Row],[&lt;&lt;NOLA_Exchange&gt;&gt;
Booking]]&amp;CHAR(34)&amp;CHAR(44)),"/nola:BookingExchange","")</f>
        <v>"IFAO2B": "/j:Booking/j:Arrest/j:ArrestOfficial[2]/j:EnforcementOfficialBadgeIdentification/IdentificationID",</v>
      </c>
      <c r="AE25" s="32" t="str">
        <f>_xlfn.XLOOKUP(Table33[[#This Row],[&lt;&lt;NOLA_Exchange&gt;&gt;
Booking]],Table264[XPATHS],Table264['#],"DNE")</f>
        <v>361rel_xpath</v>
      </c>
      <c r="AF25" s="28" t="str">
        <f>SUBSTITUTE(Table33[[#This Row],[field id]],CHAR(34),"")</f>
        <v>IFAO2B</v>
      </c>
    </row>
    <row r="26" spans="1:32" ht="30" customHeight="1" x14ac:dyDescent="0.3">
      <c r="A26" s="28" t="str">
        <f t="shared" si="0"/>
        <v>25expanded_IMFLDR_sorted</v>
      </c>
      <c r="B26" s="28" t="e">
        <f>IF(#REF!=H26,#REF!,#REF!+1)</f>
        <v>#REF!</v>
      </c>
      <c r="C26" s="28" t="e">
        <f>IF(#REF!=I26,#REF!,#REF!+1)</f>
        <v>#REF!</v>
      </c>
      <c r="D26" s="28" t="e">
        <f>IF(#REF!=M26,#REF!,#REF!+1)</f>
        <v>#REF!</v>
      </c>
      <c r="E26" s="51" t="s">
        <v>32</v>
      </c>
      <c r="F26" s="38" t="s">
        <v>8</v>
      </c>
      <c r="G26" s="38">
        <v>182</v>
      </c>
      <c r="H26" s="39" t="s">
        <v>658</v>
      </c>
      <c r="I26" s="40" t="s">
        <v>695</v>
      </c>
      <c r="J26" s="38" t="s">
        <v>34</v>
      </c>
      <c r="K26" s="38" t="s">
        <v>696</v>
      </c>
      <c r="L26" s="38" t="s">
        <v>440</v>
      </c>
      <c r="M26" s="41" t="s">
        <v>57</v>
      </c>
      <c r="N26" s="38" t="s">
        <v>695</v>
      </c>
      <c r="O26" s="38" t="s">
        <v>710</v>
      </c>
      <c r="P26" s="42" t="s">
        <v>711</v>
      </c>
      <c r="Q26" s="42" t="s">
        <v>699</v>
      </c>
      <c r="R26" s="38" t="s">
        <v>700</v>
      </c>
      <c r="S26" s="38" t="s">
        <v>42</v>
      </c>
      <c r="T26" s="38"/>
      <c r="U26" s="38"/>
      <c r="V26" s="38"/>
      <c r="W26" s="42" t="s">
        <v>707</v>
      </c>
      <c r="X26" s="42" t="s">
        <v>710</v>
      </c>
      <c r="Y26" s="38" t="s">
        <v>45</v>
      </c>
      <c r="Z26" s="38" t="s">
        <v>90</v>
      </c>
      <c r="AA26" s="38" t="s">
        <v>712</v>
      </c>
      <c r="AB26" s="38" t="s">
        <v>713</v>
      </c>
      <c r="AC26" s="38" t="str">
        <f>SUBSTITUTE(Table33[[#This Row],[field name]],"field: ","")</f>
        <v>"IFAO2U"</v>
      </c>
      <c r="AD26" s="28" t="str">
        <f>SUBSTITUTE((CLEAN(TRIM(Table33[[#This Row],[field id]]))&amp;": "&amp;CHAR(34)&amp;Table33[[#This Row],[&lt;&lt;NOLA_Exchange&gt;&gt;
Booking]]&amp;CHAR(34)&amp;CHAR(44)),"/nola:BookingExchange","")</f>
        <v>"IFAO2U": "/j:Booking/j:Arrest/j:ArrestOfficial[2]/j:EnforcementOfficialUnit/j:EnforcementUnitName",</v>
      </c>
      <c r="AE26" s="32" t="str">
        <f>_xlfn.XLOOKUP(Table33[[#This Row],[&lt;&lt;NOLA_Exchange&gt;&gt;
Booking]],Table264[XPATHS],Table264['#],"DNE")</f>
        <v>368rel_xpath</v>
      </c>
      <c r="AF26" s="28" t="str">
        <f>SUBSTITUTE(Table33[[#This Row],[field id]],CHAR(34),"")</f>
        <v>IFAO2U</v>
      </c>
    </row>
    <row r="27" spans="1:32" ht="30" customHeight="1" x14ac:dyDescent="0.3">
      <c r="A27" s="28" t="str">
        <f t="shared" si="0"/>
        <v>26expanded_IMFLDR_sorted</v>
      </c>
      <c r="B27" s="28" t="e">
        <f t="shared" si="1"/>
        <v>#REF!</v>
      </c>
      <c r="C27" s="28" t="e">
        <f t="shared" si="2"/>
        <v>#REF!</v>
      </c>
      <c r="D27" s="28" t="e">
        <f t="shared" si="3"/>
        <v>#REF!</v>
      </c>
      <c r="E27" s="51" t="s">
        <v>32</v>
      </c>
      <c r="F27" s="38" t="s">
        <v>8</v>
      </c>
      <c r="G27" s="38">
        <v>182</v>
      </c>
      <c r="H27" s="39" t="s">
        <v>658</v>
      </c>
      <c r="I27" s="40" t="s">
        <v>695</v>
      </c>
      <c r="J27" s="38" t="s">
        <v>34</v>
      </c>
      <c r="K27" s="38" t="s">
        <v>696</v>
      </c>
      <c r="L27" s="38" t="s">
        <v>440</v>
      </c>
      <c r="M27" s="41" t="s">
        <v>49</v>
      </c>
      <c r="N27" s="38" t="s">
        <v>695</v>
      </c>
      <c r="O27" s="38" t="s">
        <v>714</v>
      </c>
      <c r="P27" s="42" t="s">
        <v>715</v>
      </c>
      <c r="Q27" s="42" t="s">
        <v>699</v>
      </c>
      <c r="R27" s="38" t="s">
        <v>700</v>
      </c>
      <c r="S27" s="38" t="s">
        <v>42</v>
      </c>
      <c r="T27" s="38"/>
      <c r="U27" s="38"/>
      <c r="V27" s="38"/>
      <c r="W27" s="42" t="s">
        <v>702</v>
      </c>
      <c r="X27" s="42" t="s">
        <v>714</v>
      </c>
      <c r="Y27" s="38" t="s">
        <v>45</v>
      </c>
      <c r="Z27" s="38" t="s">
        <v>90</v>
      </c>
      <c r="AA27" s="38" t="s">
        <v>708</v>
      </c>
      <c r="AB27" s="38" t="s">
        <v>716</v>
      </c>
      <c r="AC27" s="38" t="str">
        <f>SUBSTITUTE(Table33[[#This Row],[field name]],"field: ","")</f>
        <v>"IFAO1U"</v>
      </c>
      <c r="AD27" s="28" t="str">
        <f>SUBSTITUTE((CLEAN(TRIM(Table33[[#This Row],[field id]]))&amp;": "&amp;CHAR(34)&amp;Table33[[#This Row],[&lt;&lt;NOLA_Exchange&gt;&gt;
Booking]]&amp;CHAR(34)&amp;CHAR(44)),"/nola:BookingExchange","")</f>
        <v>"IFAO1U": "/j:Booking/j:Arrest/j:ArrestOfficial[1]/j:EnforcementOfficialUnit/j:EnforcementUnitName",</v>
      </c>
      <c r="AE27" s="32" t="str">
        <f>_xlfn.XLOOKUP(Table33[[#This Row],[&lt;&lt;NOLA_Exchange&gt;&gt;
Booking]],Table264[XPATHS],Table264['#],"DNE")</f>
        <v>343rel_xpath</v>
      </c>
      <c r="AF27" s="28" t="str">
        <f>SUBSTITUTE(Table33[[#This Row],[field id]],CHAR(34),"")</f>
        <v>IFAO1U</v>
      </c>
    </row>
    <row r="28" spans="1:32" ht="30" customHeight="1" x14ac:dyDescent="0.3">
      <c r="A28" s="28" t="str">
        <f t="shared" si="0"/>
        <v>27expanded_IMFLDR_sorted</v>
      </c>
      <c r="B28" s="28" t="e">
        <f>IF(#REF!=H28,#REF!,#REF!+1)</f>
        <v>#REF!</v>
      </c>
      <c r="C28" s="28" t="e">
        <f>IF(#REF!=I28,#REF!,#REF!+1)</f>
        <v>#REF!</v>
      </c>
      <c r="D28" s="28" t="e">
        <f>IF(#REF!=M28,#REF!,#REF!+1)</f>
        <v>#REF!</v>
      </c>
      <c r="E28" s="51" t="s">
        <v>32</v>
      </c>
      <c r="F28" s="38" t="s">
        <v>8</v>
      </c>
      <c r="G28" s="38">
        <v>204</v>
      </c>
      <c r="H28" s="39" t="s">
        <v>717</v>
      </c>
      <c r="I28" s="40" t="s">
        <v>718</v>
      </c>
      <c r="J28" s="38" t="s">
        <v>719</v>
      </c>
      <c r="K28" s="38" t="s">
        <v>720</v>
      </c>
      <c r="L28" s="38" t="s">
        <v>36</v>
      </c>
      <c r="M28" s="41" t="s">
        <v>57</v>
      </c>
      <c r="N28" s="38" t="s">
        <v>718</v>
      </c>
      <c r="O28" s="38" t="s">
        <v>731</v>
      </c>
      <c r="P28" s="42" t="s">
        <v>732</v>
      </c>
      <c r="Q28" s="42" t="s">
        <v>723</v>
      </c>
      <c r="R28" s="38" t="s">
        <v>724</v>
      </c>
      <c r="S28" s="38" t="s">
        <v>725</v>
      </c>
      <c r="T28" s="38"/>
      <c r="U28" s="38"/>
      <c r="V28" s="38" t="s">
        <v>727</v>
      </c>
      <c r="W28" s="50" t="s">
        <v>3508</v>
      </c>
      <c r="X28" s="42" t="s">
        <v>731</v>
      </c>
      <c r="Y28" s="38" t="s">
        <v>45</v>
      </c>
      <c r="Z28" s="38" t="s">
        <v>90</v>
      </c>
      <c r="AA28" s="38" t="s">
        <v>733</v>
      </c>
      <c r="AB28" s="38" t="s">
        <v>734</v>
      </c>
      <c r="AC28" s="38" t="str">
        <f>SUBSTITUTE(Table33[[#This Row],[field name]],"field: ","")</f>
        <v>"IFEYES"</v>
      </c>
      <c r="AD28" s="28" t="str">
        <f>SUBSTITUTE((CLEAN(TRIM(Table33[[#This Row],[field id]]))&amp;": "&amp;CHAR(34)&amp;Table33[[#This Row],[&lt;&lt;NOLA_Exchange&gt;&gt;
Booking]]&amp;CHAR(34)&amp;CHAR(44)),"/nola:BookingExchange","")</f>
        <v>"IFEYES": "/j:Booking/j:BookingSubject/RoleOfPerson/PersonEyeColorText",</v>
      </c>
      <c r="AE28" s="32" t="str">
        <f>_xlfn.XLOOKUP(Table33[[#This Row],[&lt;&lt;NOLA_Exchange&gt;&gt;
Booking]],Table264[XPATHS],Table264['#],"DNE")</f>
        <v>38rel_xpath</v>
      </c>
      <c r="AF28" s="28" t="str">
        <f>SUBSTITUTE(Table33[[#This Row],[field id]],CHAR(34),"")</f>
        <v>IFEYES</v>
      </c>
    </row>
    <row r="29" spans="1:32" ht="30" customHeight="1" x14ac:dyDescent="0.3">
      <c r="A29" s="28" t="str">
        <f t="shared" si="0"/>
        <v>28expanded_IMFLDR_sorted</v>
      </c>
      <c r="B29" s="28" t="e">
        <f t="shared" si="1"/>
        <v>#REF!</v>
      </c>
      <c r="C29" s="28" t="e">
        <f t="shared" si="2"/>
        <v>#REF!</v>
      </c>
      <c r="D29" s="28" t="e">
        <f t="shared" si="3"/>
        <v>#REF!</v>
      </c>
      <c r="E29" s="51" t="s">
        <v>32</v>
      </c>
      <c r="F29" s="38" t="s">
        <v>8</v>
      </c>
      <c r="G29" s="38">
        <v>203</v>
      </c>
      <c r="H29" s="39" t="s">
        <v>717</v>
      </c>
      <c r="I29" s="40" t="s">
        <v>745</v>
      </c>
      <c r="J29" s="38" t="s">
        <v>746</v>
      </c>
      <c r="K29" s="38" t="s">
        <v>747</v>
      </c>
      <c r="L29" s="38" t="s">
        <v>36</v>
      </c>
      <c r="M29" s="41" t="s">
        <v>52</v>
      </c>
      <c r="N29" s="38" t="s">
        <v>745</v>
      </c>
      <c r="O29" s="38" t="s">
        <v>748</v>
      </c>
      <c r="P29" s="42" t="s">
        <v>749</v>
      </c>
      <c r="Q29" s="42" t="s">
        <v>750</v>
      </c>
      <c r="R29" s="38" t="s">
        <v>751</v>
      </c>
      <c r="S29" s="38" t="s">
        <v>42</v>
      </c>
      <c r="T29" s="38"/>
      <c r="U29" s="38"/>
      <c r="V29" s="38" t="s">
        <v>727</v>
      </c>
      <c r="W29" s="42" t="s">
        <v>753</v>
      </c>
      <c r="X29" s="42" t="s">
        <v>748</v>
      </c>
      <c r="Y29" s="38" t="s">
        <v>45</v>
      </c>
      <c r="Z29" s="38" t="s">
        <v>90</v>
      </c>
      <c r="AA29" s="38" t="s">
        <v>754</v>
      </c>
      <c r="AB29" s="38" t="s">
        <v>755</v>
      </c>
      <c r="AC29" s="38" t="str">
        <f>SUBSTITUTE(Table33[[#This Row],[field name]],"field: ","")</f>
        <v>"IFHAIR"</v>
      </c>
      <c r="AD29" s="28" t="str">
        <f>SUBSTITUTE((CLEAN(TRIM(Table33[[#This Row],[field id]]))&amp;": "&amp;CHAR(34)&amp;Table33[[#This Row],[&lt;&lt;NOLA_Exchange&gt;&gt;
Booking]]&amp;CHAR(34)&amp;CHAR(44)),"/nola:BookingExchange","")</f>
        <v>"IFHAIR": "/j:Booking/j:BookingSubject/RoleOfPerson/PersonHairColorText",</v>
      </c>
      <c r="AE29" s="32" t="str">
        <f>_xlfn.XLOOKUP(Table33[[#This Row],[&lt;&lt;NOLA_Exchange&gt;&gt;
Booking]],Table264[XPATHS],Table264['#],"DNE")</f>
        <v>39rel_xpath</v>
      </c>
      <c r="AF29" s="28" t="str">
        <f>SUBSTITUTE(Table33[[#This Row],[field id]],CHAR(34),"")</f>
        <v>IFHAIR</v>
      </c>
    </row>
    <row r="30" spans="1:32" ht="30" customHeight="1" x14ac:dyDescent="0.3">
      <c r="A30" s="28" t="str">
        <f t="shared" si="0"/>
        <v>29expanded_IMFLDR_sorted</v>
      </c>
      <c r="B30" s="28" t="e">
        <f t="shared" si="1"/>
        <v>#REF!</v>
      </c>
      <c r="C30" s="28" t="e">
        <f t="shared" si="2"/>
        <v>#REF!</v>
      </c>
      <c r="D30" s="28" t="e">
        <f t="shared" si="3"/>
        <v>#REF!</v>
      </c>
      <c r="E30" s="51" t="s">
        <v>32</v>
      </c>
      <c r="F30" s="38" t="s">
        <v>8</v>
      </c>
      <c r="G30" s="38">
        <v>205</v>
      </c>
      <c r="H30" s="39" t="s">
        <v>717</v>
      </c>
      <c r="I30" s="40" t="s">
        <v>760</v>
      </c>
      <c r="J30" s="38" t="s">
        <v>370</v>
      </c>
      <c r="K30" s="38" t="s">
        <v>761</v>
      </c>
      <c r="L30" s="38" t="s">
        <v>762</v>
      </c>
      <c r="M30" s="41" t="s">
        <v>57</v>
      </c>
      <c r="N30" s="38" t="s">
        <v>760</v>
      </c>
      <c r="O30" s="38" t="s">
        <v>773</v>
      </c>
      <c r="P30" s="42" t="s">
        <v>774</v>
      </c>
      <c r="Q30" s="42" t="s">
        <v>765</v>
      </c>
      <c r="R30" s="38" t="s">
        <v>2479</v>
      </c>
      <c r="S30" s="38" t="s">
        <v>42</v>
      </c>
      <c r="T30" s="38"/>
      <c r="U30" s="38" t="s">
        <v>768</v>
      </c>
      <c r="V30" s="38"/>
      <c r="W30" s="50" t="s">
        <v>769</v>
      </c>
      <c r="X30" s="42" t="s">
        <v>773</v>
      </c>
      <c r="Y30" s="38" t="s">
        <v>45</v>
      </c>
      <c r="Z30" s="38" t="s">
        <v>90</v>
      </c>
      <c r="AA30" s="38" t="s">
        <v>770</v>
      </c>
      <c r="AB30" s="38" t="s">
        <v>775</v>
      </c>
      <c r="AC30" s="38" t="str">
        <f>SUBSTITUTE(Table33[[#This Row],[field name]],"field: ","")</f>
        <v>"IFHGHT"</v>
      </c>
      <c r="AD30" s="28" t="str">
        <f>SUBSTITUTE((CLEAN(TRIM(Table33[[#This Row],[field id]]))&amp;": "&amp;CHAR(34)&amp;Table33[[#This Row],[&lt;&lt;NOLA_Exchange&gt;&gt;
Booking]]&amp;CHAR(34)&amp;CHAR(44)),"/nola:BookingExchange","")</f>
        <v>"IFHGHT": "/j:Booking/j:BookingSubject/RoleOfPerson/PersonHeightMeasure[1]/MeasureValueText",</v>
      </c>
      <c r="AE30" s="32" t="str">
        <f>_xlfn.XLOOKUP(Table33[[#This Row],[&lt;&lt;NOLA_Exchange&gt;&gt;
Booking]],Table264[XPATHS],Table264['#],"DNE")</f>
        <v>41rel_xpath</v>
      </c>
      <c r="AF30" s="28" t="str">
        <f>SUBSTITUTE(Table33[[#This Row],[field id]],CHAR(34),"")</f>
        <v>IFHGHT</v>
      </c>
    </row>
    <row r="31" spans="1:32" ht="30" customHeight="1" x14ac:dyDescent="0.3">
      <c r="A31" s="28" t="str">
        <f t="shared" si="0"/>
        <v>30expanded_IMFLDR_sorted</v>
      </c>
      <c r="B31" s="28" t="e">
        <f>IF(#REF!=H31,#REF!,#REF!+1)</f>
        <v>#REF!</v>
      </c>
      <c r="C31" s="28" t="e">
        <f>IF(#REF!=I31,#REF!,#REF!+1)</f>
        <v>#REF!</v>
      </c>
      <c r="D31" s="28" t="e">
        <f>IF(#REF!=M31,#REF!,#REF!+1)</f>
        <v>#REF!</v>
      </c>
      <c r="E31" s="51" t="s">
        <v>32</v>
      </c>
      <c r="F31" s="38" t="s">
        <v>8</v>
      </c>
      <c r="G31" s="38">
        <v>216</v>
      </c>
      <c r="H31" s="39" t="s">
        <v>717</v>
      </c>
      <c r="I31" s="40" t="s">
        <v>776</v>
      </c>
      <c r="J31" s="38" t="s">
        <v>34</v>
      </c>
      <c r="K31" s="38" t="s">
        <v>777</v>
      </c>
      <c r="L31" s="38" t="s">
        <v>36</v>
      </c>
      <c r="M31" s="41" t="s">
        <v>52</v>
      </c>
      <c r="N31" s="38" t="s">
        <v>776</v>
      </c>
      <c r="O31" s="38" t="s">
        <v>778</v>
      </c>
      <c r="P31" s="42" t="s">
        <v>779</v>
      </c>
      <c r="Q31" s="42" t="s">
        <v>780</v>
      </c>
      <c r="R31" s="38" t="s">
        <v>781</v>
      </c>
      <c r="S31" s="38" t="s">
        <v>42</v>
      </c>
      <c r="T31" s="38"/>
      <c r="U31" s="38"/>
      <c r="V31" s="38"/>
      <c r="W31" s="42" t="s">
        <v>783</v>
      </c>
      <c r="X31" s="42" t="s">
        <v>778</v>
      </c>
      <c r="Y31" s="38" t="s">
        <v>45</v>
      </c>
      <c r="Z31" s="38" t="s">
        <v>90</v>
      </c>
      <c r="AA31" s="38" t="s">
        <v>784</v>
      </c>
      <c r="AB31" s="38" t="s">
        <v>785</v>
      </c>
      <c r="AC31" s="38" t="str">
        <f>SUBSTITUTE(Table33[[#This Row],[field name]],"field: ","")</f>
        <v>"IFHOMO"</v>
      </c>
      <c r="AD31" s="28" t="str">
        <f>SUBSTITUTE((CLEAN(TRIM(Table33[[#This Row],[field id]]))&amp;": "&amp;CHAR(34)&amp;Table33[[#This Row],[&lt;&lt;NOLA_Exchange&gt;&gt;
Booking]]&amp;CHAR(34)&amp;CHAR(44)),"/nola:BookingExchange","")</f>
        <v>"IFHOMO": "/j:Booking/j:BookingSubject/RoleOfPerson/PersonSexualOrientationText",</v>
      </c>
      <c r="AE31" s="32" t="str">
        <f>_xlfn.XLOOKUP(Table33[[#This Row],[&lt;&lt;NOLA_Exchange&gt;&gt;
Booking]],Table264[XPATHS],Table264['#],"DNE")</f>
        <v>70rel_xpath</v>
      </c>
      <c r="AF31" s="28" t="str">
        <f>SUBSTITUTE(Table33[[#This Row],[field id]],CHAR(34),"")</f>
        <v>IFHOMO</v>
      </c>
    </row>
    <row r="32" spans="1:32" ht="30" customHeight="1" x14ac:dyDescent="0.3">
      <c r="A32" s="28" t="str">
        <f t="shared" si="0"/>
        <v>31expanded_IMFLDR_sorted</v>
      </c>
      <c r="B32" s="28" t="e">
        <f t="shared" ref="B32:B56" si="4">IF(H31=H32,B31,B31+1)</f>
        <v>#REF!</v>
      </c>
      <c r="C32" s="28" t="e">
        <f t="shared" ref="C32:C56" si="5">IF(I31=I32,C31,C31+1)</f>
        <v>#REF!</v>
      </c>
      <c r="D32" s="28" t="e">
        <f t="shared" ref="D32:D56" si="6">IF(M31=M32,D31,D31+1)</f>
        <v>#REF!</v>
      </c>
      <c r="E32" s="51" t="s">
        <v>32</v>
      </c>
      <c r="F32" s="38" t="s">
        <v>8</v>
      </c>
      <c r="G32" s="38">
        <v>213</v>
      </c>
      <c r="H32" s="39" t="s">
        <v>717</v>
      </c>
      <c r="I32" s="40" t="s">
        <v>786</v>
      </c>
      <c r="J32" s="38" t="s">
        <v>34</v>
      </c>
      <c r="K32" s="38" t="s">
        <v>787</v>
      </c>
      <c r="L32" s="38" t="s">
        <v>36</v>
      </c>
      <c r="M32" s="41" t="s">
        <v>57</v>
      </c>
      <c r="N32" s="38" t="s">
        <v>786</v>
      </c>
      <c r="O32" s="38" t="s">
        <v>794</v>
      </c>
      <c r="P32" s="42" t="s">
        <v>795</v>
      </c>
      <c r="Q32" s="42" t="s">
        <v>790</v>
      </c>
      <c r="R32" s="38" t="s">
        <v>98</v>
      </c>
      <c r="S32" s="38" t="s">
        <v>72</v>
      </c>
      <c r="T32" s="38"/>
      <c r="U32" s="38"/>
      <c r="V32" s="38"/>
      <c r="W32" s="42" t="s">
        <v>100</v>
      </c>
      <c r="X32" s="42" t="s">
        <v>794</v>
      </c>
      <c r="Y32" s="38" t="s">
        <v>45</v>
      </c>
      <c r="Z32" s="38" t="s">
        <v>90</v>
      </c>
      <c r="AA32" s="38" t="s">
        <v>796</v>
      </c>
      <c r="AB32" s="38" t="s">
        <v>797</v>
      </c>
      <c r="AC32" s="38" t="str">
        <f>SUBSTITUTE(Table33[[#This Row],[field name]],"field: ","")</f>
        <v>"IFCNTY"</v>
      </c>
      <c r="AD32" s="28" t="str">
        <f>SUBSTITUTE((CLEAN(TRIM(Table33[[#This Row],[field id]]))&amp;": "&amp;CHAR(34)&amp;Table33[[#This Row],[&lt;&lt;NOLA_Exchange&gt;&gt;
Booking]]&amp;CHAR(34)&amp;CHAR(44)),"/nola:BookingExchange","")</f>
        <v>"IFCNTY": "/j:Booking/j:BookingSubject/RoleOfPerson/PersonNationality/PersonNationalityCountry/CountryName",</v>
      </c>
      <c r="AE32" s="32" t="str">
        <f>_xlfn.XLOOKUP(Table33[[#This Row],[&lt;&lt;NOLA_Exchange&gt;&gt;
Booking]],Table264[XPATHS],Table264['#],"DNE")</f>
        <v>81rel_xpath</v>
      </c>
      <c r="AF32" s="28" t="str">
        <f>SUBSTITUTE(Table33[[#This Row],[field id]],CHAR(34),"")</f>
        <v>IFCNTY</v>
      </c>
    </row>
    <row r="33" spans="1:32" ht="30" customHeight="1" x14ac:dyDescent="0.3">
      <c r="A33" s="28" t="str">
        <f t="shared" si="0"/>
        <v>32expanded_IMFLDR_sorted</v>
      </c>
      <c r="B33" s="28" t="e">
        <f t="shared" si="4"/>
        <v>#REF!</v>
      </c>
      <c r="C33" s="28" t="e">
        <f t="shared" si="5"/>
        <v>#REF!</v>
      </c>
      <c r="D33" s="28" t="e">
        <f t="shared" si="6"/>
        <v>#REF!</v>
      </c>
      <c r="E33" s="51" t="s">
        <v>32</v>
      </c>
      <c r="F33" s="38" t="s">
        <v>8</v>
      </c>
      <c r="G33" s="38">
        <v>208</v>
      </c>
      <c r="H33" s="39" t="s">
        <v>717</v>
      </c>
      <c r="I33" s="40" t="s">
        <v>798</v>
      </c>
      <c r="J33" s="38" t="s">
        <v>34</v>
      </c>
      <c r="K33" s="38" t="s">
        <v>799</v>
      </c>
      <c r="L33" s="38" t="s">
        <v>36</v>
      </c>
      <c r="M33" s="41" t="s">
        <v>87</v>
      </c>
      <c r="N33" s="38" t="s">
        <v>798</v>
      </c>
      <c r="O33" s="38" t="s">
        <v>817</v>
      </c>
      <c r="P33" s="42" t="s">
        <v>818</v>
      </c>
      <c r="Q33" s="42" t="s">
        <v>802</v>
      </c>
      <c r="R33" s="38" t="s">
        <v>803</v>
      </c>
      <c r="S33" s="38" t="s">
        <v>42</v>
      </c>
      <c r="T33" s="38"/>
      <c r="U33" s="38"/>
      <c r="V33" s="38" t="s">
        <v>805</v>
      </c>
      <c r="W33" s="42" t="s">
        <v>806</v>
      </c>
      <c r="X33" s="42" t="s">
        <v>817</v>
      </c>
      <c r="Y33" s="38" t="s">
        <v>45</v>
      </c>
      <c r="Z33" s="38" t="s">
        <v>90</v>
      </c>
      <c r="AA33" s="38" t="s">
        <v>819</v>
      </c>
      <c r="AB33" s="38" t="s">
        <v>820</v>
      </c>
      <c r="AC33" s="38" t="str">
        <f>SUBSTITUTE(Table33[[#This Row],[field name]],"field: ","")</f>
        <v>"IFRACE"</v>
      </c>
      <c r="AD33" s="28" t="str">
        <f>SUBSTITUTE((CLEAN(TRIM(Table33[[#This Row],[field id]]))&amp;": "&amp;CHAR(34)&amp;Table33[[#This Row],[&lt;&lt;NOLA_Exchange&gt;&gt;
Booking]]&amp;CHAR(34)&amp;CHAR(44)),"/nola:BookingExchange","")</f>
        <v>"IFRACE": "/j:Booking/j:BookingSubject/RoleOfPerson/PersonRaceText",</v>
      </c>
      <c r="AE33" s="32" t="str">
        <f>_xlfn.XLOOKUP(Table33[[#This Row],[&lt;&lt;NOLA_Exchange&gt;&gt;
Booking]],Table264[XPATHS],Table264['#],"DNE")</f>
        <v>68rel_xpath</v>
      </c>
      <c r="AF33" s="28" t="str">
        <f>SUBSTITUTE(Table33[[#This Row],[field id]],CHAR(34),"")</f>
        <v>IFRACE</v>
      </c>
    </row>
    <row r="34" spans="1:32" ht="30" customHeight="1" x14ac:dyDescent="0.3">
      <c r="A34" s="28" t="str">
        <f t="shared" si="0"/>
        <v>33expanded_IMFLDR_sorted</v>
      </c>
      <c r="B34" s="28" t="e">
        <f t="shared" si="4"/>
        <v>#REF!</v>
      </c>
      <c r="C34" s="28" t="e">
        <f t="shared" si="5"/>
        <v>#REF!</v>
      </c>
      <c r="D34" s="28" t="e">
        <f t="shared" si="6"/>
        <v>#REF!</v>
      </c>
      <c r="E34" s="51" t="s">
        <v>32</v>
      </c>
      <c r="F34" s="38" t="s">
        <v>8</v>
      </c>
      <c r="G34" s="38">
        <v>215</v>
      </c>
      <c r="H34" s="39" t="s">
        <v>717</v>
      </c>
      <c r="I34" s="40" t="s">
        <v>821</v>
      </c>
      <c r="J34" s="38" t="s">
        <v>822</v>
      </c>
      <c r="K34" s="38" t="s">
        <v>736</v>
      </c>
      <c r="L34" s="38" t="s">
        <v>36</v>
      </c>
      <c r="M34" s="41" t="s">
        <v>49</v>
      </c>
      <c r="N34" s="38" t="s">
        <v>821</v>
      </c>
      <c r="O34" s="38" t="s">
        <v>835</v>
      </c>
      <c r="P34" s="42" t="s">
        <v>836</v>
      </c>
      <c r="Q34" s="42" t="s">
        <v>825</v>
      </c>
      <c r="R34" s="38" t="s">
        <v>826</v>
      </c>
      <c r="S34" s="38" t="s">
        <v>42</v>
      </c>
      <c r="T34" s="38"/>
      <c r="U34" s="38"/>
      <c r="V34" s="38"/>
      <c r="W34" s="42" t="s">
        <v>828</v>
      </c>
      <c r="X34" s="42" t="s">
        <v>835</v>
      </c>
      <c r="Y34" s="38" t="s">
        <v>45</v>
      </c>
      <c r="Z34" s="38" t="s">
        <v>90</v>
      </c>
      <c r="AA34" s="38" t="s">
        <v>837</v>
      </c>
      <c r="AB34" s="38" t="s">
        <v>838</v>
      </c>
      <c r="AC34" s="38" t="str">
        <f>SUBSTITUTE(Table33[[#This Row],[field name]],"field: ","")</f>
        <v>"IFSEXC"</v>
      </c>
      <c r="AD34" s="28" t="str">
        <f>SUBSTITUTE((CLEAN(TRIM(Table33[[#This Row],[field id]]))&amp;": "&amp;CHAR(34)&amp;Table33[[#This Row],[&lt;&lt;NOLA_Exchange&gt;&gt;
Booking]]&amp;CHAR(34)&amp;CHAR(44)),"/nola:BookingExchange","")</f>
        <v>"IFSEXC": "/j:Booking/j:BookingSubject/RoleOfPerson/PersonSexText",</v>
      </c>
      <c r="AE34" s="32" t="str">
        <f>_xlfn.XLOOKUP(Table33[[#This Row],[&lt;&lt;NOLA_Exchange&gt;&gt;
Booking]],Table264[XPATHS],Table264['#],"DNE")</f>
        <v>69rel_xpath</v>
      </c>
      <c r="AF34" s="28" t="str">
        <f>SUBSTITUTE(Table33[[#This Row],[field id]],CHAR(34),"")</f>
        <v>IFSEXC</v>
      </c>
    </row>
    <row r="35" spans="1:32" ht="30" customHeight="1" x14ac:dyDescent="0.3">
      <c r="A35" s="28" t="str">
        <f t="shared" si="0"/>
        <v>34expanded_IMFLDR_sorted</v>
      </c>
      <c r="B35" s="28" t="e">
        <f t="shared" si="4"/>
        <v>#REF!</v>
      </c>
      <c r="C35" s="28" t="e">
        <f t="shared" si="5"/>
        <v>#REF!</v>
      </c>
      <c r="D35" s="28" t="e">
        <f t="shared" si="6"/>
        <v>#REF!</v>
      </c>
      <c r="E35" s="51" t="s">
        <v>32</v>
      </c>
      <c r="F35" s="38" t="s">
        <v>8</v>
      </c>
      <c r="G35" s="38">
        <v>223</v>
      </c>
      <c r="H35" s="39" t="s">
        <v>717</v>
      </c>
      <c r="I35" s="40" t="s">
        <v>839</v>
      </c>
      <c r="J35" s="38" t="s">
        <v>840</v>
      </c>
      <c r="K35" s="38" t="s">
        <v>841</v>
      </c>
      <c r="L35" s="38" t="s">
        <v>36</v>
      </c>
      <c r="M35" s="41" t="s">
        <v>52</v>
      </c>
      <c r="N35" s="38" t="s">
        <v>839</v>
      </c>
      <c r="O35" s="38" t="s">
        <v>842</v>
      </c>
      <c r="P35" s="42" t="s">
        <v>843</v>
      </c>
      <c r="Q35" s="42" t="s">
        <v>844</v>
      </c>
      <c r="R35" s="38" t="s">
        <v>845</v>
      </c>
      <c r="S35" s="38" t="s">
        <v>846</v>
      </c>
      <c r="T35" s="38"/>
      <c r="U35" s="38"/>
      <c r="V35" s="38"/>
      <c r="W35" s="42" t="s">
        <v>848</v>
      </c>
      <c r="X35" s="42" t="s">
        <v>842</v>
      </c>
      <c r="Y35" s="38" t="s">
        <v>45</v>
      </c>
      <c r="Z35" s="38" t="s">
        <v>90</v>
      </c>
      <c r="AA35" s="52" t="s">
        <v>849</v>
      </c>
      <c r="AB35" s="52" t="s">
        <v>850</v>
      </c>
      <c r="AC35" s="38" t="str">
        <f>SUBSTITUTE(Table33[[#This Row],[field name]],"field: ","")</f>
        <v>"IFUSAC"</v>
      </c>
      <c r="AD35" s="28" t="str">
        <f>SUBSTITUTE((CLEAN(TRIM(Table33[[#This Row],[field id]]))&amp;": "&amp;CHAR(34)&amp;Table33[[#This Row],[&lt;&lt;NOLA_Exchange&gt;&gt;
Booking]]&amp;CHAR(34)&amp;CHAR(44)),"/nola:BookingExchange","")</f>
        <v>"IFUSAC": "/j:Booking/j:BookingSubject/RoleOfPerson/PersonUSCitizenIndicator",</v>
      </c>
      <c r="AE35" s="32" t="str">
        <f>_xlfn.XLOOKUP(Table33[[#This Row],[&lt;&lt;NOLA_Exchange&gt;&gt;
Booking]],Table264[XPATHS],Table264['#],"DNE")</f>
        <v>77rel_xpath</v>
      </c>
      <c r="AF35" s="28" t="str">
        <f>SUBSTITUTE(Table33[[#This Row],[field id]],CHAR(34),"")</f>
        <v>IFUSAC</v>
      </c>
    </row>
    <row r="36" spans="1:32" ht="30" customHeight="1" x14ac:dyDescent="0.3">
      <c r="A36" s="28" t="str">
        <f t="shared" si="0"/>
        <v>35expanded_IMFLDR_sorted</v>
      </c>
      <c r="B36" s="28" t="e">
        <f t="shared" si="4"/>
        <v>#REF!</v>
      </c>
      <c r="C36" s="28" t="e">
        <f t="shared" si="5"/>
        <v>#REF!</v>
      </c>
      <c r="D36" s="28" t="e">
        <f t="shared" si="6"/>
        <v>#REF!</v>
      </c>
      <c r="E36" s="51" t="s">
        <v>32</v>
      </c>
      <c r="F36" s="38" t="s">
        <v>8</v>
      </c>
      <c r="G36" s="38">
        <v>206</v>
      </c>
      <c r="H36" s="39" t="s">
        <v>717</v>
      </c>
      <c r="I36" s="40" t="s">
        <v>851</v>
      </c>
      <c r="J36" s="38" t="s">
        <v>370</v>
      </c>
      <c r="K36" s="38" t="s">
        <v>852</v>
      </c>
      <c r="L36" s="38" t="s">
        <v>36</v>
      </c>
      <c r="M36" s="41" t="s">
        <v>57</v>
      </c>
      <c r="N36" s="38" t="s">
        <v>851</v>
      </c>
      <c r="O36" s="38" t="s">
        <v>861</v>
      </c>
      <c r="P36" s="42" t="s">
        <v>862</v>
      </c>
      <c r="Q36" s="42" t="s">
        <v>855</v>
      </c>
      <c r="R36" s="38" t="s">
        <v>856</v>
      </c>
      <c r="S36" s="38" t="s">
        <v>42</v>
      </c>
      <c r="T36" s="38"/>
      <c r="U36" s="38"/>
      <c r="V36" s="38"/>
      <c r="W36" s="42" t="s">
        <v>858</v>
      </c>
      <c r="X36" s="42" t="s">
        <v>861</v>
      </c>
      <c r="Y36" s="38" t="s">
        <v>45</v>
      </c>
      <c r="Z36" s="38" t="s">
        <v>90</v>
      </c>
      <c r="AA36" s="38" t="s">
        <v>859</v>
      </c>
      <c r="AB36" s="38" t="s">
        <v>863</v>
      </c>
      <c r="AC36" s="38" t="str">
        <f>SUBSTITUTE(Table33[[#This Row],[field name]],"field: ","")</f>
        <v>"IFWGHT"</v>
      </c>
      <c r="AD36" s="28" t="str">
        <f>SUBSTITUTE((CLEAN(TRIM(Table33[[#This Row],[field id]]))&amp;": "&amp;CHAR(34)&amp;Table33[[#This Row],[&lt;&lt;NOLA_Exchange&gt;&gt;
Booking]]&amp;CHAR(34)&amp;CHAR(44)),"/nola:BookingExchange","")</f>
        <v>"IFWGHT": "/j:Booking/j:BookingSubject/RoleOfPerson/PersonWeightDescriptionText",</v>
      </c>
      <c r="AE36" s="32" t="str">
        <f>_xlfn.XLOOKUP(Table33[[#This Row],[&lt;&lt;NOLA_Exchange&gt;&gt;
Booking]],Table264[XPATHS],Table264['#],"DNE")</f>
        <v>78rel_xpath</v>
      </c>
      <c r="AF36" s="28" t="str">
        <f>SUBSTITUTE(Table33[[#This Row],[field id]],CHAR(34),"")</f>
        <v>IFWGHT</v>
      </c>
    </row>
    <row r="37" spans="1:32" ht="30" customHeight="1" x14ac:dyDescent="0.3">
      <c r="A37" s="28" t="str">
        <f t="shared" si="0"/>
        <v>36expanded_IMFLDR_sorted</v>
      </c>
      <c r="B37" s="28" t="e">
        <f t="shared" si="4"/>
        <v>#REF!</v>
      </c>
      <c r="C37" s="28" t="e">
        <f t="shared" si="5"/>
        <v>#REF!</v>
      </c>
      <c r="D37" s="28" t="e">
        <f t="shared" si="6"/>
        <v>#REF!</v>
      </c>
      <c r="E37" s="51" t="s">
        <v>32</v>
      </c>
      <c r="F37" s="38" t="s">
        <v>8</v>
      </c>
      <c r="G37" s="38">
        <v>104</v>
      </c>
      <c r="H37" s="39" t="s">
        <v>864</v>
      </c>
      <c r="I37" s="40" t="s">
        <v>865</v>
      </c>
      <c r="J37" s="38" t="s">
        <v>34</v>
      </c>
      <c r="K37" s="38" t="s">
        <v>866</v>
      </c>
      <c r="L37" s="38" t="s">
        <v>36</v>
      </c>
      <c r="M37" s="41" t="s">
        <v>52</v>
      </c>
      <c r="N37" s="38" t="s">
        <v>865</v>
      </c>
      <c r="O37" s="38" t="s">
        <v>867</v>
      </c>
      <c r="P37" s="42" t="s">
        <v>868</v>
      </c>
      <c r="Q37" s="42" t="s">
        <v>869</v>
      </c>
      <c r="R37" s="38" t="s">
        <v>375</v>
      </c>
      <c r="S37" s="38" t="s">
        <v>159</v>
      </c>
      <c r="T37" s="38"/>
      <c r="U37" s="38"/>
      <c r="V37" s="38"/>
      <c r="W37" s="42" t="s">
        <v>871</v>
      </c>
      <c r="X37" s="42" t="s">
        <v>867</v>
      </c>
      <c r="Y37" s="38" t="s">
        <v>45</v>
      </c>
      <c r="Z37" s="38" t="s">
        <v>90</v>
      </c>
      <c r="AA37" s="38" t="s">
        <v>872</v>
      </c>
      <c r="AB37" s="38" t="s">
        <v>873</v>
      </c>
      <c r="AC37" s="38" t="str">
        <f>SUBSTITUTE(Table33[[#This Row],[field name]],"field: ","")</f>
        <v>"IFALIN"</v>
      </c>
      <c r="AD37" s="28" t="str">
        <f>SUBSTITUTE((CLEAN(TRIM(Table33[[#This Row],[field id]]))&amp;": "&amp;CHAR(34)&amp;Table33[[#This Row],[&lt;&lt;NOLA_Exchange&gt;&gt;
Booking]]&amp;CHAR(34)&amp;CHAR(44)),"/nola:BookingExchange","")</f>
        <v>"IFALIN": "/j:Booking/j:BookingSubject/RoleOfPerson/hs:PersonAugmentation/hs:AlienIdentification/IdentificationID",</v>
      </c>
      <c r="AE37" s="32" t="str">
        <f>_xlfn.XLOOKUP(Table33[[#This Row],[&lt;&lt;NOLA_Exchange&gt;&gt;
Booking]],Table264[XPATHS],Table264['#],"DNE")</f>
        <v>201rel_xpath</v>
      </c>
      <c r="AF37" s="28" t="str">
        <f>SUBSTITUTE(Table33[[#This Row],[field id]],CHAR(34),"")</f>
        <v>IFALIN</v>
      </c>
    </row>
    <row r="38" spans="1:32" ht="30" customHeight="1" x14ac:dyDescent="0.3">
      <c r="A38" s="28" t="str">
        <f t="shared" si="0"/>
        <v>37expanded_IMFLDR_sorted</v>
      </c>
      <c r="B38" s="28" t="e">
        <f t="shared" si="4"/>
        <v>#REF!</v>
      </c>
      <c r="C38" s="28" t="e">
        <f t="shared" si="5"/>
        <v>#REF!</v>
      </c>
      <c r="D38" s="28" t="e">
        <f t="shared" si="6"/>
        <v>#REF!</v>
      </c>
      <c r="E38" s="51" t="s">
        <v>32</v>
      </c>
      <c r="F38" s="38" t="s">
        <v>8</v>
      </c>
      <c r="G38" s="38">
        <v>107</v>
      </c>
      <c r="H38" s="39" t="s">
        <v>864</v>
      </c>
      <c r="I38" s="40" t="s">
        <v>874</v>
      </c>
      <c r="J38" s="38" t="s">
        <v>605</v>
      </c>
      <c r="K38" s="38" t="s">
        <v>875</v>
      </c>
      <c r="L38" s="38" t="s">
        <v>36</v>
      </c>
      <c r="M38" s="41" t="s">
        <v>421</v>
      </c>
      <c r="N38" s="38" t="s">
        <v>874</v>
      </c>
      <c r="O38" s="38" t="s">
        <v>891</v>
      </c>
      <c r="P38" s="42" t="s">
        <v>892</v>
      </c>
      <c r="Q38" s="42" t="s">
        <v>878</v>
      </c>
      <c r="R38" s="38" t="s">
        <v>610</v>
      </c>
      <c r="S38" s="38" t="s">
        <v>611</v>
      </c>
      <c r="T38" s="38"/>
      <c r="U38" s="38"/>
      <c r="V38" s="38"/>
      <c r="W38" s="42" t="s">
        <v>880</v>
      </c>
      <c r="X38" s="42" t="s">
        <v>891</v>
      </c>
      <c r="Y38" s="38" t="s">
        <v>45</v>
      </c>
      <c r="Z38" s="38" t="s">
        <v>90</v>
      </c>
      <c r="AA38" s="38" t="s">
        <v>881</v>
      </c>
      <c r="AB38" s="38" t="s">
        <v>893</v>
      </c>
      <c r="AC38" s="38" t="str">
        <f>SUBSTITUTE(Table33[[#This Row],[field name]],"field: ","")</f>
        <v>"IFDOBD"</v>
      </c>
      <c r="AD38" s="28" t="str">
        <f>SUBSTITUTE((CLEAN(TRIM(Table33[[#This Row],[field id]]))&amp;": "&amp;CHAR(34)&amp;Table33[[#This Row],[&lt;&lt;NOLA_Exchange&gt;&gt;
Booking]]&amp;CHAR(34)&amp;CHAR(44)),"/nola:BookingExchange","")</f>
        <v>"IFDOBD": "/j:Booking/j:BookingSubject/RoleOfPerson/PersonBirthDate/Date",</v>
      </c>
      <c r="AE38" s="32" t="str">
        <f>_xlfn.XLOOKUP(Table33[[#This Row],[&lt;&lt;NOLA_Exchange&gt;&gt;
Booking]],Table264[XPATHS],Table264['#],"DNE")</f>
        <v>24rel_xpath</v>
      </c>
      <c r="AF38" s="28" t="str">
        <f>SUBSTITUTE(Table33[[#This Row],[field id]],CHAR(34),"")</f>
        <v>IFDOBD</v>
      </c>
    </row>
    <row r="39" spans="1:32" ht="30" customHeight="1" x14ac:dyDescent="0.3">
      <c r="A39" s="28" t="str">
        <f t="shared" si="0"/>
        <v>38expanded_IMFLDR_sorted</v>
      </c>
      <c r="B39" s="28" t="e">
        <f t="shared" si="4"/>
        <v>#REF!</v>
      </c>
      <c r="C39" s="28" t="e">
        <f t="shared" si="5"/>
        <v>#REF!</v>
      </c>
      <c r="D39" s="28" t="e">
        <f t="shared" si="6"/>
        <v>#REF!</v>
      </c>
      <c r="E39" s="51" t="s">
        <v>32</v>
      </c>
      <c r="F39" s="38" t="s">
        <v>8</v>
      </c>
      <c r="G39" s="38">
        <v>109</v>
      </c>
      <c r="H39" s="39" t="s">
        <v>864</v>
      </c>
      <c r="I39" s="40" t="s">
        <v>894</v>
      </c>
      <c r="J39" s="38" t="s">
        <v>34</v>
      </c>
      <c r="K39" s="38" t="s">
        <v>895</v>
      </c>
      <c r="L39" s="38" t="s">
        <v>36</v>
      </c>
      <c r="M39" s="41" t="s">
        <v>57</v>
      </c>
      <c r="N39" s="38" t="s">
        <v>894</v>
      </c>
      <c r="O39" s="38" t="s">
        <v>903</v>
      </c>
      <c r="P39" s="42" t="s">
        <v>904</v>
      </c>
      <c r="Q39" s="42" t="s">
        <v>898</v>
      </c>
      <c r="R39" s="38" t="s">
        <v>375</v>
      </c>
      <c r="S39" s="38" t="s">
        <v>159</v>
      </c>
      <c r="T39" s="38"/>
      <c r="U39" s="38"/>
      <c r="V39" s="38"/>
      <c r="W39" s="42" t="s">
        <v>900</v>
      </c>
      <c r="X39" s="42" t="s">
        <v>903</v>
      </c>
      <c r="Y39" s="38" t="s">
        <v>45</v>
      </c>
      <c r="Z39" s="38" t="s">
        <v>90</v>
      </c>
      <c r="AA39" s="38" t="s">
        <v>901</v>
      </c>
      <c r="AB39" s="38" t="s">
        <v>905</v>
      </c>
      <c r="AC39" s="38" t="str">
        <f>SUBSTITUTE(Table33[[#This Row],[field name]],"field: ","")</f>
        <v>"IFFBIN"</v>
      </c>
      <c r="AD39" s="28" t="str">
        <f>SUBSTITUTE((CLEAN(TRIM(Table33[[#This Row],[field id]]))&amp;": "&amp;CHAR(34)&amp;Table33[[#This Row],[&lt;&lt;NOLA_Exchange&gt;&gt;
Booking]]&amp;CHAR(34)&amp;CHAR(44)),"/nola:BookingExchange","")</f>
        <v>"IFFBIN": "/j:Booking/j:BookingSubject/RoleOfPerson/j:PersonAugmentation/j:PersonFBIIdentification/IdentificationID",</v>
      </c>
      <c r="AE39" s="32" t="str">
        <f>_xlfn.XLOOKUP(Table33[[#This Row],[&lt;&lt;NOLA_Exchange&gt;&gt;
Booking]],Table264[XPATHS],Table264['#],"DNE")</f>
        <v>167rel_xpath</v>
      </c>
      <c r="AF39" s="28" t="str">
        <f>SUBSTITUTE(Table33[[#This Row],[field id]],CHAR(34),"")</f>
        <v>IFFBIN</v>
      </c>
    </row>
    <row r="40" spans="1:32" ht="30" customHeight="1" x14ac:dyDescent="0.3">
      <c r="A40" s="28" t="str">
        <f t="shared" si="0"/>
        <v>39expanded_IMFLDR_sorted</v>
      </c>
      <c r="B40" s="28" t="e">
        <f t="shared" si="4"/>
        <v>#REF!</v>
      </c>
      <c r="C40" s="28" t="e">
        <f t="shared" si="5"/>
        <v>#REF!</v>
      </c>
      <c r="D40" s="28" t="e">
        <f t="shared" si="6"/>
        <v>#REF!</v>
      </c>
      <c r="E40" s="51" t="s">
        <v>32</v>
      </c>
      <c r="F40" s="38" t="s">
        <v>8</v>
      </c>
      <c r="G40" s="38">
        <v>106</v>
      </c>
      <c r="H40" s="39" t="s">
        <v>864</v>
      </c>
      <c r="I40" s="40" t="s">
        <v>906</v>
      </c>
      <c r="J40" s="38" t="s">
        <v>34</v>
      </c>
      <c r="K40" s="38" t="s">
        <v>907</v>
      </c>
      <c r="L40" s="38" t="s">
        <v>36</v>
      </c>
      <c r="M40" s="41" t="s">
        <v>57</v>
      </c>
      <c r="N40" s="38" t="s">
        <v>906</v>
      </c>
      <c r="O40" s="38" t="s">
        <v>908</v>
      </c>
      <c r="P40" s="42" t="s">
        <v>909</v>
      </c>
      <c r="Q40" s="42" t="s">
        <v>910</v>
      </c>
      <c r="R40" s="38" t="s">
        <v>911</v>
      </c>
      <c r="S40" s="38" t="s">
        <v>159</v>
      </c>
      <c r="T40" s="38"/>
      <c r="U40" s="38" t="s">
        <v>913</v>
      </c>
      <c r="V40" s="38"/>
      <c r="W40" s="42" t="s">
        <v>912</v>
      </c>
      <c r="X40" s="42" t="s">
        <v>908</v>
      </c>
      <c r="Y40" s="38" t="s">
        <v>45</v>
      </c>
      <c r="Z40" s="38" t="s">
        <v>90</v>
      </c>
      <c r="AA40" s="38" t="s">
        <v>914</v>
      </c>
      <c r="AB40" s="38" t="s">
        <v>915</v>
      </c>
      <c r="AC40" s="38" t="str">
        <f>SUBSTITUTE(Table33[[#This Row],[field name]],"field: ","")</f>
        <v>"IFCCNO"</v>
      </c>
      <c r="AD40" s="28" t="str">
        <f>SUBSTITUTE((CLEAN(TRIM(Table33[[#This Row],[field id]]))&amp;": "&amp;CHAR(34)&amp;Table33[[#This Row],[&lt;&lt;NOLA_Exchange&gt;&gt;
Booking]]&amp;CHAR(34)&amp;CHAR(44)),"/nola:BookingExchange","")</f>
        <v>"IFCCNO": "/j:Booking/j:BookingSubject/RoleOfPerson/nola-ext:PersonAugmentation/nola-ext:PersonComputerControlIdentifier",</v>
      </c>
      <c r="AE40" s="32" t="str">
        <f>_xlfn.XLOOKUP(Table33[[#This Row],[&lt;&lt;NOLA_Exchange&gt;&gt;
Booking]],Table264[XPATHS],Table264['#],"DNE")</f>
        <v>153rel_xpath</v>
      </c>
      <c r="AF40" s="28" t="str">
        <f>SUBSTITUTE(Table33[[#This Row],[field id]],CHAR(34),"")</f>
        <v>IFCCNO</v>
      </c>
    </row>
    <row r="41" spans="1:32" ht="30" customHeight="1" x14ac:dyDescent="0.3">
      <c r="A41" s="28" t="str">
        <f t="shared" si="0"/>
        <v>40expanded_IMFLDR_sorted</v>
      </c>
      <c r="B41" s="28" t="e">
        <f t="shared" si="4"/>
        <v>#REF!</v>
      </c>
      <c r="C41" s="28" t="e">
        <f t="shared" si="5"/>
        <v>#REF!</v>
      </c>
      <c r="D41" s="28" t="e">
        <f t="shared" si="6"/>
        <v>#REF!</v>
      </c>
      <c r="E41" s="51" t="s">
        <v>32</v>
      </c>
      <c r="F41" s="38" t="s">
        <v>8</v>
      </c>
      <c r="G41" s="38">
        <v>115</v>
      </c>
      <c r="H41" s="39" t="s">
        <v>864</v>
      </c>
      <c r="I41" s="40" t="s">
        <v>919</v>
      </c>
      <c r="J41" s="38" t="s">
        <v>34</v>
      </c>
      <c r="K41" s="38" t="s">
        <v>920</v>
      </c>
      <c r="L41" s="38" t="s">
        <v>36</v>
      </c>
      <c r="M41" s="41" t="s">
        <v>57</v>
      </c>
      <c r="N41" s="38" t="s">
        <v>919</v>
      </c>
      <c r="O41" s="38" t="s">
        <v>928</v>
      </c>
      <c r="P41" s="42" t="s">
        <v>929</v>
      </c>
      <c r="Q41" s="42" t="s">
        <v>923</v>
      </c>
      <c r="R41" s="38" t="s">
        <v>375</v>
      </c>
      <c r="S41" s="38" t="s">
        <v>159</v>
      </c>
      <c r="T41" s="38"/>
      <c r="U41" s="38"/>
      <c r="V41" s="38"/>
      <c r="W41" s="42" t="s">
        <v>925</v>
      </c>
      <c r="X41" s="42" t="s">
        <v>928</v>
      </c>
      <c r="Y41" s="38" t="s">
        <v>45</v>
      </c>
      <c r="Z41" s="38" t="s">
        <v>90</v>
      </c>
      <c r="AA41" s="38" t="s">
        <v>926</v>
      </c>
      <c r="AB41" s="38" t="s">
        <v>930</v>
      </c>
      <c r="AC41" s="38" t="str">
        <f>SUBSTITUTE(Table33[[#This Row],[field name]],"field: ","")</f>
        <v>"IFSIDN"</v>
      </c>
      <c r="AD41" s="28" t="str">
        <f>SUBSTITUTE((CLEAN(TRIM(Table33[[#This Row],[field id]]))&amp;": "&amp;CHAR(34)&amp;Table33[[#This Row],[&lt;&lt;NOLA_Exchange&gt;&gt;
Booking]]&amp;CHAR(34)&amp;CHAR(44)),"/nola:BookingExchange","")</f>
        <v>"IFSIDN": "/j:Booking/j:BookingSubject/RoleOfPerson/PersonStateIdentification/IdentificationID",</v>
      </c>
      <c r="AE41" s="32" t="str">
        <f>_xlfn.XLOOKUP(Table33[[#This Row],[&lt;&lt;NOLA_Exchange&gt;&gt;
Booking]],Table264[XPATHS],Table264['#],"DNE")</f>
        <v>76rel_xpath</v>
      </c>
      <c r="AF41" s="28" t="str">
        <f>SUBSTITUTE(Table33[[#This Row],[field id]],CHAR(34),"")</f>
        <v>IFSIDN</v>
      </c>
    </row>
    <row r="42" spans="1:32" ht="30" customHeight="1" x14ac:dyDescent="0.3">
      <c r="A42" s="28" t="str">
        <f t="shared" si="0"/>
        <v>41expanded_IMFLDR_sorted</v>
      </c>
      <c r="B42" s="28" t="e">
        <f t="shared" si="4"/>
        <v>#REF!</v>
      </c>
      <c r="C42" s="28" t="e">
        <f t="shared" si="5"/>
        <v>#REF!</v>
      </c>
      <c r="D42" s="28" t="e">
        <f t="shared" si="6"/>
        <v>#REF!</v>
      </c>
      <c r="E42" s="51" t="s">
        <v>32</v>
      </c>
      <c r="F42" s="38" t="s">
        <v>8</v>
      </c>
      <c r="G42" s="38">
        <v>116</v>
      </c>
      <c r="H42" s="39" t="s">
        <v>864</v>
      </c>
      <c r="I42" s="40" t="s">
        <v>931</v>
      </c>
      <c r="J42" s="38" t="s">
        <v>34</v>
      </c>
      <c r="K42" s="38" t="s">
        <v>932</v>
      </c>
      <c r="L42" s="38" t="s">
        <v>36</v>
      </c>
      <c r="M42" s="41" t="s">
        <v>57</v>
      </c>
      <c r="N42" s="38" t="s">
        <v>931</v>
      </c>
      <c r="O42" s="38" t="s">
        <v>940</v>
      </c>
      <c r="P42" s="42" t="s">
        <v>941</v>
      </c>
      <c r="Q42" s="42" t="s">
        <v>935</v>
      </c>
      <c r="R42" s="38" t="s">
        <v>375</v>
      </c>
      <c r="S42" s="38" t="s">
        <v>159</v>
      </c>
      <c r="T42" s="38"/>
      <c r="U42" s="38"/>
      <c r="V42" s="38"/>
      <c r="W42" s="42" t="s">
        <v>937</v>
      </c>
      <c r="X42" s="42" t="s">
        <v>940</v>
      </c>
      <c r="Y42" s="38" t="s">
        <v>45</v>
      </c>
      <c r="Z42" s="38" t="s">
        <v>90</v>
      </c>
      <c r="AA42" s="38" t="s">
        <v>938</v>
      </c>
      <c r="AB42" s="38" t="s">
        <v>942</v>
      </c>
      <c r="AC42" s="38" t="str">
        <f>SUBSTITUTE(Table33[[#This Row],[field name]],"field: ","")</f>
        <v>"IFSSNO"</v>
      </c>
      <c r="AD42" s="28" t="str">
        <f>SUBSTITUTE((CLEAN(TRIM(Table33[[#This Row],[field id]]))&amp;": "&amp;CHAR(34)&amp;Table33[[#This Row],[&lt;&lt;NOLA_Exchange&gt;&gt;
Booking]]&amp;CHAR(34)&amp;CHAR(44)),"/nola:BookingExchange","")</f>
        <v>"IFSSNO": "/j:Booking/j:BookingSubject/RoleOfPerson/PersonSSNIdentification/IdentificationID",</v>
      </c>
      <c r="AE42" s="32" t="str">
        <f>_xlfn.XLOOKUP(Table33[[#This Row],[&lt;&lt;NOLA_Exchange&gt;&gt;
Booking]],Table264[XPATHS],Table264['#],"DNE")</f>
        <v>72rel_xpath</v>
      </c>
      <c r="AF42" s="28" t="str">
        <f>SUBSTITUTE(Table33[[#This Row],[field id]],CHAR(34),"")</f>
        <v>IFSSNO</v>
      </c>
    </row>
    <row r="43" spans="1:32" ht="30" customHeight="1" x14ac:dyDescent="0.3">
      <c r="A43" s="28" t="str">
        <f t="shared" si="0"/>
        <v>42expanded_IMFLDR_sorted</v>
      </c>
      <c r="B43" s="28" t="e">
        <f t="shared" si="4"/>
        <v>#REF!</v>
      </c>
      <c r="C43" s="28" t="e">
        <f t="shared" si="5"/>
        <v>#REF!</v>
      </c>
      <c r="D43" s="28" t="e">
        <f t="shared" si="6"/>
        <v>#REF!</v>
      </c>
      <c r="E43" s="51" t="s">
        <v>32</v>
      </c>
      <c r="F43" s="38" t="s">
        <v>8</v>
      </c>
      <c r="G43" s="38">
        <v>119</v>
      </c>
      <c r="H43" s="39" t="s">
        <v>864</v>
      </c>
      <c r="I43" s="40" t="s">
        <v>943</v>
      </c>
      <c r="J43" s="38" t="s">
        <v>34</v>
      </c>
      <c r="K43" s="38" t="s">
        <v>944</v>
      </c>
      <c r="L43" s="38" t="s">
        <v>36</v>
      </c>
      <c r="M43" s="41" t="s">
        <v>57</v>
      </c>
      <c r="N43" s="38" t="s">
        <v>943</v>
      </c>
      <c r="O43" s="38" t="s">
        <v>951</v>
      </c>
      <c r="P43" s="42" t="s">
        <v>952</v>
      </c>
      <c r="Q43" s="42" t="s">
        <v>947</v>
      </c>
      <c r="R43" s="38" t="s">
        <v>41</v>
      </c>
      <c r="S43" s="38" t="s">
        <v>42</v>
      </c>
      <c r="T43" s="38"/>
      <c r="U43" s="38"/>
      <c r="V43" s="38"/>
      <c r="W43" s="42" t="s">
        <v>108</v>
      </c>
      <c r="X43" s="42" t="s">
        <v>951</v>
      </c>
      <c r="Y43" s="38" t="s">
        <v>45</v>
      </c>
      <c r="Z43" s="38" t="s">
        <v>90</v>
      </c>
      <c r="AA43" s="52" t="s">
        <v>3539</v>
      </c>
      <c r="AB43" s="38" t="s">
        <v>953</v>
      </c>
      <c r="AC43" s="38" t="str">
        <f>SUBSTITUTE(Table33[[#This Row],[field name]],"field: ","")</f>
        <v>"IFSTCDB"</v>
      </c>
      <c r="AD43" s="28" t="str">
        <f>SUBSTITUTE((CLEAN(TRIM(Table33[[#This Row],[field id]]))&amp;": "&amp;CHAR(34)&amp;Table33[[#This Row],[&lt;&lt;NOLA_Exchange&gt;&gt;
Booking]]&amp;CHAR(34)&amp;CHAR(44)),"/nola:BookingExchange","")</f>
        <v>"IFSTCDB": "/j:Booking/j:BookingSubject/RoleOfPerson/PersonBirthLocation/Address/AddressState/StateName",</v>
      </c>
      <c r="AE43" s="32" t="str">
        <f>_xlfn.XLOOKUP(Table33[[#This Row],[&lt;&lt;NOLA_Exchange&gt;&gt;
Booking]],Table264[XPATHS],Table264['#],"DNE")</f>
        <v>28rel_xpath</v>
      </c>
      <c r="AF43" s="28" t="str">
        <f>SUBSTITUTE(Table33[[#This Row],[field id]],CHAR(34),"")</f>
        <v>IFSTCDB</v>
      </c>
    </row>
    <row r="44" spans="1:32" ht="30" customHeight="1" x14ac:dyDescent="0.3">
      <c r="A44" s="28" t="str">
        <f t="shared" si="0"/>
        <v>43expanded_IMFLDR_sorted</v>
      </c>
      <c r="B44" s="28" t="e">
        <f t="shared" si="4"/>
        <v>#REF!</v>
      </c>
      <c r="C44" s="28" t="e">
        <f t="shared" si="5"/>
        <v>#REF!</v>
      </c>
      <c r="D44" s="28" t="e">
        <f t="shared" si="6"/>
        <v>#REF!</v>
      </c>
      <c r="E44" s="51" t="s">
        <v>32</v>
      </c>
      <c r="F44" s="38" t="s">
        <v>8</v>
      </c>
      <c r="G44" s="38">
        <v>186</v>
      </c>
      <c r="H44" s="39" t="s">
        <v>954</v>
      </c>
      <c r="I44" s="40" t="s">
        <v>955</v>
      </c>
      <c r="J44" s="38" t="s">
        <v>34</v>
      </c>
      <c r="K44" s="38" t="s">
        <v>956</v>
      </c>
      <c r="L44" s="38" t="s">
        <v>36</v>
      </c>
      <c r="M44" s="41" t="s">
        <v>425</v>
      </c>
      <c r="N44" s="38" t="s">
        <v>955</v>
      </c>
      <c r="O44" s="38" t="s">
        <v>993</v>
      </c>
      <c r="P44" s="42" t="s">
        <v>994</v>
      </c>
      <c r="Q44" s="42" t="s">
        <v>959</v>
      </c>
      <c r="R44" s="38" t="s">
        <v>960</v>
      </c>
      <c r="S44" s="38" t="s">
        <v>961</v>
      </c>
      <c r="T44" s="38" t="s">
        <v>962</v>
      </c>
      <c r="U44" s="38"/>
      <c r="V44" s="38"/>
      <c r="W44" s="42" t="s">
        <v>964</v>
      </c>
      <c r="X44" s="42" t="s">
        <v>993</v>
      </c>
      <c r="Y44" s="38" t="s">
        <v>45</v>
      </c>
      <c r="Z44" s="38" t="s">
        <v>90</v>
      </c>
      <c r="AA44" s="38" t="s">
        <v>965</v>
      </c>
      <c r="AB44" s="38" t="s">
        <v>995</v>
      </c>
      <c r="AC44" s="38" t="str">
        <f>SUBSTITUTE(Table33[[#This Row],[field name]],"field: ","")</f>
        <v>"IFFNAM"</v>
      </c>
      <c r="AD44" s="28" t="str">
        <f>SUBSTITUTE((CLEAN(TRIM(Table33[[#This Row],[field id]]))&amp;": "&amp;CHAR(34)&amp;Table33[[#This Row],[&lt;&lt;NOLA_Exchange&gt;&gt;
Booking]]&amp;CHAR(34)&amp;CHAR(44)),"/nola:BookingExchange","")</f>
        <v>"IFFNAM": "/j:Booking/j:BookingSubject/RoleOfPerson/PersonName/PersonGivenName",</v>
      </c>
      <c r="AE44" s="32" t="str">
        <f>_xlfn.XLOOKUP(Table33[[#This Row],[&lt;&lt;NOLA_Exchange&gt;&gt;
Booking]],Table264[XPATHS],Table264['#],"DNE")</f>
        <v>48rel_xpath</v>
      </c>
      <c r="AF44" s="28" t="str">
        <f>SUBSTITUTE(Table33[[#This Row],[field id]],CHAR(34),"")</f>
        <v>IFFNAM</v>
      </c>
    </row>
    <row r="45" spans="1:32" ht="30" customHeight="1" x14ac:dyDescent="0.3">
      <c r="A45" s="28" t="str">
        <f t="shared" si="0"/>
        <v>44expanded_IMFLDR_sorted</v>
      </c>
      <c r="B45" s="28" t="e">
        <f>IF(#REF!=H45,#REF!,#REF!+1)</f>
        <v>#REF!</v>
      </c>
      <c r="C45" s="28" t="e">
        <f>IF(#REF!=I45,#REF!,#REF!+1)</f>
        <v>#REF!</v>
      </c>
      <c r="D45" s="28" t="e">
        <f>IF(#REF!=M45,#REF!,#REF!+1)</f>
        <v>#REF!</v>
      </c>
      <c r="E45" s="51" t="s">
        <v>32</v>
      </c>
      <c r="F45" s="38" t="s">
        <v>8</v>
      </c>
      <c r="G45" s="38">
        <v>186</v>
      </c>
      <c r="H45" s="39" t="s">
        <v>954</v>
      </c>
      <c r="I45" s="40" t="s">
        <v>955</v>
      </c>
      <c r="J45" s="38" t="s">
        <v>34</v>
      </c>
      <c r="K45" s="38" t="s">
        <v>956</v>
      </c>
      <c r="L45" s="38" t="s">
        <v>36</v>
      </c>
      <c r="M45" s="41" t="s">
        <v>996</v>
      </c>
      <c r="N45" s="38" t="s">
        <v>955</v>
      </c>
      <c r="O45" s="38" t="s">
        <v>997</v>
      </c>
      <c r="P45" s="42" t="s">
        <v>998</v>
      </c>
      <c r="Q45" s="42" t="s">
        <v>959</v>
      </c>
      <c r="R45" s="38" t="s">
        <v>960</v>
      </c>
      <c r="S45" s="38" t="s">
        <v>961</v>
      </c>
      <c r="T45" s="38" t="s">
        <v>962</v>
      </c>
      <c r="U45" s="38"/>
      <c r="V45" s="38"/>
      <c r="W45" s="42" t="s">
        <v>971</v>
      </c>
      <c r="X45" s="42" t="s">
        <v>997</v>
      </c>
      <c r="Y45" s="38" t="s">
        <v>45</v>
      </c>
      <c r="Z45" s="38" t="s">
        <v>90</v>
      </c>
      <c r="AA45" s="38" t="s">
        <v>972</v>
      </c>
      <c r="AB45" s="38" t="s">
        <v>999</v>
      </c>
      <c r="AC45" s="38" t="str">
        <f>SUBSTITUTE(Table33[[#This Row],[field name]],"field: ","")</f>
        <v>"IFAO1F"</v>
      </c>
      <c r="AD45" s="28" t="str">
        <f>SUBSTITUTE((CLEAN(TRIM(Table33[[#This Row],[field id]]))&amp;": "&amp;CHAR(34)&amp;Table33[[#This Row],[&lt;&lt;NOLA_Exchange&gt;&gt;
Booking]]&amp;CHAR(34)&amp;CHAR(44)),"/nola:BookingExchange","")</f>
        <v>"IFAO1F": "/j:Booking/j:Arrest/j:ArrestOfficial[1]/RoleOfPerson/PersonName/PersonGivenName",</v>
      </c>
      <c r="AE45" s="32" t="str">
        <f>_xlfn.XLOOKUP(Table33[[#This Row],[&lt;&lt;NOLA_Exchange&gt;&gt;
Booking]],Table264[XPATHS],Table264['#],"DNE")</f>
        <v>323rel_xpath</v>
      </c>
      <c r="AF45" s="28" t="str">
        <f>SUBSTITUTE(Table33[[#This Row],[field id]],CHAR(34),"")</f>
        <v>IFAO1F</v>
      </c>
    </row>
    <row r="46" spans="1:32" ht="30" customHeight="1" x14ac:dyDescent="0.3">
      <c r="A46" s="28" t="str">
        <f t="shared" si="0"/>
        <v>45expanded_IMFLDR_sorted</v>
      </c>
      <c r="B46" s="28" t="e">
        <f>IF(#REF!=H46,#REF!,#REF!+1)</f>
        <v>#REF!</v>
      </c>
      <c r="C46" s="28" t="e">
        <f>IF(#REF!=I46,#REF!,#REF!+1)</f>
        <v>#REF!</v>
      </c>
      <c r="D46" s="28" t="e">
        <f>IF(#REF!=M46,#REF!,#REF!+1)</f>
        <v>#REF!</v>
      </c>
      <c r="E46" s="51" t="s">
        <v>32</v>
      </c>
      <c r="F46" s="38" t="s">
        <v>8</v>
      </c>
      <c r="G46" s="38">
        <v>186</v>
      </c>
      <c r="H46" s="39" t="s">
        <v>954</v>
      </c>
      <c r="I46" s="40" t="s">
        <v>955</v>
      </c>
      <c r="J46" s="38" t="s">
        <v>34</v>
      </c>
      <c r="K46" s="38" t="s">
        <v>956</v>
      </c>
      <c r="L46" s="38" t="s">
        <v>36</v>
      </c>
      <c r="M46" s="41" t="s">
        <v>1000</v>
      </c>
      <c r="N46" s="38" t="s">
        <v>955</v>
      </c>
      <c r="O46" s="38" t="s">
        <v>1001</v>
      </c>
      <c r="P46" s="42" t="s">
        <v>1002</v>
      </c>
      <c r="Q46" s="42" t="s">
        <v>959</v>
      </c>
      <c r="R46" s="38" t="s">
        <v>960</v>
      </c>
      <c r="S46" s="38" t="s">
        <v>961</v>
      </c>
      <c r="T46" s="38" t="s">
        <v>962</v>
      </c>
      <c r="U46" s="38"/>
      <c r="V46" s="38"/>
      <c r="W46" s="42" t="s">
        <v>976</v>
      </c>
      <c r="X46" s="42" t="s">
        <v>1001</v>
      </c>
      <c r="Y46" s="38" t="s">
        <v>45</v>
      </c>
      <c r="Z46" s="38" t="s">
        <v>90</v>
      </c>
      <c r="AA46" s="38" t="s">
        <v>1003</v>
      </c>
      <c r="AB46" s="38" t="s">
        <v>1004</v>
      </c>
      <c r="AC46" s="38" t="str">
        <f>SUBSTITUTE(Table33[[#This Row],[field name]],"field: ","")</f>
        <v>"IFAO2F"</v>
      </c>
      <c r="AD46" s="28" t="str">
        <f>SUBSTITUTE((CLEAN(TRIM(Table33[[#This Row],[field id]]))&amp;": "&amp;CHAR(34)&amp;Table33[[#This Row],[&lt;&lt;NOLA_Exchange&gt;&gt;
Booking]]&amp;CHAR(34)&amp;CHAR(44)),"/nola:BookingExchange","")</f>
        <v>"IFAO2F": "/j:Booking/j:Arrest/j:ArrestOfficial[2]/RoleOfPerson/PersonName/PersonGivenName",</v>
      </c>
      <c r="AE46" s="32" t="str">
        <f>_xlfn.XLOOKUP(Table33[[#This Row],[&lt;&lt;NOLA_Exchange&gt;&gt;
Booking]],Table264[XPATHS],Table264['#],"DNE")</f>
        <v>348rel_xpath</v>
      </c>
      <c r="AF46" s="28" t="str">
        <f>SUBSTITUTE(Table33[[#This Row],[field id]],CHAR(34),"")</f>
        <v>IFAO2F</v>
      </c>
    </row>
    <row r="47" spans="1:32" ht="30" customHeight="1" x14ac:dyDescent="0.3">
      <c r="A47" s="28" t="str">
        <f t="shared" si="0"/>
        <v>46expanded_IMFLDR_sorted</v>
      </c>
      <c r="B47" s="28" t="e">
        <f t="shared" si="4"/>
        <v>#REF!</v>
      </c>
      <c r="C47" s="28" t="e">
        <f t="shared" si="5"/>
        <v>#REF!</v>
      </c>
      <c r="D47" s="28" t="e">
        <f t="shared" si="6"/>
        <v>#REF!</v>
      </c>
      <c r="E47" s="51" t="s">
        <v>32</v>
      </c>
      <c r="F47" s="38" t="s">
        <v>8</v>
      </c>
      <c r="G47" s="38">
        <v>188</v>
      </c>
      <c r="H47" s="39" t="s">
        <v>954</v>
      </c>
      <c r="I47" s="40" t="s">
        <v>1031</v>
      </c>
      <c r="J47" s="38" t="s">
        <v>34</v>
      </c>
      <c r="K47" s="38" t="s">
        <v>1032</v>
      </c>
      <c r="L47" s="38" t="s">
        <v>36</v>
      </c>
      <c r="M47" s="41" t="s">
        <v>425</v>
      </c>
      <c r="N47" s="38" t="s">
        <v>1031</v>
      </c>
      <c r="O47" s="38" t="s">
        <v>1065</v>
      </c>
      <c r="P47" s="42" t="s">
        <v>1066</v>
      </c>
      <c r="Q47" s="42" t="s">
        <v>1035</v>
      </c>
      <c r="R47" s="38" t="s">
        <v>1036</v>
      </c>
      <c r="S47" s="38" t="s">
        <v>961</v>
      </c>
      <c r="T47" s="38" t="s">
        <v>962</v>
      </c>
      <c r="U47" s="38"/>
      <c r="V47" s="38"/>
      <c r="W47" s="42" t="s">
        <v>1038</v>
      </c>
      <c r="X47" s="42" t="s">
        <v>1065</v>
      </c>
      <c r="Y47" s="38" t="s">
        <v>45</v>
      </c>
      <c r="Z47" s="38" t="s">
        <v>90</v>
      </c>
      <c r="AA47" s="38" t="s">
        <v>1067</v>
      </c>
      <c r="AB47" s="38" t="s">
        <v>1068</v>
      </c>
      <c r="AC47" s="38" t="str">
        <f>SUBSTITUTE(Table33[[#This Row],[field name]],"field: ","")</f>
        <v>"IFLNAM"</v>
      </c>
      <c r="AD47" s="28" t="str">
        <f>SUBSTITUTE((CLEAN(TRIM(Table33[[#This Row],[field id]]))&amp;": "&amp;CHAR(34)&amp;Table33[[#This Row],[&lt;&lt;NOLA_Exchange&gt;&gt;
Booking]]&amp;CHAR(34)&amp;CHAR(44)),"/nola:BookingExchange","")</f>
        <v>"IFLNAM": "/j:Booking/j:BookingSubject/RoleOfPerson/PersonName/PersonSurName",</v>
      </c>
      <c r="AE47" s="32" t="str">
        <f>_xlfn.XLOOKUP(Table33[[#This Row],[&lt;&lt;NOLA_Exchange&gt;&gt;
Booking]],Table264[XPATHS],Table264['#],"DNE")</f>
        <v>50rel_xpath</v>
      </c>
      <c r="AF47" s="28" t="str">
        <f>SUBSTITUTE(Table33[[#This Row],[field id]],CHAR(34),"")</f>
        <v>IFLNAM</v>
      </c>
    </row>
    <row r="48" spans="1:32" ht="30" customHeight="1" x14ac:dyDescent="0.3">
      <c r="A48" s="28" t="str">
        <f t="shared" si="0"/>
        <v>47expanded_IMFLDR_sorted</v>
      </c>
      <c r="B48" s="28" t="e">
        <f>IF(#REF!=H48,#REF!,#REF!+1)</f>
        <v>#REF!</v>
      </c>
      <c r="C48" s="28" t="e">
        <f>IF(#REF!=I48,#REF!,#REF!+1)</f>
        <v>#REF!</v>
      </c>
      <c r="D48" s="28" t="e">
        <f>IF(#REF!=M48,#REF!,#REF!+1)</f>
        <v>#REF!</v>
      </c>
      <c r="E48" s="51" t="s">
        <v>32</v>
      </c>
      <c r="F48" s="38" t="s">
        <v>8</v>
      </c>
      <c r="G48" s="38">
        <v>188</v>
      </c>
      <c r="H48" s="39" t="s">
        <v>954</v>
      </c>
      <c r="I48" s="40" t="s">
        <v>1031</v>
      </c>
      <c r="J48" s="38" t="s">
        <v>34</v>
      </c>
      <c r="K48" s="38" t="s">
        <v>1032</v>
      </c>
      <c r="L48" s="38" t="s">
        <v>36</v>
      </c>
      <c r="M48" s="41" t="s">
        <v>996</v>
      </c>
      <c r="N48" s="38" t="s">
        <v>1031</v>
      </c>
      <c r="O48" s="38" t="s">
        <v>1069</v>
      </c>
      <c r="P48" s="42" t="s">
        <v>1070</v>
      </c>
      <c r="Q48" s="42" t="s">
        <v>1035</v>
      </c>
      <c r="R48" s="38" t="s">
        <v>1036</v>
      </c>
      <c r="S48" s="38" t="s">
        <v>961</v>
      </c>
      <c r="T48" s="38" t="s">
        <v>962</v>
      </c>
      <c r="U48" s="38"/>
      <c r="V48" s="38"/>
      <c r="W48" s="42" t="s">
        <v>1049</v>
      </c>
      <c r="X48" s="42" t="s">
        <v>1069</v>
      </c>
      <c r="Y48" s="38" t="s">
        <v>45</v>
      </c>
      <c r="Z48" s="38" t="s">
        <v>90</v>
      </c>
      <c r="AA48" s="38" t="s">
        <v>1050</v>
      </c>
      <c r="AB48" s="38" t="s">
        <v>1071</v>
      </c>
      <c r="AC48" s="38" t="str">
        <f>SUBSTITUTE(Table33[[#This Row],[field name]],"field: ","")</f>
        <v>"IFAO1L"</v>
      </c>
      <c r="AD48" s="28" t="str">
        <f>SUBSTITUTE((CLEAN(TRIM(Table33[[#This Row],[field id]]))&amp;": "&amp;CHAR(34)&amp;Table33[[#This Row],[&lt;&lt;NOLA_Exchange&gt;&gt;
Booking]]&amp;CHAR(34)&amp;CHAR(44)),"/nola:BookingExchange","")</f>
        <v>"IFAO1L": "/j:Booking/j:Arrest/j:ArrestOfficial[1]/RoleOfPerson/PersonName/PersonSurName",</v>
      </c>
      <c r="AE48" s="32" t="str">
        <f>_xlfn.XLOOKUP(Table33[[#This Row],[&lt;&lt;NOLA_Exchange&gt;&gt;
Booking]],Table264[XPATHS],Table264['#],"DNE")</f>
        <v>325rel_xpath</v>
      </c>
      <c r="AF48" s="28" t="str">
        <f>SUBSTITUTE(Table33[[#This Row],[field id]],CHAR(34),"")</f>
        <v>IFAO1L</v>
      </c>
    </row>
    <row r="49" spans="1:32" ht="30" customHeight="1" x14ac:dyDescent="0.3">
      <c r="A49" s="28" t="str">
        <f t="shared" si="0"/>
        <v>48expanded_IMFLDR_sorted</v>
      </c>
      <c r="B49" s="28" t="e">
        <f>IF(#REF!=H49,#REF!,#REF!+1)</f>
        <v>#REF!</v>
      </c>
      <c r="C49" s="28" t="e">
        <f>IF(#REF!=I49,#REF!,#REF!+1)</f>
        <v>#REF!</v>
      </c>
      <c r="D49" s="28" t="e">
        <f>IF(#REF!=M49,#REF!,#REF!+1)</f>
        <v>#REF!</v>
      </c>
      <c r="E49" s="51" t="s">
        <v>32</v>
      </c>
      <c r="F49" s="38" t="s">
        <v>8</v>
      </c>
      <c r="G49" s="38">
        <v>188</v>
      </c>
      <c r="H49" s="39" t="s">
        <v>954</v>
      </c>
      <c r="I49" s="40" t="s">
        <v>1031</v>
      </c>
      <c r="J49" s="38" t="s">
        <v>34</v>
      </c>
      <c r="K49" s="38" t="s">
        <v>1032</v>
      </c>
      <c r="L49" s="38" t="s">
        <v>36</v>
      </c>
      <c r="M49" s="41" t="s">
        <v>1000</v>
      </c>
      <c r="N49" s="38" t="s">
        <v>1031</v>
      </c>
      <c r="O49" s="38" t="s">
        <v>1072</v>
      </c>
      <c r="P49" s="42" t="s">
        <v>1073</v>
      </c>
      <c r="Q49" s="42" t="s">
        <v>1035</v>
      </c>
      <c r="R49" s="38" t="s">
        <v>1036</v>
      </c>
      <c r="S49" s="38" t="s">
        <v>961</v>
      </c>
      <c r="T49" s="38" t="s">
        <v>962</v>
      </c>
      <c r="U49" s="38"/>
      <c r="V49" s="38"/>
      <c r="W49" s="42" t="s">
        <v>1054</v>
      </c>
      <c r="X49" s="42" t="s">
        <v>1072</v>
      </c>
      <c r="Y49" s="38" t="s">
        <v>45</v>
      </c>
      <c r="Z49" s="38" t="s">
        <v>90</v>
      </c>
      <c r="AA49" s="38" t="s">
        <v>1074</v>
      </c>
      <c r="AB49" s="38" t="s">
        <v>1075</v>
      </c>
      <c r="AC49" s="38" t="str">
        <f>SUBSTITUTE(Table33[[#This Row],[field name]],"field: ","")</f>
        <v>"IFAO2L"</v>
      </c>
      <c r="AD49" s="28" t="str">
        <f>SUBSTITUTE((CLEAN(TRIM(Table33[[#This Row],[field id]]))&amp;": "&amp;CHAR(34)&amp;Table33[[#This Row],[&lt;&lt;NOLA_Exchange&gt;&gt;
Booking]]&amp;CHAR(34)&amp;CHAR(44)),"/nola:BookingExchange","")</f>
        <v>"IFAO2L": "/j:Booking/j:Arrest/j:ArrestOfficial[2]/RoleOfPerson/PersonName/PersonSurName",</v>
      </c>
      <c r="AE49" s="32" t="str">
        <f>_xlfn.XLOOKUP(Table33[[#This Row],[&lt;&lt;NOLA_Exchange&gt;&gt;
Booking]],Table264[XPATHS],Table264['#],"DNE")</f>
        <v>350rel_xpath</v>
      </c>
      <c r="AF49" s="28" t="str">
        <f>SUBSTITUTE(Table33[[#This Row],[field id]],CHAR(34),"")</f>
        <v>IFAO2L</v>
      </c>
    </row>
    <row r="50" spans="1:32" ht="30" customHeight="1" x14ac:dyDescent="0.3">
      <c r="A50" s="28" t="str">
        <f t="shared" si="0"/>
        <v>49expanded_IMFLDR_sorted</v>
      </c>
      <c r="B50" s="28" t="e">
        <f t="shared" si="4"/>
        <v>#REF!</v>
      </c>
      <c r="C50" s="28" t="e">
        <f t="shared" si="5"/>
        <v>#REF!</v>
      </c>
      <c r="D50" s="28" t="e">
        <f t="shared" si="6"/>
        <v>#REF!</v>
      </c>
      <c r="E50" s="51" t="s">
        <v>32</v>
      </c>
      <c r="F50" s="38" t="s">
        <v>8</v>
      </c>
      <c r="G50" s="38">
        <v>187</v>
      </c>
      <c r="H50" s="39" t="s">
        <v>954</v>
      </c>
      <c r="I50" s="40" t="s">
        <v>1076</v>
      </c>
      <c r="J50" s="38" t="s">
        <v>34</v>
      </c>
      <c r="K50" s="38" t="s">
        <v>1077</v>
      </c>
      <c r="L50" s="38" t="s">
        <v>36</v>
      </c>
      <c r="M50" s="41" t="s">
        <v>57</v>
      </c>
      <c r="N50" s="38" t="s">
        <v>1076</v>
      </c>
      <c r="O50" s="38" t="s">
        <v>1088</v>
      </c>
      <c r="P50" s="42" t="s">
        <v>1089</v>
      </c>
      <c r="Q50" s="42" t="s">
        <v>1080</v>
      </c>
      <c r="R50" s="38" t="s">
        <v>1081</v>
      </c>
      <c r="S50" s="38" t="s">
        <v>961</v>
      </c>
      <c r="T50" s="38" t="s">
        <v>962</v>
      </c>
      <c r="U50" s="38"/>
      <c r="V50" s="38"/>
      <c r="W50" s="42" t="s">
        <v>1083</v>
      </c>
      <c r="X50" s="42" t="s">
        <v>1088</v>
      </c>
      <c r="Y50" s="38" t="s">
        <v>45</v>
      </c>
      <c r="Z50" s="38" t="s">
        <v>90</v>
      </c>
      <c r="AA50" s="38" t="s">
        <v>1084</v>
      </c>
      <c r="AB50" s="38" t="s">
        <v>1090</v>
      </c>
      <c r="AC50" s="38" t="str">
        <f>SUBSTITUTE(Table33[[#This Row],[field name]],"field: ","")</f>
        <v>"IFMINI"</v>
      </c>
      <c r="AD50" s="28" t="str">
        <f>SUBSTITUTE((CLEAN(TRIM(Table33[[#This Row],[field id]]))&amp;": "&amp;CHAR(34)&amp;Table33[[#This Row],[&lt;&lt;NOLA_Exchange&gt;&gt;
Booking]]&amp;CHAR(34)&amp;CHAR(44)),"/nola:BookingExchange","")</f>
        <v>"IFMINI": "/j:Booking/j:BookingSubject/RoleOfPerson/PersonName/PersonMiddleName",</v>
      </c>
      <c r="AE50" s="32" t="str">
        <f>_xlfn.XLOOKUP(Table33[[#This Row],[&lt;&lt;NOLA_Exchange&gt;&gt;
Booking]],Table264[XPATHS],Table264['#],"DNE")</f>
        <v>49rel_xpath</v>
      </c>
      <c r="AF50" s="28" t="str">
        <f>SUBSTITUTE(Table33[[#This Row],[field id]],CHAR(34),"")</f>
        <v>IFMINI</v>
      </c>
    </row>
    <row r="51" spans="1:32" ht="30" customHeight="1" x14ac:dyDescent="0.3">
      <c r="A51" s="28" t="str">
        <f t="shared" si="0"/>
        <v>50expanded_IMFLDR_sorted</v>
      </c>
      <c r="B51" s="28" t="e">
        <f>IF(#REF!=H51,#REF!,#REF!+1)</f>
        <v>#REF!</v>
      </c>
      <c r="C51" s="28" t="e">
        <f>IF(#REF!=I51,#REF!,#REF!+1)</f>
        <v>#REF!</v>
      </c>
      <c r="D51" s="28" t="e">
        <f>IF(#REF!=M51,#REF!,#REF!+1)</f>
        <v>#REF!</v>
      </c>
      <c r="E51" s="51" t="s">
        <v>32</v>
      </c>
      <c r="F51" s="38" t="s">
        <v>8</v>
      </c>
      <c r="G51" s="38">
        <v>189</v>
      </c>
      <c r="H51" s="39" t="s">
        <v>954</v>
      </c>
      <c r="I51" s="40" t="s">
        <v>1091</v>
      </c>
      <c r="J51" s="38" t="s">
        <v>34</v>
      </c>
      <c r="K51" s="38" t="s">
        <v>1092</v>
      </c>
      <c r="L51" s="38" t="s">
        <v>36</v>
      </c>
      <c r="M51" s="41" t="s">
        <v>57</v>
      </c>
      <c r="N51" s="38" t="s">
        <v>1091</v>
      </c>
      <c r="O51" s="38" t="s">
        <v>1103</v>
      </c>
      <c r="P51" s="42" t="s">
        <v>1104</v>
      </c>
      <c r="Q51" s="42" t="s">
        <v>1095</v>
      </c>
      <c r="R51" s="38" t="s">
        <v>1096</v>
      </c>
      <c r="S51" s="38" t="s">
        <v>42</v>
      </c>
      <c r="T51" s="38" t="s">
        <v>962</v>
      </c>
      <c r="U51" s="38"/>
      <c r="V51" s="38"/>
      <c r="W51" s="42" t="s">
        <v>1098</v>
      </c>
      <c r="X51" s="42" t="s">
        <v>1103</v>
      </c>
      <c r="Y51" s="38" t="s">
        <v>45</v>
      </c>
      <c r="Z51" s="38" t="s">
        <v>90</v>
      </c>
      <c r="AA51" s="38" t="s">
        <v>1099</v>
      </c>
      <c r="AB51" s="38" t="s">
        <v>1105</v>
      </c>
      <c r="AC51" s="38" t="str">
        <f>SUBSTITUTE(Table33[[#This Row],[field name]],"field: ","")</f>
        <v>"IFNAMS"</v>
      </c>
      <c r="AD51" s="28" t="str">
        <f>SUBSTITUTE((CLEAN(TRIM(Table33[[#This Row],[field id]]))&amp;": "&amp;CHAR(34)&amp;Table33[[#This Row],[&lt;&lt;NOLA_Exchange&gt;&gt;
Booking]]&amp;CHAR(34)&amp;CHAR(44)),"/nola:BookingExchange","")</f>
        <v>"IFNAMS": "/j:Booking/j:BookingSubject/RoleOfPerson/PersonName/PersonNameSuffixText",</v>
      </c>
      <c r="AE51" s="32" t="str">
        <f>_xlfn.XLOOKUP(Table33[[#This Row],[&lt;&lt;NOLA_Exchange&gt;&gt;
Booking]],Table264[XPATHS],Table264['#],"DNE")</f>
        <v>51rel_xpath</v>
      </c>
      <c r="AF51" s="28" t="str">
        <f>SUBSTITUTE(Table33[[#This Row],[field id]],CHAR(34),"")</f>
        <v>IFNAMS</v>
      </c>
    </row>
    <row r="52" spans="1:32" ht="30" customHeight="1" x14ac:dyDescent="0.3">
      <c r="A52" s="28" t="str">
        <f t="shared" si="0"/>
        <v>51expanded_IMFLDR_sorted</v>
      </c>
      <c r="B52" s="28" t="e">
        <f>IF(#REF!=H52,#REF!,#REF!+1)</f>
        <v>#REF!</v>
      </c>
      <c r="C52" s="28" t="e">
        <f>IF(#REF!=I52,#REF!,#REF!+1)</f>
        <v>#REF!</v>
      </c>
      <c r="D52" s="28" t="e">
        <f>IF(#REF!=M52,#REF!,#REF!+1)</f>
        <v>#REF!</v>
      </c>
      <c r="E52" s="51" t="s">
        <v>32</v>
      </c>
      <c r="F52" s="28" t="s">
        <v>8</v>
      </c>
      <c r="G52" s="28">
        <v>198</v>
      </c>
      <c r="H52" s="29" t="s">
        <v>1106</v>
      </c>
      <c r="I52" s="53" t="s">
        <v>1107</v>
      </c>
      <c r="J52" s="28" t="s">
        <v>34</v>
      </c>
      <c r="K52" s="28" t="s">
        <v>1108</v>
      </c>
      <c r="L52" s="28" t="s">
        <v>36</v>
      </c>
      <c r="M52" s="31" t="s">
        <v>37</v>
      </c>
      <c r="N52" s="28" t="s">
        <v>1107</v>
      </c>
      <c r="O52" s="28" t="s">
        <v>1109</v>
      </c>
      <c r="P52" s="28" t="s">
        <v>1110</v>
      </c>
      <c r="Q52" s="28" t="s">
        <v>1111</v>
      </c>
      <c r="R52" s="28" t="s">
        <v>1112</v>
      </c>
      <c r="S52" s="28" t="s">
        <v>42</v>
      </c>
      <c r="W52" s="22" t="s">
        <v>1114</v>
      </c>
      <c r="X52" s="22" t="s">
        <v>1109</v>
      </c>
      <c r="Y52" s="28" t="s">
        <v>45</v>
      </c>
      <c r="Z52" s="28" t="s">
        <v>90</v>
      </c>
      <c r="AA52" s="28" t="s">
        <v>1115</v>
      </c>
      <c r="AB52" s="28" t="s">
        <v>1116</v>
      </c>
      <c r="AC52" s="28" t="str">
        <f>SUBSTITUTE(Table33[[#This Row],[field name]],"field: ","")</f>
        <v>"IFRLRT"</v>
      </c>
      <c r="AD52" s="28" t="str">
        <f>SUBSTITUTE((CLEAN(TRIM(Table33[[#This Row],[field id]]))&amp;": "&amp;CHAR(34)&amp;Table33[[#This Row],[&lt;&lt;NOLA_Exchange&gt;&gt;
Booking]]&amp;CHAR(34)&amp;CHAR(44)),"/nola:BookingExchange","")</f>
        <v>"IFRLRT": "/j:Booking/j:BookingRelease/ActivityComment/CommentText",</v>
      </c>
      <c r="AE52" s="32" t="str">
        <f>_xlfn.XLOOKUP(Table33[[#This Row],[&lt;&lt;NOLA_Exchange&gt;&gt;
Booking]],Table264[XPATHS],Table264['#],"DNE")</f>
        <v>15rel_xpath</v>
      </c>
      <c r="AF52" s="28" t="str">
        <f>SUBSTITUTE(Table33[[#This Row],[field id]],CHAR(34),"")</f>
        <v>IFRLRT</v>
      </c>
    </row>
    <row r="53" spans="1:32" ht="15" customHeight="1" x14ac:dyDescent="0.3">
      <c r="A53" s="28" t="str">
        <f t="shared" si="0"/>
        <v>52expanded_IMFLDR_sorted</v>
      </c>
      <c r="B53" s="28" t="e">
        <f t="shared" si="4"/>
        <v>#REF!</v>
      </c>
      <c r="C53" s="28" t="e">
        <f t="shared" si="5"/>
        <v>#REF!</v>
      </c>
      <c r="D53" s="28" t="e">
        <f t="shared" si="6"/>
        <v>#REF!</v>
      </c>
      <c r="E53" s="51" t="s">
        <v>32</v>
      </c>
      <c r="F53" s="28" t="s">
        <v>8</v>
      </c>
      <c r="G53" s="28">
        <v>199</v>
      </c>
      <c r="H53" s="29" t="s">
        <v>1106</v>
      </c>
      <c r="I53" s="53" t="s">
        <v>1117</v>
      </c>
      <c r="J53" s="28" t="s">
        <v>399</v>
      </c>
      <c r="K53" s="28" t="s">
        <v>1118</v>
      </c>
      <c r="L53" s="28" t="s">
        <v>36</v>
      </c>
      <c r="M53" s="31" t="s">
        <v>37</v>
      </c>
      <c r="N53" s="28" t="s">
        <v>1117</v>
      </c>
      <c r="O53" s="28" t="s">
        <v>1119</v>
      </c>
      <c r="P53" s="28" t="s">
        <v>1120</v>
      </c>
      <c r="Q53" s="28" t="s">
        <v>1121</v>
      </c>
      <c r="R53" s="28" t="s">
        <v>404</v>
      </c>
      <c r="S53" s="28" t="s">
        <v>405</v>
      </c>
      <c r="W53" s="22" t="s">
        <v>1123</v>
      </c>
      <c r="X53" s="22" t="s">
        <v>1119</v>
      </c>
      <c r="Y53" s="28" t="s">
        <v>45</v>
      </c>
      <c r="Z53" s="28" t="s">
        <v>90</v>
      </c>
      <c r="AA53" s="28" t="s">
        <v>1124</v>
      </c>
      <c r="AB53" s="28" t="s">
        <v>1125</v>
      </c>
      <c r="AC53" s="28" t="str">
        <f>SUBSTITUTE(Table33[[#This Row],[field name]],"field: ","")</f>
        <v>"IFRLDT"</v>
      </c>
      <c r="AD53" s="28" t="str">
        <f>SUBSTITUTE((CLEAN(TRIM(Table33[[#This Row],[field id]]))&amp;": "&amp;CHAR(34)&amp;Table33[[#This Row],[&lt;&lt;NOLA_Exchange&gt;&gt;
Booking]]&amp;CHAR(34)&amp;CHAR(44)),"/nola:BookingExchange","")</f>
        <v>"IFRLDT": "/j:Booking/j:BookingRelease/ActivityDate/DateTime",</v>
      </c>
      <c r="AE53" s="32" t="str">
        <f>_xlfn.XLOOKUP(Table33[[#This Row],[&lt;&lt;NOLA_Exchange&gt;&gt;
Booking]],Table264[XPATHS],Table264['#],"DNE")</f>
        <v>18rel_xpath</v>
      </c>
      <c r="AF53" s="28" t="str">
        <f>SUBSTITUTE(Table33[[#This Row],[field id]],CHAR(34),"")</f>
        <v>IFRLDT</v>
      </c>
    </row>
    <row r="54" spans="1:32" ht="15" customHeight="1" x14ac:dyDescent="0.3">
      <c r="A54" s="28" t="str">
        <f t="shared" si="0"/>
        <v>53expanded_IMFLDR_sorted</v>
      </c>
      <c r="B54" s="28" t="e">
        <f t="shared" si="4"/>
        <v>#REF!</v>
      </c>
      <c r="C54" s="28" t="e">
        <f t="shared" si="5"/>
        <v>#REF!</v>
      </c>
      <c r="D54" s="28" t="e">
        <f t="shared" si="6"/>
        <v>#REF!</v>
      </c>
      <c r="E54" s="51" t="s">
        <v>32</v>
      </c>
      <c r="F54" s="28" t="s">
        <v>8</v>
      </c>
      <c r="G54" s="28">
        <v>199</v>
      </c>
      <c r="H54" s="29" t="s">
        <v>1106</v>
      </c>
      <c r="I54" s="53" t="s">
        <v>1117</v>
      </c>
      <c r="J54" s="28" t="s">
        <v>399</v>
      </c>
      <c r="K54" s="28" t="s">
        <v>1118</v>
      </c>
      <c r="L54" s="28" t="s">
        <v>36</v>
      </c>
      <c r="M54" s="31" t="s">
        <v>52</v>
      </c>
      <c r="N54" s="28" t="s">
        <v>1117</v>
      </c>
      <c r="O54" s="28" t="s">
        <v>1126</v>
      </c>
      <c r="P54" s="28" t="s">
        <v>1127</v>
      </c>
      <c r="Q54" s="28" t="s">
        <v>1121</v>
      </c>
      <c r="R54" s="28" t="s">
        <v>404</v>
      </c>
      <c r="S54" s="28" t="s">
        <v>405</v>
      </c>
      <c r="W54" s="22" t="s">
        <v>1123</v>
      </c>
      <c r="X54" s="22" t="s">
        <v>1126</v>
      </c>
      <c r="Y54" s="28" t="s">
        <v>45</v>
      </c>
      <c r="Z54" s="28" t="s">
        <v>90</v>
      </c>
      <c r="AA54" s="28" t="s">
        <v>1128</v>
      </c>
      <c r="AB54" s="28" t="s">
        <v>1129</v>
      </c>
      <c r="AC54" s="28" t="str">
        <f>SUBSTITUTE(Table33[[#This Row],[field name]],"field: ","")</f>
        <v>"IFRLTM"</v>
      </c>
      <c r="AD54" s="28" t="str">
        <f>SUBSTITUTE((CLEAN(TRIM(Table33[[#This Row],[field id]]))&amp;": "&amp;CHAR(34)&amp;Table33[[#This Row],[&lt;&lt;NOLA_Exchange&gt;&gt;
Booking]]&amp;CHAR(34)&amp;CHAR(44)),"/nola:BookingExchange","")</f>
        <v>"IFRLTM": "/j:Booking/j:BookingRelease/ActivityDate/DateTime",</v>
      </c>
      <c r="AE54" s="32" t="str">
        <f>_xlfn.XLOOKUP(Table33[[#This Row],[&lt;&lt;NOLA_Exchange&gt;&gt;
Booking]],Table264[XPATHS],Table264['#],"DNE")</f>
        <v>18rel_xpath</v>
      </c>
      <c r="AF54" s="28" t="str">
        <f>SUBSTITUTE(Table33[[#This Row],[field id]],CHAR(34),"")</f>
        <v>IFRLTM</v>
      </c>
    </row>
    <row r="55" spans="1:32" ht="15" customHeight="1" x14ac:dyDescent="0.3">
      <c r="A55" s="28" t="str">
        <f t="shared" si="0"/>
        <v>54expanded_IMFLDR_sorted</v>
      </c>
      <c r="B55" s="28" t="e">
        <f t="shared" si="4"/>
        <v>#REF!</v>
      </c>
      <c r="C55" s="28" t="e">
        <f t="shared" si="5"/>
        <v>#REF!</v>
      </c>
      <c r="D55" s="28" t="e">
        <f t="shared" si="6"/>
        <v>#REF!</v>
      </c>
      <c r="E55" s="51" t="s">
        <v>32</v>
      </c>
      <c r="F55" s="28" t="s">
        <v>8</v>
      </c>
      <c r="G55" s="28">
        <v>199</v>
      </c>
      <c r="H55" s="29" t="s">
        <v>1106</v>
      </c>
      <c r="I55" s="53" t="s">
        <v>1117</v>
      </c>
      <c r="J55" s="28" t="s">
        <v>399</v>
      </c>
      <c r="K55" s="28" t="s">
        <v>1118</v>
      </c>
      <c r="L55" s="28" t="s">
        <v>36</v>
      </c>
      <c r="M55" s="31" t="s">
        <v>57</v>
      </c>
      <c r="N55" s="28" t="s">
        <v>1117</v>
      </c>
      <c r="O55" s="28" t="s">
        <v>1130</v>
      </c>
      <c r="P55" s="28" t="s">
        <v>1131</v>
      </c>
      <c r="Q55" s="28" t="s">
        <v>1121</v>
      </c>
      <c r="R55" s="28" t="s">
        <v>404</v>
      </c>
      <c r="S55" s="28" t="s">
        <v>405</v>
      </c>
      <c r="W55" s="22" t="s">
        <v>1123</v>
      </c>
      <c r="X55" s="22" t="s">
        <v>1130</v>
      </c>
      <c r="Y55" s="28" t="s">
        <v>45</v>
      </c>
      <c r="Z55" s="28" t="s">
        <v>90</v>
      </c>
      <c r="AA55" s="28" t="s">
        <v>1132</v>
      </c>
      <c r="AB55" s="28" t="s">
        <v>1133</v>
      </c>
      <c r="AC55" s="28" t="str">
        <f>SUBSTITUTE(Table33[[#This Row],[field name]],"field: ","")</f>
        <v>"IFRLPN"</v>
      </c>
      <c r="AD55" s="28" t="str">
        <f>SUBSTITUTE((CLEAN(TRIM(Table33[[#This Row],[field id]]))&amp;": "&amp;CHAR(34)&amp;Table33[[#This Row],[&lt;&lt;NOLA_Exchange&gt;&gt;
Booking]]&amp;CHAR(34)&amp;CHAR(44)),"/nola:BookingExchange","")</f>
        <v>"IFRLPN": "/j:Booking/j:BookingRelease/ActivityDate/DateTime",</v>
      </c>
      <c r="AE55" s="32" t="str">
        <f>_xlfn.XLOOKUP(Table33[[#This Row],[&lt;&lt;NOLA_Exchange&gt;&gt;
Booking]],Table264[XPATHS],Table264['#],"DNE")</f>
        <v>18rel_xpath</v>
      </c>
      <c r="AF55" s="28" t="str">
        <f>SUBSTITUTE(Table33[[#This Row],[field id]],CHAR(34),"")</f>
        <v>IFRLPN</v>
      </c>
    </row>
    <row r="56" spans="1:32" ht="15" customHeight="1" x14ac:dyDescent="0.3">
      <c r="A56" s="28" t="str">
        <f t="shared" si="0"/>
        <v>55expanded_IMFLDR_sorted</v>
      </c>
      <c r="B56" s="28" t="e">
        <f t="shared" si="4"/>
        <v>#REF!</v>
      </c>
      <c r="C56" s="28" t="e">
        <f t="shared" si="5"/>
        <v>#REF!</v>
      </c>
      <c r="D56" s="28" t="e">
        <f t="shared" si="6"/>
        <v>#REF!</v>
      </c>
      <c r="E56" s="51" t="s">
        <v>32</v>
      </c>
      <c r="F56" s="28" t="s">
        <v>8</v>
      </c>
      <c r="G56" s="28">
        <v>197</v>
      </c>
      <c r="H56" s="29" t="s">
        <v>1106</v>
      </c>
      <c r="I56" s="53" t="s">
        <v>1134</v>
      </c>
      <c r="J56" s="28" t="s">
        <v>399</v>
      </c>
      <c r="K56" s="28" t="s">
        <v>1135</v>
      </c>
      <c r="L56" s="28" t="s">
        <v>36</v>
      </c>
      <c r="M56" s="31" t="s">
        <v>1134</v>
      </c>
      <c r="N56" s="28" t="s">
        <v>1134</v>
      </c>
      <c r="O56" s="28" t="s">
        <v>1136</v>
      </c>
      <c r="P56" s="28" t="s">
        <v>1137</v>
      </c>
      <c r="Q56" s="28" t="s">
        <v>1137</v>
      </c>
      <c r="R56" s="28" t="s">
        <v>404</v>
      </c>
      <c r="S56" s="28" t="s">
        <v>405</v>
      </c>
      <c r="W56" s="22" t="s">
        <v>1139</v>
      </c>
      <c r="X56" s="22" t="s">
        <v>1136</v>
      </c>
      <c r="Y56" s="28" t="s">
        <v>45</v>
      </c>
      <c r="Z56" s="28" t="s">
        <v>90</v>
      </c>
      <c r="AA56" s="28" t="s">
        <v>1140</v>
      </c>
      <c r="AB56" s="28" t="s">
        <v>1141</v>
      </c>
      <c r="AC56" s="28" t="str">
        <f>SUBSTITUTE(Table33[[#This Row],[field name]],"field: ","")</f>
        <v>"IFSCRD"</v>
      </c>
      <c r="AD56" s="28" t="str">
        <f>SUBSTITUTE((CLEAN(TRIM(Table33[[#This Row],[field id]]))&amp;": "&amp;CHAR(34)&amp;Table33[[#This Row],[&lt;&lt;NOLA_Exchange&gt;&gt;
Booking]]&amp;CHAR(34)&amp;CHAR(44)),"/nola:BookingExchange","")</f>
        <v>"IFSCRD": "/j:Booking/j:BookingRelease/ActivityScheduledDate/DateTime",</v>
      </c>
      <c r="AE56" s="32" t="str">
        <f>_xlfn.XLOOKUP(Table33[[#This Row],[&lt;&lt;NOLA_Exchange&gt;&gt;
Booking]],Table264[XPATHS],Table264['#],"DNE")</f>
        <v>20rel_xpath</v>
      </c>
      <c r="AF56" s="28" t="str">
        <f>SUBSTITUTE(Table33[[#This Row],[field id]],CHAR(34),"")</f>
        <v>IFSCRD</v>
      </c>
    </row>
  </sheetData>
  <conditionalFormatting sqref="H2:H56">
    <cfRule type="expression" dxfId="13" priority="4">
      <formula>AND(LEN($H2)&gt;0,MOD($B2,2)=0)</formula>
    </cfRule>
  </conditionalFormatting>
  <conditionalFormatting sqref="I2:I56">
    <cfRule type="expression" dxfId="12" priority="5">
      <formula>AND(LEN($I2)&gt;0,MOD($C2,2)=0)</formula>
    </cfRule>
  </conditionalFormatting>
  <conditionalFormatting sqref="M2:M56">
    <cfRule type="expression" dxfId="11" priority="3">
      <formula>AND(LEN($M2)&gt;0,MOD($D2,2)=0)</formula>
    </cfRule>
  </conditionalFormatting>
  <conditionalFormatting sqref="W2:W56">
    <cfRule type="expression" dxfId="10" priority="1">
      <formula>IF($E2="d",TRUE,FALSE)</formula>
    </cfRule>
    <cfRule type="expression" dxfId="9" priority="2">
      <formula>IF($E2="x",TRUE,FALSE)</formula>
    </cfRule>
  </conditionalFormatting>
  <conditionalFormatting sqref="AB2:AB56">
    <cfRule type="duplicateValues" dxfId="8" priority="337"/>
  </conditionalFormatting>
  <conditionalFormatting sqref="AC2:AC56">
    <cfRule type="duplicateValues" dxfId="7" priority="339"/>
  </conditionalFormatting>
  <conditionalFormatting sqref="AE2:AE56">
    <cfRule type="duplicateValues" dxfId="6" priority="341"/>
    <cfRule type="containsText" dxfId="5" priority="342" operator="containsText" text="DNE">
      <formula>NOT(ISERROR(SEARCH("DNE",AE2)))</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D1EE1-F654-4598-9336-794728E3936B}">
  <sheetPr>
    <tabColor theme="9" tint="0.59999389629810485"/>
  </sheetPr>
  <dimension ref="A1:D394"/>
  <sheetViews>
    <sheetView workbookViewId="0">
      <selection activeCell="C34" sqref="C34"/>
    </sheetView>
  </sheetViews>
  <sheetFormatPr defaultColWidth="9.109375" defaultRowHeight="14.4" x14ac:dyDescent="0.3"/>
  <cols>
    <col min="1" max="1" width="9.109375" style="33"/>
    <col min="2" max="2" width="115.5546875" style="33" customWidth="1"/>
    <col min="3" max="3" width="98.88671875" style="33" customWidth="1"/>
    <col min="4" max="4" width="26" style="33" bestFit="1" customWidth="1"/>
    <col min="5" max="16384" width="9.109375" style="33"/>
  </cols>
  <sheetData>
    <row r="1" spans="1:4" s="22" customFormat="1" ht="30.75" customHeight="1" x14ac:dyDescent="0.3">
      <c r="A1" s="22" t="s">
        <v>0</v>
      </c>
      <c r="B1" s="22" t="s">
        <v>3093</v>
      </c>
      <c r="C1" s="44" t="s">
        <v>3094</v>
      </c>
      <c r="D1" s="45" t="s">
        <v>3095</v>
      </c>
    </row>
    <row r="2" spans="1:4" x14ac:dyDescent="0.3">
      <c r="A2" s="33" t="str">
        <f t="shared" ref="A2:A65" si="0">ROW(A1)&amp;"rel_xpath"</f>
        <v>1rel_xpath</v>
      </c>
      <c r="B2" s="5" t="s">
        <v>3096</v>
      </c>
      <c r="C2" s="33" t="str">
        <f>_xlfn.XLOOKUP(Table264[[#This Row],[XPATHS]],Table33[&lt;&lt;NOLA_Exchange&gt;&gt;
Booking],Table33[python script],"")</f>
        <v/>
      </c>
      <c r="D2" s="33" t="str">
        <f>_xlfn.XLOOKUP(Table264[[#This Row],[XPATHS]],Table33[&lt;&lt;NOLA_Exchange&gt;&gt;
Booking],Table33['#],"")</f>
        <v/>
      </c>
    </row>
    <row r="3" spans="1:4" x14ac:dyDescent="0.3">
      <c r="A3" s="33" t="str">
        <f t="shared" si="0"/>
        <v>2rel_xpath</v>
      </c>
      <c r="B3" s="5" t="s">
        <v>3097</v>
      </c>
      <c r="C3" s="33" t="str">
        <f>_xlfn.XLOOKUP(Table264[[#This Row],[XPATHS]],Table33[&lt;&lt;NOLA_Exchange&gt;&gt;
Booking],Table33[python script],"")</f>
        <v/>
      </c>
      <c r="D3" s="33" t="str">
        <f>_xlfn.XLOOKUP(Table264[[#This Row],[XPATHS]],Table33[&lt;&lt;NOLA_Exchange&gt;&gt;
Booking],Table33['#],"")</f>
        <v/>
      </c>
    </row>
    <row r="4" spans="1:4" x14ac:dyDescent="0.3">
      <c r="A4" s="33" t="str">
        <f t="shared" si="0"/>
        <v>3rel_xpath</v>
      </c>
      <c r="B4" s="5" t="s">
        <v>407</v>
      </c>
      <c r="C4" s="33" t="str">
        <f>_xlfn.XLOOKUP(Table264[[#This Row],[XPATHS]],Table33[&lt;&lt;NOLA_Exchange&gt;&gt;
Booking],Table33[python script],"")</f>
        <v>"IFBKPN": "/j:Booking/ActivityDate/DateTime",</v>
      </c>
      <c r="D4" s="33" t="str">
        <f>_xlfn.XLOOKUP(Table264[[#This Row],[XPATHS]],Table33[&lt;&lt;NOLA_Exchange&gt;&gt;
Booking],Table33['#],"")</f>
        <v>12expanded_IMFLDR_sorted</v>
      </c>
    </row>
    <row r="5" spans="1:4" x14ac:dyDescent="0.3">
      <c r="A5" s="33" t="str">
        <f t="shared" si="0"/>
        <v>4rel_xpath</v>
      </c>
      <c r="B5" s="5" t="s">
        <v>3098</v>
      </c>
      <c r="C5" s="33" t="str">
        <f>_xlfn.XLOOKUP(Table264[[#This Row],[XPATHS]],Table33[&lt;&lt;NOLA_Exchange&gt;&gt;
Booking],Table33[python script],"")</f>
        <v/>
      </c>
      <c r="D5" s="33" t="str">
        <f>_xlfn.XLOOKUP(Table264[[#This Row],[XPATHS]],Table33[&lt;&lt;NOLA_Exchange&gt;&gt;
Booking],Table33['#],"")</f>
        <v/>
      </c>
    </row>
    <row r="6" spans="1:4" x14ac:dyDescent="0.3">
      <c r="A6" s="33" t="str">
        <f t="shared" si="0"/>
        <v>5rel_xpath</v>
      </c>
      <c r="B6" s="5" t="s">
        <v>362</v>
      </c>
      <c r="C6" s="33" t="str">
        <f>_xlfn.XLOOKUP(Table264[[#This Row],[XPATHS]],Table33[&lt;&lt;NOLA_Exchange&gt;&gt;
Booking],Table33[python script],"")</f>
        <v>"IFAGCY": "/j:Booking/j:BookingAgency/OrganizationName",</v>
      </c>
      <c r="D6" s="33" t="str">
        <f>_xlfn.XLOOKUP(Table264[[#This Row],[XPATHS]],Table33[&lt;&lt;NOLA_Exchange&gt;&gt;
Booking],Table33['#],"")</f>
        <v>10expanded_IMFLDR_sorted</v>
      </c>
    </row>
    <row r="7" spans="1:4" x14ac:dyDescent="0.3">
      <c r="A7" s="33" t="str">
        <f t="shared" si="0"/>
        <v>6rel_xpath</v>
      </c>
      <c r="B7" s="5" t="s">
        <v>3099</v>
      </c>
      <c r="C7" s="33" t="str">
        <f>_xlfn.XLOOKUP(Table264[[#This Row],[XPATHS]],Table33[&lt;&lt;NOLA_Exchange&gt;&gt;
Booking],Table33[python script],"")</f>
        <v/>
      </c>
      <c r="D7" s="33" t="str">
        <f>_xlfn.XLOOKUP(Table264[[#This Row],[XPATHS]],Table33[&lt;&lt;NOLA_Exchange&gt;&gt;
Booking],Table33['#],"")</f>
        <v/>
      </c>
    </row>
    <row r="8" spans="1:4" x14ac:dyDescent="0.3">
      <c r="A8" s="33" t="str">
        <f t="shared" si="0"/>
        <v>7rel_xpath</v>
      </c>
      <c r="B8" s="5" t="s">
        <v>3100</v>
      </c>
      <c r="C8" s="33" t="str">
        <f>_xlfn.XLOOKUP(Table264[[#This Row],[XPATHS]],Table33[&lt;&lt;NOLA_Exchange&gt;&gt;
Booking],Table33[python script],"")</f>
        <v/>
      </c>
      <c r="D8" s="33" t="str">
        <f>_xlfn.XLOOKUP(Table264[[#This Row],[XPATHS]],Table33[&lt;&lt;NOLA_Exchange&gt;&gt;
Booking],Table33['#],"")</f>
        <v/>
      </c>
    </row>
    <row r="9" spans="1:4" x14ac:dyDescent="0.3">
      <c r="A9" s="33" t="str">
        <f t="shared" si="0"/>
        <v>8rel_xpath</v>
      </c>
      <c r="B9" s="5" t="s">
        <v>1427</v>
      </c>
      <c r="C9" s="33" t="str">
        <f>_xlfn.XLOOKUP(Table264[[#This Row],[XPATHS]],Table33[&lt;&lt;NOLA_Exchange&gt;&gt;
Booking],Table33[python script],"")</f>
        <v/>
      </c>
      <c r="D9" s="33" t="str">
        <f>_xlfn.XLOOKUP(Table264[[#This Row],[XPATHS]],Table33[&lt;&lt;NOLA_Exchange&gt;&gt;
Booking],Table33['#],"")</f>
        <v/>
      </c>
    </row>
    <row r="10" spans="1:4" x14ac:dyDescent="0.3">
      <c r="A10" s="33" t="str">
        <f t="shared" si="0"/>
        <v>9rel_xpath</v>
      </c>
      <c r="B10" s="5" t="s">
        <v>3101</v>
      </c>
      <c r="C10" s="33" t="str">
        <f>_xlfn.XLOOKUP(Table264[[#This Row],[XPATHS]],Table33[&lt;&lt;NOLA_Exchange&gt;&gt;
Booking],Table33[python script],"")</f>
        <v/>
      </c>
      <c r="D10" s="33" t="str">
        <f>_xlfn.XLOOKUP(Table264[[#This Row],[XPATHS]],Table33[&lt;&lt;NOLA_Exchange&gt;&gt;
Booking],Table33['#],"")</f>
        <v/>
      </c>
    </row>
    <row r="11" spans="1:4" x14ac:dyDescent="0.3">
      <c r="A11" s="33" t="str">
        <f t="shared" si="0"/>
        <v>10rel_xpath</v>
      </c>
      <c r="B11" s="5" t="s">
        <v>445</v>
      </c>
      <c r="C11" s="33" t="str">
        <f>_xlfn.XLOOKUP(Table264[[#This Row],[XPATHS]],Table33[&lt;&lt;NOLA_Exchange&gt;&gt;
Booking],Table33[python script],"")</f>
        <v>"IFSCNO": "/j:Booking/j:BookingAgencyRecordIdentification/IdentificationID",</v>
      </c>
      <c r="D11" s="33" t="str">
        <f>_xlfn.XLOOKUP(Table264[[#This Row],[XPATHS]],Table33[&lt;&lt;NOLA_Exchange&gt;&gt;
Booking],Table33['#],"")</f>
        <v>16expanded_IMFLDR_sorted</v>
      </c>
    </row>
    <row r="12" spans="1:4" x14ac:dyDescent="0.3">
      <c r="A12" s="33" t="str">
        <f t="shared" si="0"/>
        <v>11rel_xpath</v>
      </c>
      <c r="B12" s="5" t="s">
        <v>3102</v>
      </c>
      <c r="C12" s="33" t="str">
        <f>_xlfn.XLOOKUP(Table264[[#This Row],[XPATHS]],Table33[&lt;&lt;NOLA_Exchange&gt;&gt;
Booking],Table33[python script],"")</f>
        <v/>
      </c>
      <c r="D12" s="33" t="str">
        <f>_xlfn.XLOOKUP(Table264[[#This Row],[XPATHS]],Table33[&lt;&lt;NOLA_Exchange&gt;&gt;
Booking],Table33['#],"")</f>
        <v/>
      </c>
    </row>
    <row r="13" spans="1:4" x14ac:dyDescent="0.3">
      <c r="A13" s="33" t="str">
        <f t="shared" si="0"/>
        <v>12rel_xpath</v>
      </c>
      <c r="B13" s="5" t="s">
        <v>377</v>
      </c>
      <c r="C13" s="33" t="str">
        <f>_xlfn.XLOOKUP(Table264[[#This Row],[XPATHS]],Table33[&lt;&lt;NOLA_Exchange&gt;&gt;
Booking],Table33[python script],"")</f>
        <v>"IFFLDR": "/j:Booking/j:BookingDocumentControlIdentification/IdentificationID",</v>
      </c>
      <c r="D13" s="33" t="str">
        <f>_xlfn.XLOOKUP(Table264[[#This Row],[XPATHS]],Table33[&lt;&lt;NOLA_Exchange&gt;&gt;
Booking],Table33['#],"")</f>
        <v>11expanded_IMFLDR_sorted</v>
      </c>
    </row>
    <row r="14" spans="1:4" x14ac:dyDescent="0.3">
      <c r="A14" s="33" t="str">
        <f t="shared" si="0"/>
        <v>13rel_xpath</v>
      </c>
      <c r="B14" s="5" t="s">
        <v>3103</v>
      </c>
      <c r="C14" s="33" t="str">
        <f>_xlfn.XLOOKUP(Table264[[#This Row],[XPATHS]],Table33[&lt;&lt;NOLA_Exchange&gt;&gt;
Booking],Table33[python script],"")</f>
        <v/>
      </c>
      <c r="D14" s="33" t="str">
        <f>_xlfn.XLOOKUP(Table264[[#This Row],[XPATHS]],Table33[&lt;&lt;NOLA_Exchange&gt;&gt;
Booking],Table33['#],"")</f>
        <v/>
      </c>
    </row>
    <row r="15" spans="1:4" x14ac:dyDescent="0.3">
      <c r="A15" s="33" t="str">
        <f t="shared" si="0"/>
        <v>14rel_xpath</v>
      </c>
      <c r="B15" s="5" t="s">
        <v>3104</v>
      </c>
      <c r="C15" s="33" t="str">
        <f>_xlfn.XLOOKUP(Table264[[#This Row],[XPATHS]],Table33[&lt;&lt;NOLA_Exchange&gt;&gt;
Booking],Table33[python script],"")</f>
        <v/>
      </c>
      <c r="D15" s="33" t="str">
        <f>_xlfn.XLOOKUP(Table264[[#This Row],[XPATHS]],Table33[&lt;&lt;NOLA_Exchange&gt;&gt;
Booking],Table33['#],"")</f>
        <v/>
      </c>
    </row>
    <row r="16" spans="1:4" x14ac:dyDescent="0.3">
      <c r="A16" s="33" t="str">
        <f t="shared" si="0"/>
        <v>15rel_xpath</v>
      </c>
      <c r="B16" s="5" t="s">
        <v>1114</v>
      </c>
      <c r="C16" s="33" t="str">
        <f>_xlfn.XLOOKUP(Table264[[#This Row],[XPATHS]],Table33[&lt;&lt;NOLA_Exchange&gt;&gt;
Booking],Table33[python script],"")</f>
        <v>"IFRLRT": "/j:Booking/j:BookingRelease/ActivityComment/CommentText",</v>
      </c>
      <c r="D16" s="33" t="str">
        <f>_xlfn.XLOOKUP(Table264[[#This Row],[XPATHS]],Table33[&lt;&lt;NOLA_Exchange&gt;&gt;
Booking],Table33['#],"")</f>
        <v>51expanded_IMFLDR_sorted</v>
      </c>
    </row>
    <row r="17" spans="1:4" x14ac:dyDescent="0.3">
      <c r="A17" s="33" t="str">
        <f t="shared" si="0"/>
        <v>16rel_xpath</v>
      </c>
      <c r="B17" s="5" t="s">
        <v>2921</v>
      </c>
      <c r="C17" s="33" t="str">
        <f>_xlfn.XLOOKUP(Table264[[#This Row],[XPATHS]],Table33[&lt;&lt;NOLA_Exchange&gt;&gt;
Booking],Table33[python script],"")</f>
        <v/>
      </c>
      <c r="D17" s="33" t="str">
        <f>_xlfn.XLOOKUP(Table264[[#This Row],[XPATHS]],Table33[&lt;&lt;NOLA_Exchange&gt;&gt;
Booking],Table33['#],"")</f>
        <v/>
      </c>
    </row>
    <row r="18" spans="1:4" x14ac:dyDescent="0.3">
      <c r="A18" s="33" t="str">
        <f t="shared" si="0"/>
        <v>17rel_xpath</v>
      </c>
      <c r="B18" s="5" t="s">
        <v>3105</v>
      </c>
      <c r="C18" s="33" t="str">
        <f>_xlfn.XLOOKUP(Table264[[#This Row],[XPATHS]],Table33[&lt;&lt;NOLA_Exchange&gt;&gt;
Booking],Table33[python script],"")</f>
        <v/>
      </c>
      <c r="D18" s="33" t="str">
        <f>_xlfn.XLOOKUP(Table264[[#This Row],[XPATHS]],Table33[&lt;&lt;NOLA_Exchange&gt;&gt;
Booking],Table33['#],"")</f>
        <v/>
      </c>
    </row>
    <row r="19" spans="1:4" x14ac:dyDescent="0.3">
      <c r="A19" s="33" t="str">
        <f t="shared" si="0"/>
        <v>18rel_xpath</v>
      </c>
      <c r="B19" s="5" t="s">
        <v>1123</v>
      </c>
      <c r="C19" s="33" t="str">
        <f>_xlfn.XLOOKUP(Table264[[#This Row],[XPATHS]],Table33[&lt;&lt;NOLA_Exchange&gt;&gt;
Booking],Table33[python script],"")</f>
        <v>"IFRLDT": "/j:Booking/j:BookingRelease/ActivityDate/DateTime",</v>
      </c>
      <c r="D19" s="33" t="str">
        <f>_xlfn.XLOOKUP(Table264[[#This Row],[XPATHS]],Table33[&lt;&lt;NOLA_Exchange&gt;&gt;
Booking],Table33['#],"")</f>
        <v>52expanded_IMFLDR_sorted</v>
      </c>
    </row>
    <row r="20" spans="1:4" x14ac:dyDescent="0.3">
      <c r="A20" s="33" t="str">
        <f t="shared" si="0"/>
        <v>19rel_xpath</v>
      </c>
      <c r="B20" s="5" t="s">
        <v>3106</v>
      </c>
      <c r="C20" s="33" t="str">
        <f>_xlfn.XLOOKUP(Table264[[#This Row],[XPATHS]],Table33[&lt;&lt;NOLA_Exchange&gt;&gt;
Booking],Table33[python script],"")</f>
        <v/>
      </c>
      <c r="D20" s="33" t="str">
        <f>_xlfn.XLOOKUP(Table264[[#This Row],[XPATHS]],Table33[&lt;&lt;NOLA_Exchange&gt;&gt;
Booking],Table33['#],"")</f>
        <v/>
      </c>
    </row>
    <row r="21" spans="1:4" x14ac:dyDescent="0.3">
      <c r="A21" s="33" t="str">
        <f t="shared" si="0"/>
        <v>20rel_xpath</v>
      </c>
      <c r="B21" s="5" t="s">
        <v>1139</v>
      </c>
      <c r="C21" s="33" t="str">
        <f>_xlfn.XLOOKUP(Table264[[#This Row],[XPATHS]],Table33[&lt;&lt;NOLA_Exchange&gt;&gt;
Booking],Table33[python script],"")</f>
        <v>"IFSCRD": "/j:Booking/j:BookingRelease/ActivityScheduledDate/DateTime",</v>
      </c>
      <c r="D21" s="33" t="str">
        <f>_xlfn.XLOOKUP(Table264[[#This Row],[XPATHS]],Table33[&lt;&lt;NOLA_Exchange&gt;&gt;
Booking],Table33['#],"")</f>
        <v>55expanded_IMFLDR_sorted</v>
      </c>
    </row>
    <row r="22" spans="1:4" x14ac:dyDescent="0.3">
      <c r="A22" s="33" t="str">
        <f t="shared" si="0"/>
        <v>21rel_xpath</v>
      </c>
      <c r="B22" s="5" t="s">
        <v>3107</v>
      </c>
      <c r="C22" s="33" t="str">
        <f>_xlfn.XLOOKUP(Table264[[#This Row],[XPATHS]],Table33[&lt;&lt;NOLA_Exchange&gt;&gt;
Booking],Table33[python script],"")</f>
        <v/>
      </c>
      <c r="D22" s="33" t="str">
        <f>_xlfn.XLOOKUP(Table264[[#This Row],[XPATHS]],Table33[&lt;&lt;NOLA_Exchange&gt;&gt;
Booking],Table33['#],"")</f>
        <v/>
      </c>
    </row>
    <row r="23" spans="1:4" x14ac:dyDescent="0.3">
      <c r="A23" s="33" t="str">
        <f t="shared" si="0"/>
        <v>22rel_xpath</v>
      </c>
      <c r="B23" s="5" t="s">
        <v>3108</v>
      </c>
      <c r="C23" s="33" t="str">
        <f>_xlfn.XLOOKUP(Table264[[#This Row],[XPATHS]],Table33[&lt;&lt;NOLA_Exchange&gt;&gt;
Booking],Table33[python script],"")</f>
        <v/>
      </c>
      <c r="D23" s="33" t="str">
        <f>_xlfn.XLOOKUP(Table264[[#This Row],[XPATHS]],Table33[&lt;&lt;NOLA_Exchange&gt;&gt;
Booking],Table33['#],"")</f>
        <v/>
      </c>
    </row>
    <row r="24" spans="1:4" x14ac:dyDescent="0.3">
      <c r="A24" s="33" t="str">
        <f t="shared" si="0"/>
        <v>23rel_xpath</v>
      </c>
      <c r="B24" s="5" t="s">
        <v>3109</v>
      </c>
      <c r="C24" s="33" t="str">
        <f>_xlfn.XLOOKUP(Table264[[#This Row],[XPATHS]],Table33[&lt;&lt;NOLA_Exchange&gt;&gt;
Booking],Table33[python script],"")</f>
        <v/>
      </c>
      <c r="D24" s="33" t="str">
        <f>_xlfn.XLOOKUP(Table264[[#This Row],[XPATHS]],Table33[&lt;&lt;NOLA_Exchange&gt;&gt;
Booking],Table33['#],"")</f>
        <v/>
      </c>
    </row>
    <row r="25" spans="1:4" x14ac:dyDescent="0.3">
      <c r="A25" s="33" t="str">
        <f t="shared" si="0"/>
        <v>24rel_xpath</v>
      </c>
      <c r="B25" s="5" t="s">
        <v>880</v>
      </c>
      <c r="C25" s="33" t="str">
        <f>_xlfn.XLOOKUP(Table264[[#This Row],[XPATHS]],Table33[&lt;&lt;NOLA_Exchange&gt;&gt;
Booking],Table33[python script],"")</f>
        <v>"IFDOBD": "/j:Booking/j:BookingSubject/RoleOfPerson/PersonBirthDate/Date",</v>
      </c>
      <c r="D25" s="33" t="str">
        <f>_xlfn.XLOOKUP(Table264[[#This Row],[XPATHS]],Table33[&lt;&lt;NOLA_Exchange&gt;&gt;
Booking],Table33['#],"")</f>
        <v>37expanded_IMFLDR_sorted</v>
      </c>
    </row>
    <row r="26" spans="1:4" x14ac:dyDescent="0.3">
      <c r="A26" s="33" t="str">
        <f t="shared" si="0"/>
        <v>25rel_xpath</v>
      </c>
      <c r="B26" s="5" t="s">
        <v>3110</v>
      </c>
      <c r="C26" s="33" t="str">
        <f>_xlfn.XLOOKUP(Table264[[#This Row],[XPATHS]],Table33[&lt;&lt;NOLA_Exchange&gt;&gt;
Booking],Table33[python script],"")</f>
        <v/>
      </c>
      <c r="D26" s="33" t="str">
        <f>_xlfn.XLOOKUP(Table264[[#This Row],[XPATHS]],Table33[&lt;&lt;NOLA_Exchange&gt;&gt;
Booking],Table33['#],"")</f>
        <v/>
      </c>
    </row>
    <row r="27" spans="1:4" x14ac:dyDescent="0.3">
      <c r="A27" s="33" t="str">
        <f t="shared" si="0"/>
        <v>26rel_xpath</v>
      </c>
      <c r="B27" s="5" t="s">
        <v>3111</v>
      </c>
      <c r="C27" s="33" t="str">
        <f>_xlfn.XLOOKUP(Table264[[#This Row],[XPATHS]],Table33[&lt;&lt;NOLA_Exchange&gt;&gt;
Booking],Table33[python script],"")</f>
        <v/>
      </c>
      <c r="D27" s="33" t="str">
        <f>_xlfn.XLOOKUP(Table264[[#This Row],[XPATHS]],Table33[&lt;&lt;NOLA_Exchange&gt;&gt;
Booking],Table33['#],"")</f>
        <v/>
      </c>
    </row>
    <row r="28" spans="1:4" x14ac:dyDescent="0.3">
      <c r="A28" s="33" t="str">
        <f t="shared" si="0"/>
        <v>27rel_xpath</v>
      </c>
      <c r="B28" s="5" t="s">
        <v>3112</v>
      </c>
      <c r="C28" s="33" t="str">
        <f>_xlfn.XLOOKUP(Table264[[#This Row],[XPATHS]],Table33[&lt;&lt;NOLA_Exchange&gt;&gt;
Booking],Table33[python script],"")</f>
        <v/>
      </c>
      <c r="D28" s="33" t="str">
        <f>_xlfn.XLOOKUP(Table264[[#This Row],[XPATHS]],Table33[&lt;&lt;NOLA_Exchange&gt;&gt;
Booking],Table33['#],"")</f>
        <v/>
      </c>
    </row>
    <row r="29" spans="1:4" x14ac:dyDescent="0.3">
      <c r="A29" s="33" t="str">
        <f t="shared" si="0"/>
        <v>28rel_xpath</v>
      </c>
      <c r="B29" s="5" t="s">
        <v>108</v>
      </c>
      <c r="C29" s="33" t="str">
        <f>_xlfn.XLOOKUP(Table264[[#This Row],[XPATHS]],Table33[&lt;&lt;NOLA_Exchange&gt;&gt;
Booking],Table33[python script],"")</f>
        <v>"IFSTCDB": "/j:Booking/j:BookingSubject/RoleOfPerson/PersonBirthLocation/Address/AddressState/StateName",</v>
      </c>
      <c r="D29" s="33" t="str">
        <f>_xlfn.XLOOKUP(Table264[[#This Row],[XPATHS]],Table33[&lt;&lt;NOLA_Exchange&gt;&gt;
Booking],Table33['#],"")</f>
        <v>42expanded_IMFLDR_sorted</v>
      </c>
    </row>
    <row r="30" spans="1:4" x14ac:dyDescent="0.3">
      <c r="A30" s="33" t="str">
        <f t="shared" si="0"/>
        <v>29rel_xpath</v>
      </c>
      <c r="B30" s="5" t="s">
        <v>3113</v>
      </c>
      <c r="C30" s="33" t="str">
        <f>_xlfn.XLOOKUP(Table264[[#This Row],[XPATHS]],Table33[&lt;&lt;NOLA_Exchange&gt;&gt;
Booking],Table33[python script],"")</f>
        <v/>
      </c>
      <c r="D30" s="33" t="str">
        <f>_xlfn.XLOOKUP(Table264[[#This Row],[XPATHS]],Table33[&lt;&lt;NOLA_Exchange&gt;&gt;
Booking],Table33['#],"")</f>
        <v/>
      </c>
    </row>
    <row r="31" spans="1:4" x14ac:dyDescent="0.3">
      <c r="A31" s="33" t="str">
        <f t="shared" si="0"/>
        <v>30rel_xpath</v>
      </c>
      <c r="B31" s="5" t="s">
        <v>3114</v>
      </c>
      <c r="C31" s="33" t="str">
        <f>_xlfn.XLOOKUP(Table264[[#This Row],[XPATHS]],Table33[&lt;&lt;NOLA_Exchange&gt;&gt;
Booking],Table33[python script],"")</f>
        <v/>
      </c>
      <c r="D31" s="33" t="str">
        <f>_xlfn.XLOOKUP(Table264[[#This Row],[XPATHS]],Table33[&lt;&lt;NOLA_Exchange&gt;&gt;
Booking],Table33['#],"")</f>
        <v/>
      </c>
    </row>
    <row r="32" spans="1:4" x14ac:dyDescent="0.3">
      <c r="A32" s="33" t="str">
        <f t="shared" si="0"/>
        <v>31rel_xpath</v>
      </c>
      <c r="B32" s="5" t="s">
        <v>3115</v>
      </c>
      <c r="C32" s="33" t="str">
        <f>_xlfn.XLOOKUP(Table264[[#This Row],[XPATHS]],Table33[&lt;&lt;NOLA_Exchange&gt;&gt;
Booking],Table33[python script],"")</f>
        <v/>
      </c>
      <c r="D32" s="33" t="str">
        <f>_xlfn.XLOOKUP(Table264[[#This Row],[XPATHS]],Table33[&lt;&lt;NOLA_Exchange&gt;&gt;
Booking],Table33['#],"")</f>
        <v/>
      </c>
    </row>
    <row r="33" spans="1:4" x14ac:dyDescent="0.3">
      <c r="A33" s="33" t="str">
        <f t="shared" si="0"/>
        <v>32rel_xpath</v>
      </c>
      <c r="B33" s="5" t="s">
        <v>3116</v>
      </c>
      <c r="C33" s="33" t="str">
        <f>_xlfn.XLOOKUP(Table264[[#This Row],[XPATHS]],Table33[&lt;&lt;NOLA_Exchange&gt;&gt;
Booking],Table33[python script],"")</f>
        <v/>
      </c>
      <c r="D33" s="33" t="str">
        <f>_xlfn.XLOOKUP(Table264[[#This Row],[XPATHS]],Table33[&lt;&lt;NOLA_Exchange&gt;&gt;
Booking],Table33['#],"")</f>
        <v/>
      </c>
    </row>
    <row r="34" spans="1:4" x14ac:dyDescent="0.3">
      <c r="A34" s="33" t="str">
        <f t="shared" si="0"/>
        <v>33rel_xpath</v>
      </c>
      <c r="B34" s="5" t="s">
        <v>3117</v>
      </c>
      <c r="C34" s="33" t="str">
        <f>_xlfn.XLOOKUP(Table264[[#This Row],[XPATHS]],Table33[&lt;&lt;NOLA_Exchange&gt;&gt;
Booking],Table33[python script],"")</f>
        <v/>
      </c>
      <c r="D34" s="33" t="str">
        <f>_xlfn.XLOOKUP(Table264[[#This Row],[XPATHS]],Table33[&lt;&lt;NOLA_Exchange&gt;&gt;
Booking],Table33['#],"")</f>
        <v/>
      </c>
    </row>
    <row r="35" spans="1:4" x14ac:dyDescent="0.3">
      <c r="A35" s="33" t="str">
        <f t="shared" si="0"/>
        <v>34rel_xpath</v>
      </c>
      <c r="B35" s="5" t="s">
        <v>3118</v>
      </c>
      <c r="C35" s="33" t="str">
        <f>_xlfn.XLOOKUP(Table264[[#This Row],[XPATHS]],Table33[&lt;&lt;NOLA_Exchange&gt;&gt;
Booking],Table33[python script],"")</f>
        <v/>
      </c>
      <c r="D35" s="33" t="str">
        <f>_xlfn.XLOOKUP(Table264[[#This Row],[XPATHS]],Table33[&lt;&lt;NOLA_Exchange&gt;&gt;
Booking],Table33['#],"")</f>
        <v/>
      </c>
    </row>
    <row r="36" spans="1:4" x14ac:dyDescent="0.3">
      <c r="A36" s="33" t="str">
        <f t="shared" si="0"/>
        <v>35rel_xpath</v>
      </c>
      <c r="B36" s="5" t="s">
        <v>3119</v>
      </c>
      <c r="C36" s="33" t="str">
        <f>_xlfn.XLOOKUP(Table264[[#This Row],[XPATHS]],Table33[&lt;&lt;NOLA_Exchange&gt;&gt;
Booking],Table33[python script],"")</f>
        <v/>
      </c>
      <c r="D36" s="33" t="str">
        <f>_xlfn.XLOOKUP(Table264[[#This Row],[XPATHS]],Table33[&lt;&lt;NOLA_Exchange&gt;&gt;
Booking],Table33['#],"")</f>
        <v/>
      </c>
    </row>
    <row r="37" spans="1:4" x14ac:dyDescent="0.3">
      <c r="A37" s="33" t="str">
        <f t="shared" si="0"/>
        <v>36rel_xpath</v>
      </c>
      <c r="B37" s="5" t="s">
        <v>2257</v>
      </c>
      <c r="C37" s="33" t="str">
        <f>_xlfn.XLOOKUP(Table264[[#This Row],[XPATHS]],Table33[&lt;&lt;NOLA_Exchange&gt;&gt;
Booking],Table33[python script],"")</f>
        <v/>
      </c>
      <c r="D37" s="33" t="str">
        <f>_xlfn.XLOOKUP(Table264[[#This Row],[XPATHS]],Table33[&lt;&lt;NOLA_Exchange&gt;&gt;
Booking],Table33['#],"")</f>
        <v/>
      </c>
    </row>
    <row r="38" spans="1:4" x14ac:dyDescent="0.3">
      <c r="A38" s="33" t="str">
        <f t="shared" si="0"/>
        <v>37rel_xpath</v>
      </c>
      <c r="B38" s="5" t="s">
        <v>3120</v>
      </c>
      <c r="C38" s="33" t="str">
        <f>_xlfn.XLOOKUP(Table264[[#This Row],[XPATHS]],Table33[&lt;&lt;NOLA_Exchange&gt;&gt;
Booking],Table33[python script],"")</f>
        <v/>
      </c>
      <c r="D38" s="33" t="str">
        <f>_xlfn.XLOOKUP(Table264[[#This Row],[XPATHS]],Table33[&lt;&lt;NOLA_Exchange&gt;&gt;
Booking],Table33['#],"")</f>
        <v/>
      </c>
    </row>
    <row r="39" spans="1:4" x14ac:dyDescent="0.3">
      <c r="A39" s="33" t="str">
        <f t="shared" si="0"/>
        <v>38rel_xpath</v>
      </c>
      <c r="B39" s="5" t="s">
        <v>3508</v>
      </c>
      <c r="C39" s="33" t="str">
        <f>_xlfn.XLOOKUP(Table264[[#This Row],[XPATHS]],Table33[&lt;&lt;NOLA_Exchange&gt;&gt;
Booking],Table33[python script],"")</f>
        <v>"IFEYES": "/j:Booking/j:BookingSubject/RoleOfPerson/PersonEyeColorText",</v>
      </c>
      <c r="D39" s="33" t="str">
        <f>_xlfn.XLOOKUP(Table264[[#This Row],[XPATHS]],Table33[&lt;&lt;NOLA_Exchange&gt;&gt;
Booking],Table33['#],"")</f>
        <v>27expanded_IMFLDR_sorted</v>
      </c>
    </row>
    <row r="40" spans="1:4" x14ac:dyDescent="0.3">
      <c r="A40" s="33" t="str">
        <f t="shared" si="0"/>
        <v>39rel_xpath</v>
      </c>
      <c r="B40" s="5" t="s">
        <v>753</v>
      </c>
      <c r="C40" s="33" t="str">
        <f>_xlfn.XLOOKUP(Table264[[#This Row],[XPATHS]],Table33[&lt;&lt;NOLA_Exchange&gt;&gt;
Booking],Table33[python script],"")</f>
        <v>"IFHAIR": "/j:Booking/j:BookingSubject/RoleOfPerson/PersonHairColorText",</v>
      </c>
      <c r="D40" s="33" t="str">
        <f>_xlfn.XLOOKUP(Table264[[#This Row],[XPATHS]],Table33[&lt;&lt;NOLA_Exchange&gt;&gt;
Booking],Table33['#],"")</f>
        <v>28expanded_IMFLDR_sorted</v>
      </c>
    </row>
    <row r="41" spans="1:4" x14ac:dyDescent="0.3">
      <c r="A41" s="33" t="str">
        <f t="shared" si="0"/>
        <v>40rel_xpath</v>
      </c>
      <c r="B41" s="5" t="s">
        <v>3121</v>
      </c>
      <c r="C41" s="33" t="str">
        <f>_xlfn.XLOOKUP(Table264[[#This Row],[XPATHS]],Table33[&lt;&lt;NOLA_Exchange&gt;&gt;
Booking],Table33[python script],"")</f>
        <v/>
      </c>
      <c r="D41" s="33" t="str">
        <f>_xlfn.XLOOKUP(Table264[[#This Row],[XPATHS]],Table33[&lt;&lt;NOLA_Exchange&gt;&gt;
Booking],Table33['#],"")</f>
        <v/>
      </c>
    </row>
    <row r="42" spans="1:4" x14ac:dyDescent="0.3">
      <c r="A42" s="33" t="str">
        <f t="shared" si="0"/>
        <v>41rel_xpath</v>
      </c>
      <c r="B42" s="5" t="s">
        <v>769</v>
      </c>
      <c r="C42" s="33" t="str">
        <f>_xlfn.XLOOKUP(Table264[[#This Row],[XPATHS]],Table33[&lt;&lt;NOLA_Exchange&gt;&gt;
Booking],Table33[python script],"")</f>
        <v>"IFHGHT": "/j:Booking/j:BookingSubject/RoleOfPerson/PersonHeightMeasure[1]/MeasureValueText",</v>
      </c>
      <c r="D42" s="33" t="str">
        <f>_xlfn.XLOOKUP(Table264[[#This Row],[XPATHS]],Table33[&lt;&lt;NOLA_Exchange&gt;&gt;
Booking],Table33['#],"")</f>
        <v>29expanded_IMFLDR_sorted</v>
      </c>
    </row>
    <row r="43" spans="1:4" x14ac:dyDescent="0.3">
      <c r="A43" s="33" t="str">
        <f t="shared" si="0"/>
        <v>42rel_xpath</v>
      </c>
      <c r="B43" s="5" t="s">
        <v>3122</v>
      </c>
      <c r="C43" s="33" t="str">
        <f>_xlfn.XLOOKUP(Table264[[#This Row],[XPATHS]],Table33[&lt;&lt;NOLA_Exchange&gt;&gt;
Booking],Table33[python script],"")</f>
        <v/>
      </c>
      <c r="D43" s="33" t="str">
        <f>_xlfn.XLOOKUP(Table264[[#This Row],[XPATHS]],Table33[&lt;&lt;NOLA_Exchange&gt;&gt;
Booking],Table33['#],"")</f>
        <v/>
      </c>
    </row>
    <row r="44" spans="1:4" x14ac:dyDescent="0.3">
      <c r="A44" s="33" t="str">
        <f t="shared" si="0"/>
        <v>43rel_xpath</v>
      </c>
      <c r="B44" s="5" t="s">
        <v>3123</v>
      </c>
      <c r="C44" s="33" t="str">
        <f>_xlfn.XLOOKUP(Table264[[#This Row],[XPATHS]],Table33[&lt;&lt;NOLA_Exchange&gt;&gt;
Booking],Table33[python script],"")</f>
        <v/>
      </c>
      <c r="D44" s="33" t="str">
        <f>_xlfn.XLOOKUP(Table264[[#This Row],[XPATHS]],Table33[&lt;&lt;NOLA_Exchange&gt;&gt;
Booking],Table33['#],"")</f>
        <v/>
      </c>
    </row>
    <row r="45" spans="1:4" x14ac:dyDescent="0.3">
      <c r="A45" s="33" t="str">
        <f t="shared" si="0"/>
        <v>44rel_xpath</v>
      </c>
      <c r="B45" s="5" t="s">
        <v>772</v>
      </c>
      <c r="C45" s="33" t="str">
        <f>_xlfn.XLOOKUP(Table264[[#This Row],[XPATHS]],Table33[&lt;&lt;NOLA_Exchange&gt;&gt;
Booking],Table33[python script],"")</f>
        <v/>
      </c>
      <c r="D45" s="33" t="str">
        <f>_xlfn.XLOOKUP(Table264[[#This Row],[XPATHS]],Table33[&lt;&lt;NOLA_Exchange&gt;&gt;
Booking],Table33['#],"")</f>
        <v/>
      </c>
    </row>
    <row r="46" spans="1:4" x14ac:dyDescent="0.3">
      <c r="A46" s="33" t="str">
        <f t="shared" si="0"/>
        <v>45rel_xpath</v>
      </c>
      <c r="B46" s="5" t="s">
        <v>3124</v>
      </c>
      <c r="C46" s="33" t="str">
        <f>_xlfn.XLOOKUP(Table264[[#This Row],[XPATHS]],Table33[&lt;&lt;NOLA_Exchange&gt;&gt;
Booking],Table33[python script],"")</f>
        <v/>
      </c>
      <c r="D46" s="33" t="str">
        <f>_xlfn.XLOOKUP(Table264[[#This Row],[XPATHS]],Table33[&lt;&lt;NOLA_Exchange&gt;&gt;
Booking],Table33['#],"")</f>
        <v/>
      </c>
    </row>
    <row r="47" spans="1:4" x14ac:dyDescent="0.3">
      <c r="A47" s="33" t="str">
        <f t="shared" si="0"/>
        <v>46rel_xpath</v>
      </c>
      <c r="B47" s="5" t="s">
        <v>3125</v>
      </c>
      <c r="C47" s="33" t="str">
        <f>_xlfn.XLOOKUP(Table264[[#This Row],[XPATHS]],Table33[&lt;&lt;NOLA_Exchange&gt;&gt;
Booking],Table33[python script],"")</f>
        <v/>
      </c>
      <c r="D47" s="33" t="str">
        <f>_xlfn.XLOOKUP(Table264[[#This Row],[XPATHS]],Table33[&lt;&lt;NOLA_Exchange&gt;&gt;
Booking],Table33['#],"")</f>
        <v/>
      </c>
    </row>
    <row r="48" spans="1:4" x14ac:dyDescent="0.3">
      <c r="A48" s="33" t="str">
        <f t="shared" si="0"/>
        <v>47rel_xpath</v>
      </c>
      <c r="B48" s="5" t="s">
        <v>2905</v>
      </c>
      <c r="C48" s="33" t="str">
        <f>_xlfn.XLOOKUP(Table264[[#This Row],[XPATHS]],Table33[&lt;&lt;NOLA_Exchange&gt;&gt;
Booking],Table33[python script],"")</f>
        <v/>
      </c>
      <c r="D48" s="33" t="str">
        <f>_xlfn.XLOOKUP(Table264[[#This Row],[XPATHS]],Table33[&lt;&lt;NOLA_Exchange&gt;&gt;
Booking],Table33['#],"")</f>
        <v/>
      </c>
    </row>
    <row r="49" spans="1:4" x14ac:dyDescent="0.3">
      <c r="A49" s="33" t="str">
        <f t="shared" si="0"/>
        <v>48rel_xpath</v>
      </c>
      <c r="B49" s="5" t="s">
        <v>964</v>
      </c>
      <c r="C49" s="33" t="str">
        <f>_xlfn.XLOOKUP(Table264[[#This Row],[XPATHS]],Table33[&lt;&lt;NOLA_Exchange&gt;&gt;
Booking],Table33[python script],"")</f>
        <v>"IFFNAM": "/j:Booking/j:BookingSubject/RoleOfPerson/PersonName/PersonGivenName",</v>
      </c>
      <c r="D49" s="33" t="str">
        <f>_xlfn.XLOOKUP(Table264[[#This Row],[XPATHS]],Table33[&lt;&lt;NOLA_Exchange&gt;&gt;
Booking],Table33['#],"")</f>
        <v>43expanded_IMFLDR_sorted</v>
      </c>
    </row>
    <row r="50" spans="1:4" x14ac:dyDescent="0.3">
      <c r="A50" s="33" t="str">
        <f t="shared" si="0"/>
        <v>49rel_xpath</v>
      </c>
      <c r="B50" s="5" t="s">
        <v>1083</v>
      </c>
      <c r="C50" s="33" t="str">
        <f>_xlfn.XLOOKUP(Table264[[#This Row],[XPATHS]],Table33[&lt;&lt;NOLA_Exchange&gt;&gt;
Booking],Table33[python script],"")</f>
        <v>"IFMINI": "/j:Booking/j:BookingSubject/RoleOfPerson/PersonName/PersonMiddleName",</v>
      </c>
      <c r="D50" s="33" t="str">
        <f>_xlfn.XLOOKUP(Table264[[#This Row],[XPATHS]],Table33[&lt;&lt;NOLA_Exchange&gt;&gt;
Booking],Table33['#],"")</f>
        <v>49expanded_IMFLDR_sorted</v>
      </c>
    </row>
    <row r="51" spans="1:4" x14ac:dyDescent="0.3">
      <c r="A51" s="33" t="str">
        <f t="shared" si="0"/>
        <v>50rel_xpath</v>
      </c>
      <c r="B51" s="5" t="s">
        <v>1038</v>
      </c>
      <c r="C51" s="33" t="str">
        <f>_xlfn.XLOOKUP(Table264[[#This Row],[XPATHS]],Table33[&lt;&lt;NOLA_Exchange&gt;&gt;
Booking],Table33[python script],"")</f>
        <v>"IFLNAM": "/j:Booking/j:BookingSubject/RoleOfPerson/PersonName/PersonSurName",</v>
      </c>
      <c r="D51" s="33" t="str">
        <f>_xlfn.XLOOKUP(Table264[[#This Row],[XPATHS]],Table33[&lt;&lt;NOLA_Exchange&gt;&gt;
Booking],Table33['#],"")</f>
        <v>46expanded_IMFLDR_sorted</v>
      </c>
    </row>
    <row r="52" spans="1:4" x14ac:dyDescent="0.3">
      <c r="A52" s="33" t="str">
        <f t="shared" si="0"/>
        <v>51rel_xpath</v>
      </c>
      <c r="B52" s="5" t="s">
        <v>1098</v>
      </c>
      <c r="C52" s="33" t="str">
        <f>_xlfn.XLOOKUP(Table264[[#This Row],[XPATHS]],Table33[&lt;&lt;NOLA_Exchange&gt;&gt;
Booking],Table33[python script],"")</f>
        <v>"IFNAMS": "/j:Booking/j:BookingSubject/RoleOfPerson/PersonName/PersonNameSuffixText",</v>
      </c>
      <c r="D52" s="33" t="str">
        <f>_xlfn.XLOOKUP(Table264[[#This Row],[XPATHS]],Table33[&lt;&lt;NOLA_Exchange&gt;&gt;
Booking],Table33['#],"")</f>
        <v>50expanded_IMFLDR_sorted</v>
      </c>
    </row>
    <row r="53" spans="1:4" x14ac:dyDescent="0.3">
      <c r="A53" s="33" t="str">
        <f t="shared" si="0"/>
        <v>52rel_xpath</v>
      </c>
      <c r="B53" s="5" t="s">
        <v>1024</v>
      </c>
      <c r="C53" s="33" t="str">
        <f>_xlfn.XLOOKUP(Table264[[#This Row],[XPATHS]],Table33[&lt;&lt;NOLA_Exchange&gt;&gt;
Booking],Table33[python script],"")</f>
        <v/>
      </c>
      <c r="D53" s="33" t="str">
        <f>_xlfn.XLOOKUP(Table264[[#This Row],[XPATHS]],Table33[&lt;&lt;NOLA_Exchange&gt;&gt;
Booking],Table33['#],"")</f>
        <v/>
      </c>
    </row>
    <row r="54" spans="1:4" x14ac:dyDescent="0.3">
      <c r="A54" s="33" t="str">
        <f t="shared" si="0"/>
        <v>53rel_xpath</v>
      </c>
      <c r="B54" s="5" t="s">
        <v>3126</v>
      </c>
      <c r="C54" s="33" t="str">
        <f>_xlfn.XLOOKUP(Table264[[#This Row],[XPATHS]],Table33[&lt;&lt;NOLA_Exchange&gt;&gt;
Booking],Table33[python script],"")</f>
        <v/>
      </c>
      <c r="D54" s="33" t="str">
        <f>_xlfn.XLOOKUP(Table264[[#This Row],[XPATHS]],Table33[&lt;&lt;NOLA_Exchange&gt;&gt;
Booking],Table33['#],"")</f>
        <v/>
      </c>
    </row>
    <row r="55" spans="1:4" x14ac:dyDescent="0.3">
      <c r="A55" s="33" t="str">
        <f t="shared" si="0"/>
        <v>54rel_xpath</v>
      </c>
      <c r="B55" s="5" t="s">
        <v>2734</v>
      </c>
      <c r="C55" s="33" t="str">
        <f>_xlfn.XLOOKUP(Table264[[#This Row],[XPATHS]],Table33[&lt;&lt;NOLA_Exchange&gt;&gt;
Booking],Table33[python script],"")</f>
        <v/>
      </c>
      <c r="D55" s="33" t="str">
        <f>_xlfn.XLOOKUP(Table264[[#This Row],[XPATHS]],Table33[&lt;&lt;NOLA_Exchange&gt;&gt;
Booking],Table33['#],"")</f>
        <v/>
      </c>
    </row>
    <row r="56" spans="1:4" x14ac:dyDescent="0.3">
      <c r="A56" s="33" t="str">
        <f t="shared" si="0"/>
        <v>55rel_xpath</v>
      </c>
      <c r="B56" s="5" t="s">
        <v>2739</v>
      </c>
      <c r="C56" s="33" t="str">
        <f>_xlfn.XLOOKUP(Table264[[#This Row],[XPATHS]],Table33[&lt;&lt;NOLA_Exchange&gt;&gt;
Booking],Table33[python script],"")</f>
        <v/>
      </c>
      <c r="D56" s="33" t="str">
        <f>_xlfn.XLOOKUP(Table264[[#This Row],[XPATHS]],Table33[&lt;&lt;NOLA_Exchange&gt;&gt;
Booking],Table33['#],"")</f>
        <v/>
      </c>
    </row>
    <row r="57" spans="1:4" x14ac:dyDescent="0.3">
      <c r="A57" s="33" t="str">
        <f t="shared" si="0"/>
        <v>56rel_xpath</v>
      </c>
      <c r="B57" s="5" t="s">
        <v>3127</v>
      </c>
      <c r="C57" s="33" t="str">
        <f>_xlfn.XLOOKUP(Table264[[#This Row],[XPATHS]],Table33[&lt;&lt;NOLA_Exchange&gt;&gt;
Booking],Table33[python script],"")</f>
        <v/>
      </c>
      <c r="D57" s="33" t="str">
        <f>_xlfn.XLOOKUP(Table264[[#This Row],[XPATHS]],Table33[&lt;&lt;NOLA_Exchange&gt;&gt;
Booking],Table33['#],"")</f>
        <v/>
      </c>
    </row>
    <row r="58" spans="1:4" x14ac:dyDescent="0.3">
      <c r="A58" s="33" t="str">
        <f t="shared" si="0"/>
        <v>57rel_xpath</v>
      </c>
      <c r="B58" s="5" t="s">
        <v>2908</v>
      </c>
      <c r="C58" s="33" t="str">
        <f>_xlfn.XLOOKUP(Table264[[#This Row],[XPATHS]],Table33[&lt;&lt;NOLA_Exchange&gt;&gt;
Booking],Table33[python script],"")</f>
        <v/>
      </c>
      <c r="D58" s="33" t="str">
        <f>_xlfn.XLOOKUP(Table264[[#This Row],[XPATHS]],Table33[&lt;&lt;NOLA_Exchange&gt;&gt;
Booking],Table33['#],"")</f>
        <v/>
      </c>
    </row>
    <row r="59" spans="1:4" x14ac:dyDescent="0.3">
      <c r="A59" s="33" t="str">
        <f t="shared" si="0"/>
        <v>58rel_xpath</v>
      </c>
      <c r="B59" s="5" t="s">
        <v>967</v>
      </c>
      <c r="C59" s="33" t="str">
        <f>_xlfn.XLOOKUP(Table264[[#This Row],[XPATHS]],Table33[&lt;&lt;NOLA_Exchange&gt;&gt;
Booking],Table33[python script],"")</f>
        <v/>
      </c>
      <c r="D59" s="33" t="str">
        <f>_xlfn.XLOOKUP(Table264[[#This Row],[XPATHS]],Table33[&lt;&lt;NOLA_Exchange&gt;&gt;
Booking],Table33['#],"")</f>
        <v/>
      </c>
    </row>
    <row r="60" spans="1:4" x14ac:dyDescent="0.3">
      <c r="A60" s="33" t="str">
        <f t="shared" si="0"/>
        <v>59rel_xpath</v>
      </c>
      <c r="B60" s="5" t="s">
        <v>1086</v>
      </c>
      <c r="C60" s="33" t="str">
        <f>_xlfn.XLOOKUP(Table264[[#This Row],[XPATHS]],Table33[&lt;&lt;NOLA_Exchange&gt;&gt;
Booking],Table33[python script],"")</f>
        <v/>
      </c>
      <c r="D60" s="33" t="str">
        <f>_xlfn.XLOOKUP(Table264[[#This Row],[XPATHS]],Table33[&lt;&lt;NOLA_Exchange&gt;&gt;
Booking],Table33['#],"")</f>
        <v/>
      </c>
    </row>
    <row r="61" spans="1:4" x14ac:dyDescent="0.3">
      <c r="A61" s="33" t="str">
        <f t="shared" si="0"/>
        <v>60rel_xpath</v>
      </c>
      <c r="B61" s="5" t="s">
        <v>1041</v>
      </c>
      <c r="C61" s="33" t="str">
        <f>_xlfn.XLOOKUP(Table264[[#This Row],[XPATHS]],Table33[&lt;&lt;NOLA_Exchange&gt;&gt;
Booking],Table33[python script],"")</f>
        <v/>
      </c>
      <c r="D61" s="33" t="str">
        <f>_xlfn.XLOOKUP(Table264[[#This Row],[XPATHS]],Table33[&lt;&lt;NOLA_Exchange&gt;&gt;
Booking],Table33['#],"")</f>
        <v/>
      </c>
    </row>
    <row r="62" spans="1:4" x14ac:dyDescent="0.3">
      <c r="A62" s="33" t="str">
        <f t="shared" si="0"/>
        <v>61rel_xpath</v>
      </c>
      <c r="B62" s="5" t="s">
        <v>1101</v>
      </c>
      <c r="C62" s="33" t="str">
        <f>_xlfn.XLOOKUP(Table264[[#This Row],[XPATHS]],Table33[&lt;&lt;NOLA_Exchange&gt;&gt;
Booking],Table33[python script],"")</f>
        <v/>
      </c>
      <c r="D62" s="33" t="str">
        <f>_xlfn.XLOOKUP(Table264[[#This Row],[XPATHS]],Table33[&lt;&lt;NOLA_Exchange&gt;&gt;
Booking],Table33['#],"")</f>
        <v/>
      </c>
    </row>
    <row r="63" spans="1:4" x14ac:dyDescent="0.3">
      <c r="A63" s="33" t="str">
        <f t="shared" si="0"/>
        <v>62rel_xpath</v>
      </c>
      <c r="B63" s="5" t="s">
        <v>1015</v>
      </c>
      <c r="C63" s="33" t="str">
        <f>_xlfn.XLOOKUP(Table264[[#This Row],[XPATHS]],Table33[&lt;&lt;NOLA_Exchange&gt;&gt;
Booking],Table33[python script],"")</f>
        <v/>
      </c>
      <c r="D63" s="33" t="str">
        <f>_xlfn.XLOOKUP(Table264[[#This Row],[XPATHS]],Table33[&lt;&lt;NOLA_Exchange&gt;&gt;
Booking],Table33['#],"")</f>
        <v/>
      </c>
    </row>
    <row r="64" spans="1:4" x14ac:dyDescent="0.3">
      <c r="A64" s="33" t="str">
        <f t="shared" si="0"/>
        <v>63rel_xpath</v>
      </c>
      <c r="B64" s="5" t="s">
        <v>3128</v>
      </c>
      <c r="C64" s="33" t="str">
        <f>_xlfn.XLOOKUP(Table264[[#This Row],[XPATHS]],Table33[&lt;&lt;NOLA_Exchange&gt;&gt;
Booking],Table33[python script],"")</f>
        <v/>
      </c>
      <c r="D64" s="33" t="str">
        <f>_xlfn.XLOOKUP(Table264[[#This Row],[XPATHS]],Table33[&lt;&lt;NOLA_Exchange&gt;&gt;
Booking],Table33['#],"")</f>
        <v/>
      </c>
    </row>
    <row r="65" spans="1:4" x14ac:dyDescent="0.3">
      <c r="A65" s="33" t="str">
        <f t="shared" si="0"/>
        <v>64rel_xpath</v>
      </c>
      <c r="B65" s="5" t="s">
        <v>2889</v>
      </c>
      <c r="C65" s="33" t="str">
        <f>_xlfn.XLOOKUP(Table264[[#This Row],[XPATHS]],Table33[&lt;&lt;NOLA_Exchange&gt;&gt;
Booking],Table33[python script],"")</f>
        <v/>
      </c>
      <c r="D65" s="33" t="str">
        <f>_xlfn.XLOOKUP(Table264[[#This Row],[XPATHS]],Table33[&lt;&lt;NOLA_Exchange&gt;&gt;
Booking],Table33['#],"")</f>
        <v/>
      </c>
    </row>
    <row r="66" spans="1:4" x14ac:dyDescent="0.3">
      <c r="A66" s="33" t="str">
        <f t="shared" ref="A66:A129" si="1">ROW(A65)&amp;"rel_xpath"</f>
        <v>65rel_xpath</v>
      </c>
      <c r="B66" s="5" t="s">
        <v>3129</v>
      </c>
      <c r="C66" s="33" t="str">
        <f>_xlfn.XLOOKUP(Table264[[#This Row],[XPATHS]],Table33[&lt;&lt;NOLA_Exchange&gt;&gt;
Booking],Table33[python script],"")</f>
        <v/>
      </c>
      <c r="D66" s="33" t="str">
        <f>_xlfn.XLOOKUP(Table264[[#This Row],[XPATHS]],Table33[&lt;&lt;NOLA_Exchange&gt;&gt;
Booking],Table33['#],"")</f>
        <v/>
      </c>
    </row>
    <row r="67" spans="1:4" x14ac:dyDescent="0.3">
      <c r="A67" s="33" t="str">
        <f t="shared" si="1"/>
        <v>66rel_xpath</v>
      </c>
      <c r="B67" s="5" t="s">
        <v>2540</v>
      </c>
      <c r="C67" s="33" t="str">
        <f>_xlfn.XLOOKUP(Table264[[#This Row],[XPATHS]],Table33[&lt;&lt;NOLA_Exchange&gt;&gt;
Booking],Table33[python script],"")</f>
        <v/>
      </c>
      <c r="D67" s="33" t="str">
        <f>_xlfn.XLOOKUP(Table264[[#This Row],[XPATHS]],Table33[&lt;&lt;NOLA_Exchange&gt;&gt;
Booking],Table33['#],"")</f>
        <v/>
      </c>
    </row>
    <row r="68" spans="1:4" x14ac:dyDescent="0.3">
      <c r="A68" s="33" t="str">
        <f t="shared" si="1"/>
        <v>67rel_xpath</v>
      </c>
      <c r="B68" s="5" t="s">
        <v>2543</v>
      </c>
      <c r="C68" s="33" t="str">
        <f>_xlfn.XLOOKUP(Table264[[#This Row],[XPATHS]],Table33[&lt;&lt;NOLA_Exchange&gt;&gt;
Booking],Table33[python script],"")</f>
        <v/>
      </c>
      <c r="D68" s="33" t="str">
        <f>_xlfn.XLOOKUP(Table264[[#This Row],[XPATHS]],Table33[&lt;&lt;NOLA_Exchange&gt;&gt;
Booking],Table33['#],"")</f>
        <v/>
      </c>
    </row>
    <row r="69" spans="1:4" x14ac:dyDescent="0.3">
      <c r="A69" s="33" t="str">
        <f t="shared" si="1"/>
        <v>68rel_xpath</v>
      </c>
      <c r="B69" s="5" t="s">
        <v>806</v>
      </c>
      <c r="C69" s="33" t="str">
        <f>_xlfn.XLOOKUP(Table264[[#This Row],[XPATHS]],Table33[&lt;&lt;NOLA_Exchange&gt;&gt;
Booking],Table33[python script],"")</f>
        <v>"IFRACE": "/j:Booking/j:BookingSubject/RoleOfPerson/PersonRaceText",</v>
      </c>
      <c r="D69" s="33" t="str">
        <f>_xlfn.XLOOKUP(Table264[[#This Row],[XPATHS]],Table33[&lt;&lt;NOLA_Exchange&gt;&gt;
Booking],Table33['#],"")</f>
        <v>32expanded_IMFLDR_sorted</v>
      </c>
    </row>
    <row r="70" spans="1:4" x14ac:dyDescent="0.3">
      <c r="A70" s="33" t="str">
        <f t="shared" si="1"/>
        <v>69rel_xpath</v>
      </c>
      <c r="B70" s="5" t="s">
        <v>828</v>
      </c>
      <c r="C70" s="33" t="str">
        <f>_xlfn.XLOOKUP(Table264[[#This Row],[XPATHS]],Table33[&lt;&lt;NOLA_Exchange&gt;&gt;
Booking],Table33[python script],"")</f>
        <v>"IFSEXC": "/j:Booking/j:BookingSubject/RoleOfPerson/PersonSexText",</v>
      </c>
      <c r="D70" s="33" t="str">
        <f>_xlfn.XLOOKUP(Table264[[#This Row],[XPATHS]],Table33[&lt;&lt;NOLA_Exchange&gt;&gt;
Booking],Table33['#],"")</f>
        <v>33expanded_IMFLDR_sorted</v>
      </c>
    </row>
    <row r="71" spans="1:4" x14ac:dyDescent="0.3">
      <c r="A71" s="33" t="str">
        <f t="shared" si="1"/>
        <v>70rel_xpath</v>
      </c>
      <c r="B71" s="5" t="s">
        <v>783</v>
      </c>
      <c r="C71" s="33" t="str">
        <f>_xlfn.XLOOKUP(Table264[[#This Row],[XPATHS]],Table33[&lt;&lt;NOLA_Exchange&gt;&gt;
Booking],Table33[python script],"")</f>
        <v>"IFHOMO": "/j:Booking/j:BookingSubject/RoleOfPerson/PersonSexualOrientationText",</v>
      </c>
      <c r="D71" s="33" t="str">
        <f>_xlfn.XLOOKUP(Table264[[#This Row],[XPATHS]],Table33[&lt;&lt;NOLA_Exchange&gt;&gt;
Booking],Table33['#],"")</f>
        <v>30expanded_IMFLDR_sorted</v>
      </c>
    </row>
    <row r="72" spans="1:4" x14ac:dyDescent="0.3">
      <c r="A72" s="33" t="str">
        <f t="shared" si="1"/>
        <v>71rel_xpath</v>
      </c>
      <c r="B72" s="5" t="s">
        <v>3130</v>
      </c>
      <c r="C72" s="33" t="str">
        <f>_xlfn.XLOOKUP(Table264[[#This Row],[XPATHS]],Table33[&lt;&lt;NOLA_Exchange&gt;&gt;
Booking],Table33[python script],"")</f>
        <v/>
      </c>
      <c r="D72" s="33" t="str">
        <f>_xlfn.XLOOKUP(Table264[[#This Row],[XPATHS]],Table33[&lt;&lt;NOLA_Exchange&gt;&gt;
Booking],Table33['#],"")</f>
        <v/>
      </c>
    </row>
    <row r="73" spans="1:4" x14ac:dyDescent="0.3">
      <c r="A73" s="33" t="str">
        <f t="shared" si="1"/>
        <v>72rel_xpath</v>
      </c>
      <c r="B73" s="5" t="s">
        <v>937</v>
      </c>
      <c r="C73" s="33" t="str">
        <f>_xlfn.XLOOKUP(Table264[[#This Row],[XPATHS]],Table33[&lt;&lt;NOLA_Exchange&gt;&gt;
Booking],Table33[python script],"")</f>
        <v>"IFSSNO": "/j:Booking/j:BookingSubject/RoleOfPerson/PersonSSNIdentification/IdentificationID",</v>
      </c>
      <c r="D73" s="33" t="str">
        <f>_xlfn.XLOOKUP(Table264[[#This Row],[XPATHS]],Table33[&lt;&lt;NOLA_Exchange&gt;&gt;
Booking],Table33['#],"")</f>
        <v>41expanded_IMFLDR_sorted</v>
      </c>
    </row>
    <row r="74" spans="1:4" x14ac:dyDescent="0.3">
      <c r="A74" s="33" t="str">
        <f t="shared" si="1"/>
        <v>73rel_xpath</v>
      </c>
      <c r="B74" s="5" t="s">
        <v>3131</v>
      </c>
      <c r="C74" s="33" t="str">
        <f>_xlfn.XLOOKUP(Table264[[#This Row],[XPATHS]],Table33[&lt;&lt;NOLA_Exchange&gt;&gt;
Booking],Table33[python script],"")</f>
        <v/>
      </c>
      <c r="D74" s="33" t="str">
        <f>_xlfn.XLOOKUP(Table264[[#This Row],[XPATHS]],Table33[&lt;&lt;NOLA_Exchange&gt;&gt;
Booking],Table33['#],"")</f>
        <v/>
      </c>
    </row>
    <row r="75" spans="1:4" x14ac:dyDescent="0.3">
      <c r="A75" s="33" t="str">
        <f t="shared" si="1"/>
        <v>74rel_xpath</v>
      </c>
      <c r="B75" s="5" t="s">
        <v>2717</v>
      </c>
      <c r="C75" s="33" t="str">
        <f>_xlfn.XLOOKUP(Table264[[#This Row],[XPATHS]],Table33[&lt;&lt;NOLA_Exchange&gt;&gt;
Booking],Table33[python script],"")</f>
        <v/>
      </c>
      <c r="D75" s="33" t="str">
        <f>_xlfn.XLOOKUP(Table264[[#This Row],[XPATHS]],Table33[&lt;&lt;NOLA_Exchange&gt;&gt;
Booking],Table33['#],"")</f>
        <v/>
      </c>
    </row>
    <row r="76" spans="1:4" x14ac:dyDescent="0.3">
      <c r="A76" s="33" t="str">
        <f t="shared" si="1"/>
        <v>75rel_xpath</v>
      </c>
      <c r="B76" s="5" t="s">
        <v>3132</v>
      </c>
      <c r="C76" s="33" t="str">
        <f>_xlfn.XLOOKUP(Table264[[#This Row],[XPATHS]],Table33[&lt;&lt;NOLA_Exchange&gt;&gt;
Booking],Table33[python script],"")</f>
        <v/>
      </c>
      <c r="D76" s="33" t="str">
        <f>_xlfn.XLOOKUP(Table264[[#This Row],[XPATHS]],Table33[&lt;&lt;NOLA_Exchange&gt;&gt;
Booking],Table33['#],"")</f>
        <v/>
      </c>
    </row>
    <row r="77" spans="1:4" x14ac:dyDescent="0.3">
      <c r="A77" s="33" t="str">
        <f t="shared" si="1"/>
        <v>76rel_xpath</v>
      </c>
      <c r="B77" s="5" t="s">
        <v>925</v>
      </c>
      <c r="C77" s="33" t="str">
        <f>_xlfn.XLOOKUP(Table264[[#This Row],[XPATHS]],Table33[&lt;&lt;NOLA_Exchange&gt;&gt;
Booking],Table33[python script],"")</f>
        <v>"IFSIDN": "/j:Booking/j:BookingSubject/RoleOfPerson/PersonStateIdentification/IdentificationID",</v>
      </c>
      <c r="D77" s="33" t="str">
        <f>_xlfn.XLOOKUP(Table264[[#This Row],[XPATHS]],Table33[&lt;&lt;NOLA_Exchange&gt;&gt;
Booking],Table33['#],"")</f>
        <v>40expanded_IMFLDR_sorted</v>
      </c>
    </row>
    <row r="78" spans="1:4" x14ac:dyDescent="0.3">
      <c r="A78" s="33" t="str">
        <f t="shared" si="1"/>
        <v>77rel_xpath</v>
      </c>
      <c r="B78" s="5" t="s">
        <v>848</v>
      </c>
      <c r="C78" s="33" t="str">
        <f>_xlfn.XLOOKUP(Table264[[#This Row],[XPATHS]],Table33[&lt;&lt;NOLA_Exchange&gt;&gt;
Booking],Table33[python script],"")</f>
        <v>"IFUSAC": "/j:Booking/j:BookingSubject/RoleOfPerson/PersonUSCitizenIndicator",</v>
      </c>
      <c r="D78" s="33" t="str">
        <f>_xlfn.XLOOKUP(Table264[[#This Row],[XPATHS]],Table33[&lt;&lt;NOLA_Exchange&gt;&gt;
Booking],Table33['#],"")</f>
        <v>34expanded_IMFLDR_sorted</v>
      </c>
    </row>
    <row r="79" spans="1:4" x14ac:dyDescent="0.3">
      <c r="A79" s="33" t="str">
        <f t="shared" si="1"/>
        <v>78rel_xpath</v>
      </c>
      <c r="B79" s="5" t="s">
        <v>858</v>
      </c>
      <c r="C79" s="33" t="str">
        <f>_xlfn.XLOOKUP(Table264[[#This Row],[XPATHS]],Table33[&lt;&lt;NOLA_Exchange&gt;&gt;
Booking],Table33[python script],"")</f>
        <v>"IFWGHT": "/j:Booking/j:BookingSubject/RoleOfPerson/PersonWeightDescriptionText",</v>
      </c>
      <c r="D79" s="33" t="str">
        <f>_xlfn.XLOOKUP(Table264[[#This Row],[XPATHS]],Table33[&lt;&lt;NOLA_Exchange&gt;&gt;
Booking],Table33['#],"")</f>
        <v>35expanded_IMFLDR_sorted</v>
      </c>
    </row>
    <row r="80" spans="1:4" x14ac:dyDescent="0.3">
      <c r="A80" s="33" t="str">
        <f t="shared" si="1"/>
        <v>79rel_xpath</v>
      </c>
      <c r="B80" s="5" t="s">
        <v>3133</v>
      </c>
      <c r="C80" s="33" t="str">
        <f>_xlfn.XLOOKUP(Table264[[#This Row],[XPATHS]],Table33[&lt;&lt;NOLA_Exchange&gt;&gt;
Booking],Table33[python script],"")</f>
        <v/>
      </c>
      <c r="D80" s="33" t="str">
        <f>_xlfn.XLOOKUP(Table264[[#This Row],[XPATHS]],Table33[&lt;&lt;NOLA_Exchange&gt;&gt;
Booking],Table33['#],"")</f>
        <v/>
      </c>
    </row>
    <row r="81" spans="1:4" x14ac:dyDescent="0.3">
      <c r="A81" s="33" t="str">
        <f t="shared" si="1"/>
        <v>80rel_xpath</v>
      </c>
      <c r="B81" s="5" t="s">
        <v>3134</v>
      </c>
      <c r="C81" s="33" t="str">
        <f>_xlfn.XLOOKUP(Table264[[#This Row],[XPATHS]],Table33[&lt;&lt;NOLA_Exchange&gt;&gt;
Booking],Table33[python script],"")</f>
        <v/>
      </c>
      <c r="D81" s="33" t="str">
        <f>_xlfn.XLOOKUP(Table264[[#This Row],[XPATHS]],Table33[&lt;&lt;NOLA_Exchange&gt;&gt;
Booking],Table33['#],"")</f>
        <v/>
      </c>
    </row>
    <row r="82" spans="1:4" x14ac:dyDescent="0.3">
      <c r="A82" s="33" t="str">
        <f t="shared" si="1"/>
        <v>81rel_xpath</v>
      </c>
      <c r="B82" s="5" t="s">
        <v>100</v>
      </c>
      <c r="C82" s="33" t="str">
        <f>_xlfn.XLOOKUP(Table264[[#This Row],[XPATHS]],Table33[&lt;&lt;NOLA_Exchange&gt;&gt;
Booking],Table33[python script],"")</f>
        <v>"IFCNTY": "/j:Booking/j:BookingSubject/RoleOfPerson/PersonNationality/PersonNationalityCountry/CountryName",</v>
      </c>
      <c r="D82" s="33" t="str">
        <f>_xlfn.XLOOKUP(Table264[[#This Row],[XPATHS]],Table33[&lt;&lt;NOLA_Exchange&gt;&gt;
Booking],Table33['#],"")</f>
        <v>31expanded_IMFLDR_sorted</v>
      </c>
    </row>
    <row r="83" spans="1:4" x14ac:dyDescent="0.3">
      <c r="A83" s="33" t="str">
        <f t="shared" si="1"/>
        <v>82rel_xpath</v>
      </c>
      <c r="B83" s="5" t="s">
        <v>3135</v>
      </c>
      <c r="C83" s="33" t="str">
        <f>_xlfn.XLOOKUP(Table264[[#This Row],[XPATHS]],Table33[&lt;&lt;NOLA_Exchange&gt;&gt;
Booking],Table33[python script],"")</f>
        <v/>
      </c>
      <c r="D83" s="33" t="str">
        <f>_xlfn.XLOOKUP(Table264[[#This Row],[XPATHS]],Table33[&lt;&lt;NOLA_Exchange&gt;&gt;
Booking],Table33['#],"")</f>
        <v/>
      </c>
    </row>
    <row r="84" spans="1:4" x14ac:dyDescent="0.3">
      <c r="A84" s="33" t="str">
        <f t="shared" si="1"/>
        <v>83rel_xpath</v>
      </c>
      <c r="B84" s="5" t="s">
        <v>3136</v>
      </c>
      <c r="C84" s="33" t="str">
        <f>_xlfn.XLOOKUP(Table264[[#This Row],[XPATHS]],Table33[&lt;&lt;NOLA_Exchange&gt;&gt;
Booking],Table33[python script],"")</f>
        <v/>
      </c>
      <c r="D84" s="33" t="str">
        <f>_xlfn.XLOOKUP(Table264[[#This Row],[XPATHS]],Table33[&lt;&lt;NOLA_Exchange&gt;&gt;
Booking],Table33['#],"")</f>
        <v/>
      </c>
    </row>
    <row r="85" spans="1:4" x14ac:dyDescent="0.3">
      <c r="A85" s="33" t="str">
        <f t="shared" si="1"/>
        <v>84rel_xpath</v>
      </c>
      <c r="B85" s="5" t="s">
        <v>3137</v>
      </c>
      <c r="C85" s="33" t="str">
        <f>_xlfn.XLOOKUP(Table264[[#This Row],[XPATHS]],Table33[&lt;&lt;NOLA_Exchange&gt;&gt;
Booking],Table33[python script],"")</f>
        <v/>
      </c>
      <c r="D85" s="33" t="str">
        <f>_xlfn.XLOOKUP(Table264[[#This Row],[XPATHS]],Table33[&lt;&lt;NOLA_Exchange&gt;&gt;
Booking],Table33['#],"")</f>
        <v/>
      </c>
    </row>
    <row r="86" spans="1:4" x14ac:dyDescent="0.3">
      <c r="A86" s="33" t="str">
        <f t="shared" si="1"/>
        <v>85rel_xpath</v>
      </c>
      <c r="B86" s="5" t="s">
        <v>44</v>
      </c>
      <c r="C86" s="33" t="str">
        <f>_xlfn.XLOOKUP(Table264[[#This Row],[XPATHS]],Table33[&lt;&lt;NOLA_Exchange&gt;&gt;
Booking],Table33[python script],"")</f>
        <v/>
      </c>
      <c r="D86" s="33" t="str">
        <f>_xlfn.XLOOKUP(Table264[[#This Row],[XPATHS]],Table33[&lt;&lt;NOLA_Exchange&gt;&gt;
Booking],Table33['#],"")</f>
        <v/>
      </c>
    </row>
    <row r="87" spans="1:4" x14ac:dyDescent="0.3">
      <c r="A87" s="33" t="str">
        <f t="shared" si="1"/>
        <v>86rel_xpath</v>
      </c>
      <c r="B87" s="5" t="s">
        <v>136</v>
      </c>
      <c r="C87" s="33" t="str">
        <f>_xlfn.XLOOKUP(Table264[[#This Row],[XPATHS]],Table33[&lt;&lt;NOLA_Exchange&gt;&gt;
Booking],Table33[python script],"")</f>
        <v>"IFABRN": "/j:Booking/j:BookingSubject/RoleOfPerson/PersonContactInformation/ContactMailingAddress/AddressSecondaryUnitText",</v>
      </c>
      <c r="D87" s="33" t="str">
        <f>_xlfn.XLOOKUP(Table264[[#This Row],[XPATHS]],Table33[&lt;&lt;NOLA_Exchange&gt;&gt;
Booking],Table33['#],"")</f>
        <v>2expanded_IMFLDR_sorted</v>
      </c>
    </row>
    <row r="88" spans="1:4" x14ac:dyDescent="0.3">
      <c r="A88" s="33" t="str">
        <f t="shared" si="1"/>
        <v>87rel_xpath</v>
      </c>
      <c r="B88" s="5" t="s">
        <v>3138</v>
      </c>
      <c r="C88" s="33" t="str">
        <f>_xlfn.XLOOKUP(Table264[[#This Row],[XPATHS]],Table33[&lt;&lt;NOLA_Exchange&gt;&gt;
Booking],Table33[python script],"")</f>
        <v/>
      </c>
      <c r="D88" s="33" t="str">
        <f>_xlfn.XLOOKUP(Table264[[#This Row],[XPATHS]],Table33[&lt;&lt;NOLA_Exchange&gt;&gt;
Booking],Table33['#],"")</f>
        <v/>
      </c>
    </row>
    <row r="89" spans="1:4" x14ac:dyDescent="0.3">
      <c r="A89" s="33" t="str">
        <f t="shared" si="1"/>
        <v>88rel_xpath</v>
      </c>
      <c r="B89" s="5" t="s">
        <v>214</v>
      </c>
      <c r="C89" s="33" t="str">
        <f>_xlfn.XLOOKUP(Table264[[#This Row],[XPATHS]],Table33[&lt;&lt;NOLA_Exchange&gt;&gt;
Booking],Table33[python script],"")</f>
        <v/>
      </c>
      <c r="D89" s="33" t="str">
        <f>_xlfn.XLOOKUP(Table264[[#This Row],[XPATHS]],Table33[&lt;&lt;NOLA_Exchange&gt;&gt;
Booking],Table33['#],"")</f>
        <v/>
      </c>
    </row>
    <row r="90" spans="1:4" x14ac:dyDescent="0.3">
      <c r="A90" s="33" t="str">
        <f t="shared" si="1"/>
        <v>89rel_xpath</v>
      </c>
      <c r="B90" s="5" t="s">
        <v>261</v>
      </c>
      <c r="C90" s="33" t="str">
        <f>_xlfn.XLOOKUP(Table264[[#This Row],[XPATHS]],Table33[&lt;&lt;NOLA_Exchange&gt;&gt;
Booking],Table33[python script],"")</f>
        <v>"IFSTNO": "/j:Booking/j:BookingSubject/RoleOfPerson/PersonContactInformation/ContactMailingAddress/AddressStreet/StreetNumberText",</v>
      </c>
      <c r="D90" s="33" t="str">
        <f>_xlfn.XLOOKUP(Table264[[#This Row],[XPATHS]],Table33[&lt;&lt;NOLA_Exchange&gt;&gt;
Booking],Table33['#],"")</f>
        <v>6expanded_IMFLDR_sorted</v>
      </c>
    </row>
    <row r="91" spans="1:4" x14ac:dyDescent="0.3">
      <c r="A91" s="33" t="str">
        <f t="shared" si="1"/>
        <v>90rel_xpath</v>
      </c>
      <c r="B91" s="5" t="s">
        <v>3139</v>
      </c>
      <c r="C91" s="33" t="str">
        <f>_xlfn.XLOOKUP(Table264[[#This Row],[XPATHS]],Table33[&lt;&lt;NOLA_Exchange&gt;&gt;
Booking],Table33[python script],"")</f>
        <v/>
      </c>
      <c r="D91" s="33" t="str">
        <f>_xlfn.XLOOKUP(Table264[[#This Row],[XPATHS]],Table33[&lt;&lt;NOLA_Exchange&gt;&gt;
Booking],Table33['#],"")</f>
        <v/>
      </c>
    </row>
    <row r="92" spans="1:4" x14ac:dyDescent="0.3">
      <c r="A92" s="33" t="str">
        <f t="shared" si="1"/>
        <v>91rel_xpath</v>
      </c>
      <c r="B92" s="5" t="s">
        <v>293</v>
      </c>
      <c r="C92" s="33" t="str">
        <f>_xlfn.XLOOKUP(Table264[[#This Row],[XPATHS]],Table33[&lt;&lt;NOLA_Exchange&gt;&gt;
Booking],Table33[python script],"")</f>
        <v>"IFSTPF": "/j:Booking/j:BookingSubject/RoleOfPerson/PersonContactInformation/ContactMailingAddress/AddressStreet/StreetPredirectional/StreetDirectionalText",</v>
      </c>
      <c r="D92" s="33" t="str">
        <f>_xlfn.XLOOKUP(Table264[[#This Row],[XPATHS]],Table33[&lt;&lt;NOLA_Exchange&gt;&gt;
Booking],Table33['#],"")</f>
        <v>7expanded_IMFLDR_sorted</v>
      </c>
    </row>
    <row r="93" spans="1:4" x14ac:dyDescent="0.3">
      <c r="A93" s="33" t="str">
        <f t="shared" si="1"/>
        <v>92rel_xpath</v>
      </c>
      <c r="B93" s="5" t="s">
        <v>230</v>
      </c>
      <c r="C93" s="33" t="str">
        <f>_xlfn.XLOOKUP(Table264[[#This Row],[XPATHS]],Table33[&lt;&lt;NOLA_Exchange&gt;&gt;
Booking],Table33[python script],"")</f>
        <v>"IFSTNM": "/j:Booking/j:BookingSubject/RoleOfPerson/PersonContactInformation/ContactMailingAddress/AddressStreet/StreetName",</v>
      </c>
      <c r="D93" s="33" t="str">
        <f>_xlfn.XLOOKUP(Table264[[#This Row],[XPATHS]],Table33[&lt;&lt;NOLA_Exchange&gt;&gt;
Booking],Table33['#],"")</f>
        <v>5expanded_IMFLDR_sorted</v>
      </c>
    </row>
    <row r="94" spans="1:4" x14ac:dyDescent="0.3">
      <c r="A94" s="33" t="str">
        <f t="shared" si="1"/>
        <v>93rel_xpath</v>
      </c>
      <c r="B94" s="5" t="s">
        <v>3140</v>
      </c>
      <c r="C94" s="33" t="str">
        <f>_xlfn.XLOOKUP(Table264[[#This Row],[XPATHS]],Table33[&lt;&lt;NOLA_Exchange&gt;&gt;
Booking],Table33[python script],"")</f>
        <v/>
      </c>
      <c r="D94" s="33" t="str">
        <f>_xlfn.XLOOKUP(Table264[[#This Row],[XPATHS]],Table33[&lt;&lt;NOLA_Exchange&gt;&gt;
Booking],Table33['#],"")</f>
        <v/>
      </c>
    </row>
    <row r="95" spans="1:4" x14ac:dyDescent="0.3">
      <c r="A95" s="33" t="str">
        <f t="shared" si="1"/>
        <v>94rel_xpath</v>
      </c>
      <c r="B95" s="5" t="s">
        <v>312</v>
      </c>
      <c r="C95" s="33" t="str">
        <f>_xlfn.XLOOKUP(Table264[[#This Row],[XPATHS]],Table33[&lt;&lt;NOLA_Exchange&gt;&gt;
Booking],Table33[python script],"")</f>
        <v>"IFSTSF": "/j:Booking/j:BookingSubject/RoleOfPerson/PersonContactInformation/ContactMailingAddress/AddressStreet/StreetPostdirectional/StreetDirectionalText",</v>
      </c>
      <c r="D95" s="33" t="str">
        <f>_xlfn.XLOOKUP(Table264[[#This Row],[XPATHS]],Table33[&lt;&lt;NOLA_Exchange&gt;&gt;
Booking],Table33['#],"")</f>
        <v>8expanded_IMFLDR_sorted</v>
      </c>
    </row>
    <row r="96" spans="1:4" x14ac:dyDescent="0.3">
      <c r="A96" s="33" t="str">
        <f t="shared" si="1"/>
        <v>95rel_xpath</v>
      </c>
      <c r="B96" s="5" t="s">
        <v>161</v>
      </c>
      <c r="C96" s="33" t="str">
        <f>_xlfn.XLOOKUP(Table264[[#This Row],[XPATHS]],Table33[&lt;&lt;NOLA_Exchange&gt;&gt;
Booking],Table33[python script],"")</f>
        <v>"IFABRC": "/j:Booking/j:BookingSubject/RoleOfPerson/PersonContactInformation/ContactMailingAddress/AddressDeliveryPointID",</v>
      </c>
      <c r="D96" s="33" t="str">
        <f>_xlfn.XLOOKUP(Table264[[#This Row],[XPATHS]],Table33[&lt;&lt;NOLA_Exchange&gt;&gt;
Booking],Table33['#],"")</f>
        <v>3expanded_IMFLDR_sorted</v>
      </c>
    </row>
    <row r="97" spans="1:4" x14ac:dyDescent="0.3">
      <c r="A97" s="33" t="str">
        <f t="shared" si="1"/>
        <v>96rel_xpath</v>
      </c>
      <c r="B97" s="5" t="s">
        <v>120</v>
      </c>
      <c r="C97" s="33" t="str">
        <f>_xlfn.XLOOKUP(Table264[[#This Row],[XPATHS]],Table33[&lt;&lt;NOLA_Exchange&gt;&gt;
Booking],Table33[python script],"")</f>
        <v/>
      </c>
      <c r="D97" s="33" t="str">
        <f>_xlfn.XLOOKUP(Table264[[#This Row],[XPATHS]],Table33[&lt;&lt;NOLA_Exchange&gt;&gt;
Booking],Table33['#],"")</f>
        <v/>
      </c>
    </row>
    <row r="98" spans="1:4" x14ac:dyDescent="0.3">
      <c r="A98" s="33" t="str">
        <f t="shared" si="1"/>
        <v>97rel_xpath</v>
      </c>
      <c r="B98" s="5" t="s">
        <v>74</v>
      </c>
      <c r="C98" s="33" t="str">
        <f>_xlfn.XLOOKUP(Table264[[#This Row],[XPATHS]],Table33[&lt;&lt;NOLA_Exchange&gt;&gt;
Booking],Table33[python script],"")</f>
        <v>"IFCITY": "/j:Booking/j:BookingSubject/RoleOfPerson/PersonContactInformation/ContactMailingAddress/AddressCityName",</v>
      </c>
      <c r="D98" s="33" t="str">
        <f>_xlfn.XLOOKUP(Table264[[#This Row],[XPATHS]],Table33[&lt;&lt;NOLA_Exchange&gt;&gt;
Booking],Table33['#],"")</f>
        <v>1expanded_IMFLDR_sorted</v>
      </c>
    </row>
    <row r="99" spans="1:4" x14ac:dyDescent="0.3">
      <c r="A99" s="33" t="str">
        <f t="shared" si="1"/>
        <v>98rel_xpath</v>
      </c>
      <c r="B99" s="5" t="s">
        <v>3141</v>
      </c>
      <c r="C99" s="33" t="str">
        <f>_xlfn.XLOOKUP(Table264[[#This Row],[XPATHS]],Table33[&lt;&lt;NOLA_Exchange&gt;&gt;
Booking],Table33[python script],"")</f>
        <v/>
      </c>
      <c r="D99" s="33" t="str">
        <f>_xlfn.XLOOKUP(Table264[[#This Row],[XPATHS]],Table33[&lt;&lt;NOLA_Exchange&gt;&gt;
Booking],Table33['#],"")</f>
        <v/>
      </c>
    </row>
    <row r="100" spans="1:4" x14ac:dyDescent="0.3">
      <c r="A100" s="33" t="str">
        <f t="shared" si="1"/>
        <v>99rel_xpath</v>
      </c>
      <c r="B100" s="5" t="s">
        <v>110</v>
      </c>
      <c r="C100" s="33" t="str">
        <f>_xlfn.XLOOKUP(Table264[[#This Row],[XPATHS]],Table33[&lt;&lt;NOLA_Exchange&gt;&gt;
Booking],Table33[python script],"")</f>
        <v>"IFSTCD": "/j:Booking/j:BookingSubject/RoleOfPerson/PersonContactInformation/ContactMailingAddress/AddressState/StateName",</v>
      </c>
      <c r="D100" s="33" t="str">
        <f>_xlfn.XLOOKUP(Table264[[#This Row],[XPATHS]],Table33[&lt;&lt;NOLA_Exchange&gt;&gt;
Booking],Table33['#],"")</f>
        <v>4expanded_IMFLDR_sorted</v>
      </c>
    </row>
    <row r="101" spans="1:4" x14ac:dyDescent="0.3">
      <c r="A101" s="33" t="str">
        <f t="shared" si="1"/>
        <v>100rel_xpath</v>
      </c>
      <c r="B101" s="5" t="s">
        <v>3142</v>
      </c>
      <c r="C101" s="33" t="str">
        <f>_xlfn.XLOOKUP(Table264[[#This Row],[XPATHS]],Table33[&lt;&lt;NOLA_Exchange&gt;&gt;
Booking],Table33[python script],"")</f>
        <v/>
      </c>
      <c r="D101" s="33" t="str">
        <f>_xlfn.XLOOKUP(Table264[[#This Row],[XPATHS]],Table33[&lt;&lt;NOLA_Exchange&gt;&gt;
Booking],Table33['#],"")</f>
        <v/>
      </c>
    </row>
    <row r="102" spans="1:4" x14ac:dyDescent="0.3">
      <c r="A102" s="33" t="str">
        <f t="shared" si="1"/>
        <v>101rel_xpath</v>
      </c>
      <c r="B102" s="5" t="s">
        <v>102</v>
      </c>
      <c r="C102" s="33" t="str">
        <f>_xlfn.XLOOKUP(Table264[[#This Row],[XPATHS]],Table33[&lt;&lt;NOLA_Exchange&gt;&gt;
Booking],Table33[python script],"")</f>
        <v/>
      </c>
      <c r="D102" s="33" t="str">
        <f>_xlfn.XLOOKUP(Table264[[#This Row],[XPATHS]],Table33[&lt;&lt;NOLA_Exchange&gt;&gt;
Booking],Table33['#],"")</f>
        <v/>
      </c>
    </row>
    <row r="103" spans="1:4" x14ac:dyDescent="0.3">
      <c r="A103" s="33" t="str">
        <f t="shared" si="1"/>
        <v>102rel_xpath</v>
      </c>
      <c r="B103" s="5" t="s">
        <v>343</v>
      </c>
      <c r="C103" s="33" t="str">
        <f>_xlfn.XLOOKUP(Table264[[#This Row],[XPATHS]],Table33[&lt;&lt;NOLA_Exchange&gt;&gt;
Booking],Table33[python script],"")</f>
        <v>"IFZIPC": "/j:Booking/j:BookingSubject/RoleOfPerson/PersonContactInformation/ContactMailingAddress/AddressPostalCode",</v>
      </c>
      <c r="D103" s="33" t="str">
        <f>_xlfn.XLOOKUP(Table264[[#This Row],[XPATHS]],Table33[&lt;&lt;NOLA_Exchange&gt;&gt;
Booking],Table33['#],"")</f>
        <v>9expanded_IMFLDR_sorted</v>
      </c>
    </row>
    <row r="104" spans="1:4" x14ac:dyDescent="0.3">
      <c r="A104" s="33" t="str">
        <f t="shared" si="1"/>
        <v>103rel_xpath</v>
      </c>
      <c r="B104" s="5" t="s">
        <v>351</v>
      </c>
      <c r="C104" s="33" t="str">
        <f>_xlfn.XLOOKUP(Table264[[#This Row],[XPATHS]],Table33[&lt;&lt;NOLA_Exchange&gt;&gt;
Booking],Table33[python script],"")</f>
        <v/>
      </c>
      <c r="D104" s="33" t="str">
        <f>_xlfn.XLOOKUP(Table264[[#This Row],[XPATHS]],Table33[&lt;&lt;NOLA_Exchange&gt;&gt;
Booking],Table33['#],"")</f>
        <v/>
      </c>
    </row>
    <row r="105" spans="1:4" x14ac:dyDescent="0.3">
      <c r="A105" s="33" t="str">
        <f t="shared" si="1"/>
        <v>104rel_xpath</v>
      </c>
      <c r="B105" s="5" t="s">
        <v>540</v>
      </c>
      <c r="C105" s="33" t="str">
        <f>_xlfn.XLOOKUP(Table264[[#This Row],[XPATHS]],Table33[&lt;&lt;NOLA_Exchange&gt;&gt;
Booking],Table33[python script],"")</f>
        <v>"IFPHNO": "/j:Booking/j:BookingSubject/RoleOfPerson/PersonContactInformation/ContactTelephoneNumber",</v>
      </c>
      <c r="D105" s="33" t="str">
        <f>_xlfn.XLOOKUP(Table264[[#This Row],[XPATHS]],Table33[&lt;&lt;NOLA_Exchange&gt;&gt;
Booking],Table33['#],"")</f>
        <v>17expanded_IMFLDR_sorted</v>
      </c>
    </row>
    <row r="106" spans="1:4" x14ac:dyDescent="0.3">
      <c r="A106" s="33" t="str">
        <f t="shared" si="1"/>
        <v>105rel_xpath</v>
      </c>
      <c r="B106" s="5" t="s">
        <v>3143</v>
      </c>
      <c r="C106" s="33" t="str">
        <f>_xlfn.XLOOKUP(Table264[[#This Row],[XPATHS]],Table33[&lt;&lt;NOLA_Exchange&gt;&gt;
Booking],Table33[python script],"")</f>
        <v/>
      </c>
      <c r="D106" s="33" t="str">
        <f>_xlfn.XLOOKUP(Table264[[#This Row],[XPATHS]],Table33[&lt;&lt;NOLA_Exchange&gt;&gt;
Booking],Table33['#],"")</f>
        <v/>
      </c>
    </row>
    <row r="107" spans="1:4" x14ac:dyDescent="0.3">
      <c r="A107" s="33" t="str">
        <f t="shared" si="1"/>
        <v>106rel_xpath</v>
      </c>
      <c r="B107" s="5" t="s">
        <v>3144</v>
      </c>
      <c r="C107" s="33" t="str">
        <f>_xlfn.XLOOKUP(Table264[[#This Row],[XPATHS]],Table33[&lt;&lt;NOLA_Exchange&gt;&gt;
Booking],Table33[python script],"")</f>
        <v/>
      </c>
      <c r="D107" s="33" t="str">
        <f>_xlfn.XLOOKUP(Table264[[#This Row],[XPATHS]],Table33[&lt;&lt;NOLA_Exchange&gt;&gt;
Booking],Table33['#],"")</f>
        <v/>
      </c>
    </row>
    <row r="108" spans="1:4" x14ac:dyDescent="0.3">
      <c r="A108" s="33" t="str">
        <f t="shared" si="1"/>
        <v>107rel_xpath</v>
      </c>
      <c r="B108" s="5" t="s">
        <v>3145</v>
      </c>
      <c r="C108" s="33" t="str">
        <f>_xlfn.XLOOKUP(Table264[[#This Row],[XPATHS]],Table33[&lt;&lt;NOLA_Exchange&gt;&gt;
Booking],Table33[python script],"")</f>
        <v/>
      </c>
      <c r="D108" s="33" t="str">
        <f>_xlfn.XLOOKUP(Table264[[#This Row],[XPATHS]],Table33[&lt;&lt;NOLA_Exchange&gt;&gt;
Booking],Table33['#],"")</f>
        <v/>
      </c>
    </row>
    <row r="109" spans="1:4" x14ac:dyDescent="0.3">
      <c r="A109" s="33" t="str">
        <f t="shared" si="1"/>
        <v>108rel_xpath</v>
      </c>
      <c r="B109" s="5" t="s">
        <v>3146</v>
      </c>
      <c r="C109" s="33" t="str">
        <f>_xlfn.XLOOKUP(Table264[[#This Row],[XPATHS]],Table33[&lt;&lt;NOLA_Exchange&gt;&gt;
Booking],Table33[python script],"")</f>
        <v/>
      </c>
      <c r="D109" s="33" t="str">
        <f>_xlfn.XLOOKUP(Table264[[#This Row],[XPATHS]],Table33[&lt;&lt;NOLA_Exchange&gt;&gt;
Booking],Table33['#],"")</f>
        <v/>
      </c>
    </row>
    <row r="110" spans="1:4" x14ac:dyDescent="0.3">
      <c r="A110" s="33" t="str">
        <f t="shared" si="1"/>
        <v>109rel_xpath</v>
      </c>
      <c r="B110" s="5" t="s">
        <v>3147</v>
      </c>
      <c r="C110" s="33" t="str">
        <f>_xlfn.XLOOKUP(Table264[[#This Row],[XPATHS]],Table33[&lt;&lt;NOLA_Exchange&gt;&gt;
Booking],Table33[python script],"")</f>
        <v/>
      </c>
      <c r="D110" s="33" t="str">
        <f>_xlfn.XLOOKUP(Table264[[#This Row],[XPATHS]],Table33[&lt;&lt;NOLA_Exchange&gt;&gt;
Booking],Table33['#],"")</f>
        <v/>
      </c>
    </row>
    <row r="111" spans="1:4" x14ac:dyDescent="0.3">
      <c r="A111" s="33" t="str">
        <f t="shared" si="1"/>
        <v>110rel_xpath</v>
      </c>
      <c r="B111" s="5" t="s">
        <v>3148</v>
      </c>
      <c r="C111" s="33" t="str">
        <f>_xlfn.XLOOKUP(Table264[[#This Row],[XPATHS]],Table33[&lt;&lt;NOLA_Exchange&gt;&gt;
Booking],Table33[python script],"")</f>
        <v/>
      </c>
      <c r="D111" s="33" t="str">
        <f>_xlfn.XLOOKUP(Table264[[#This Row],[XPATHS]],Table33[&lt;&lt;NOLA_Exchange&gt;&gt;
Booking],Table33['#],"")</f>
        <v/>
      </c>
    </row>
    <row r="112" spans="1:4" x14ac:dyDescent="0.3">
      <c r="A112" s="33" t="str">
        <f t="shared" si="1"/>
        <v>111rel_xpath</v>
      </c>
      <c r="B112" s="5" t="s">
        <v>3149</v>
      </c>
      <c r="C112" s="33" t="str">
        <f>_xlfn.XLOOKUP(Table264[[#This Row],[XPATHS]],Table33[&lt;&lt;NOLA_Exchange&gt;&gt;
Booking],Table33[python script],"")</f>
        <v/>
      </c>
      <c r="D112" s="33" t="str">
        <f>_xlfn.XLOOKUP(Table264[[#This Row],[XPATHS]],Table33[&lt;&lt;NOLA_Exchange&gt;&gt;
Booking],Table33['#],"")</f>
        <v/>
      </c>
    </row>
    <row r="113" spans="1:4" x14ac:dyDescent="0.3">
      <c r="A113" s="33" t="str">
        <f t="shared" si="1"/>
        <v>112rel_xpath</v>
      </c>
      <c r="B113" s="5" t="s">
        <v>3150</v>
      </c>
      <c r="C113" s="33" t="str">
        <f>_xlfn.XLOOKUP(Table264[[#This Row],[XPATHS]],Table33[&lt;&lt;NOLA_Exchange&gt;&gt;
Booking],Table33[python script],"")</f>
        <v/>
      </c>
      <c r="D113" s="33" t="str">
        <f>_xlfn.XLOOKUP(Table264[[#This Row],[XPATHS]],Table33[&lt;&lt;NOLA_Exchange&gt;&gt;
Booking],Table33['#],"")</f>
        <v/>
      </c>
    </row>
    <row r="114" spans="1:4" x14ac:dyDescent="0.3">
      <c r="A114" s="33" t="str">
        <f t="shared" si="1"/>
        <v>113rel_xpath</v>
      </c>
      <c r="B114" s="5" t="s">
        <v>3151</v>
      </c>
      <c r="C114" s="33" t="str">
        <f>_xlfn.XLOOKUP(Table264[[#This Row],[XPATHS]],Table33[&lt;&lt;NOLA_Exchange&gt;&gt;
Booking],Table33[python script],"")</f>
        <v/>
      </c>
      <c r="D114" s="33" t="str">
        <f>_xlfn.XLOOKUP(Table264[[#This Row],[XPATHS]],Table33[&lt;&lt;NOLA_Exchange&gt;&gt;
Booking],Table33['#],"")</f>
        <v/>
      </c>
    </row>
    <row r="115" spans="1:4" x14ac:dyDescent="0.3">
      <c r="A115" s="33" t="str">
        <f t="shared" si="1"/>
        <v>114rel_xpath</v>
      </c>
      <c r="B115" s="5" t="s">
        <v>3152</v>
      </c>
      <c r="C115" s="33" t="str">
        <f>_xlfn.XLOOKUP(Table264[[#This Row],[XPATHS]],Table33[&lt;&lt;NOLA_Exchange&gt;&gt;
Booking],Table33[python script],"")</f>
        <v/>
      </c>
      <c r="D115" s="33" t="str">
        <f>_xlfn.XLOOKUP(Table264[[#This Row],[XPATHS]],Table33[&lt;&lt;NOLA_Exchange&gt;&gt;
Booking],Table33['#],"")</f>
        <v/>
      </c>
    </row>
    <row r="116" spans="1:4" x14ac:dyDescent="0.3">
      <c r="A116" s="33" t="str">
        <f t="shared" si="1"/>
        <v>115rel_xpath</v>
      </c>
      <c r="B116" s="5" t="s">
        <v>3153</v>
      </c>
      <c r="C116" s="33" t="str">
        <f>_xlfn.XLOOKUP(Table264[[#This Row],[XPATHS]],Table33[&lt;&lt;NOLA_Exchange&gt;&gt;
Booking],Table33[python script],"")</f>
        <v/>
      </c>
      <c r="D116" s="33" t="str">
        <f>_xlfn.XLOOKUP(Table264[[#This Row],[XPATHS]],Table33[&lt;&lt;NOLA_Exchange&gt;&gt;
Booking],Table33['#],"")</f>
        <v/>
      </c>
    </row>
    <row r="117" spans="1:4" x14ac:dyDescent="0.3">
      <c r="A117" s="33" t="str">
        <f t="shared" si="1"/>
        <v>116rel_xpath</v>
      </c>
      <c r="B117" s="5" t="s">
        <v>50</v>
      </c>
      <c r="C117" s="33" t="str">
        <f>_xlfn.XLOOKUP(Table264[[#This Row],[XPATHS]],Table33[&lt;&lt;NOLA_Exchange&gt;&gt;
Booking],Table33[python script],"")</f>
        <v/>
      </c>
      <c r="D117" s="33" t="str">
        <f>_xlfn.XLOOKUP(Table264[[#This Row],[XPATHS]],Table33[&lt;&lt;NOLA_Exchange&gt;&gt;
Booking],Table33['#],"")</f>
        <v/>
      </c>
    </row>
    <row r="118" spans="1:4" x14ac:dyDescent="0.3">
      <c r="A118" s="33" t="str">
        <f t="shared" si="1"/>
        <v>117rel_xpath</v>
      </c>
      <c r="B118" s="5" t="s">
        <v>139</v>
      </c>
      <c r="C118" s="33" t="str">
        <f>_xlfn.XLOOKUP(Table264[[#This Row],[XPATHS]],Table33[&lt;&lt;NOLA_Exchange&gt;&gt;
Booking],Table33[python script],"")</f>
        <v/>
      </c>
      <c r="D118" s="33" t="str">
        <f>_xlfn.XLOOKUP(Table264[[#This Row],[XPATHS]],Table33[&lt;&lt;NOLA_Exchange&gt;&gt;
Booking],Table33['#],"")</f>
        <v/>
      </c>
    </row>
    <row r="119" spans="1:4" x14ac:dyDescent="0.3">
      <c r="A119" s="33" t="str">
        <f t="shared" si="1"/>
        <v>118rel_xpath</v>
      </c>
      <c r="B119" s="5" t="s">
        <v>3154</v>
      </c>
      <c r="C119" s="33" t="str">
        <f>_xlfn.XLOOKUP(Table264[[#This Row],[XPATHS]],Table33[&lt;&lt;NOLA_Exchange&gt;&gt;
Booking],Table33[python script],"")</f>
        <v/>
      </c>
      <c r="D119" s="33" t="str">
        <f>_xlfn.XLOOKUP(Table264[[#This Row],[XPATHS]],Table33[&lt;&lt;NOLA_Exchange&gt;&gt;
Booking],Table33['#],"")</f>
        <v/>
      </c>
    </row>
    <row r="120" spans="1:4" x14ac:dyDescent="0.3">
      <c r="A120" s="33" t="str">
        <f t="shared" si="1"/>
        <v>119rel_xpath</v>
      </c>
      <c r="B120" s="5" t="s">
        <v>217</v>
      </c>
      <c r="C120" s="33" t="str">
        <f>_xlfn.XLOOKUP(Table264[[#This Row],[XPATHS]],Table33[&lt;&lt;NOLA_Exchange&gt;&gt;
Booking],Table33[python script],"")</f>
        <v/>
      </c>
      <c r="D120" s="33" t="str">
        <f>_xlfn.XLOOKUP(Table264[[#This Row],[XPATHS]],Table33[&lt;&lt;NOLA_Exchange&gt;&gt;
Booking],Table33['#],"")</f>
        <v/>
      </c>
    </row>
    <row r="121" spans="1:4" x14ac:dyDescent="0.3">
      <c r="A121" s="33" t="str">
        <f t="shared" si="1"/>
        <v>120rel_xpath</v>
      </c>
      <c r="B121" s="5" t="s">
        <v>265</v>
      </c>
      <c r="C121" s="33" t="str">
        <f>_xlfn.XLOOKUP(Table264[[#This Row],[XPATHS]],Table33[&lt;&lt;NOLA_Exchange&gt;&gt;
Booking],Table33[python script],"")</f>
        <v/>
      </c>
      <c r="D121" s="33" t="str">
        <f>_xlfn.XLOOKUP(Table264[[#This Row],[XPATHS]],Table33[&lt;&lt;NOLA_Exchange&gt;&gt;
Booking],Table33['#],"")</f>
        <v/>
      </c>
    </row>
    <row r="122" spans="1:4" x14ac:dyDescent="0.3">
      <c r="A122" s="33" t="str">
        <f t="shared" si="1"/>
        <v>121rel_xpath</v>
      </c>
      <c r="B122" s="5" t="s">
        <v>3155</v>
      </c>
      <c r="C122" s="33" t="str">
        <f>_xlfn.XLOOKUP(Table264[[#This Row],[XPATHS]],Table33[&lt;&lt;NOLA_Exchange&gt;&gt;
Booking],Table33[python script],"")</f>
        <v/>
      </c>
      <c r="D122" s="33" t="str">
        <f>_xlfn.XLOOKUP(Table264[[#This Row],[XPATHS]],Table33[&lt;&lt;NOLA_Exchange&gt;&gt;
Booking],Table33['#],"")</f>
        <v/>
      </c>
    </row>
    <row r="123" spans="1:4" x14ac:dyDescent="0.3">
      <c r="A123" s="33" t="str">
        <f t="shared" si="1"/>
        <v>122rel_xpath</v>
      </c>
      <c r="B123" s="5" t="s">
        <v>296</v>
      </c>
      <c r="C123" s="33" t="str">
        <f>_xlfn.XLOOKUP(Table264[[#This Row],[XPATHS]],Table33[&lt;&lt;NOLA_Exchange&gt;&gt;
Booking],Table33[python script],"")</f>
        <v/>
      </c>
      <c r="D123" s="33" t="str">
        <f>_xlfn.XLOOKUP(Table264[[#This Row],[XPATHS]],Table33[&lt;&lt;NOLA_Exchange&gt;&gt;
Booking],Table33['#],"")</f>
        <v/>
      </c>
    </row>
    <row r="124" spans="1:4" x14ac:dyDescent="0.3">
      <c r="A124" s="33" t="str">
        <f t="shared" si="1"/>
        <v>123rel_xpath</v>
      </c>
      <c r="B124" s="5" t="s">
        <v>233</v>
      </c>
      <c r="C124" s="33" t="str">
        <f>_xlfn.XLOOKUP(Table264[[#This Row],[XPATHS]],Table33[&lt;&lt;NOLA_Exchange&gt;&gt;
Booking],Table33[python script],"")</f>
        <v/>
      </c>
      <c r="D124" s="33" t="str">
        <f>_xlfn.XLOOKUP(Table264[[#This Row],[XPATHS]],Table33[&lt;&lt;NOLA_Exchange&gt;&gt;
Booking],Table33['#],"")</f>
        <v/>
      </c>
    </row>
    <row r="125" spans="1:4" x14ac:dyDescent="0.3">
      <c r="A125" s="33" t="str">
        <f t="shared" si="1"/>
        <v>124rel_xpath</v>
      </c>
      <c r="B125" s="5" t="s">
        <v>3156</v>
      </c>
      <c r="C125" s="33" t="str">
        <f>_xlfn.XLOOKUP(Table264[[#This Row],[XPATHS]],Table33[&lt;&lt;NOLA_Exchange&gt;&gt;
Booking],Table33[python script],"")</f>
        <v/>
      </c>
      <c r="D125" s="33" t="str">
        <f>_xlfn.XLOOKUP(Table264[[#This Row],[XPATHS]],Table33[&lt;&lt;NOLA_Exchange&gt;&gt;
Booking],Table33['#],"")</f>
        <v/>
      </c>
    </row>
    <row r="126" spans="1:4" x14ac:dyDescent="0.3">
      <c r="A126" s="33" t="str">
        <f t="shared" si="1"/>
        <v>125rel_xpath</v>
      </c>
      <c r="B126" s="5" t="s">
        <v>315</v>
      </c>
      <c r="C126" s="33" t="str">
        <f>_xlfn.XLOOKUP(Table264[[#This Row],[XPATHS]],Table33[&lt;&lt;NOLA_Exchange&gt;&gt;
Booking],Table33[python script],"")</f>
        <v/>
      </c>
      <c r="D126" s="33" t="str">
        <f>_xlfn.XLOOKUP(Table264[[#This Row],[XPATHS]],Table33[&lt;&lt;NOLA_Exchange&gt;&gt;
Booking],Table33['#],"")</f>
        <v/>
      </c>
    </row>
    <row r="127" spans="1:4" x14ac:dyDescent="0.3">
      <c r="A127" s="33" t="str">
        <f t="shared" si="1"/>
        <v>126rel_xpath</v>
      </c>
      <c r="B127" s="5" t="s">
        <v>164</v>
      </c>
      <c r="C127" s="33" t="str">
        <f>_xlfn.XLOOKUP(Table264[[#This Row],[XPATHS]],Table33[&lt;&lt;NOLA_Exchange&gt;&gt;
Booking],Table33[python script],"")</f>
        <v/>
      </c>
      <c r="D127" s="33" t="str">
        <f>_xlfn.XLOOKUP(Table264[[#This Row],[XPATHS]],Table33[&lt;&lt;NOLA_Exchange&gt;&gt;
Booking],Table33['#],"")</f>
        <v/>
      </c>
    </row>
    <row r="128" spans="1:4" x14ac:dyDescent="0.3">
      <c r="A128" s="33" t="str">
        <f t="shared" si="1"/>
        <v>127rel_xpath</v>
      </c>
      <c r="B128" s="5" t="s">
        <v>123</v>
      </c>
      <c r="C128" s="33" t="str">
        <f>_xlfn.XLOOKUP(Table264[[#This Row],[XPATHS]],Table33[&lt;&lt;NOLA_Exchange&gt;&gt;
Booking],Table33[python script],"")</f>
        <v/>
      </c>
      <c r="D128" s="33" t="str">
        <f>_xlfn.XLOOKUP(Table264[[#This Row],[XPATHS]],Table33[&lt;&lt;NOLA_Exchange&gt;&gt;
Booking],Table33['#],"")</f>
        <v/>
      </c>
    </row>
    <row r="129" spans="1:4" x14ac:dyDescent="0.3">
      <c r="A129" s="33" t="str">
        <f t="shared" si="1"/>
        <v>128rel_xpath</v>
      </c>
      <c r="B129" s="5" t="s">
        <v>77</v>
      </c>
      <c r="C129" s="33" t="str">
        <f>_xlfn.XLOOKUP(Table264[[#This Row],[XPATHS]],Table33[&lt;&lt;NOLA_Exchange&gt;&gt;
Booking],Table33[python script],"")</f>
        <v/>
      </c>
      <c r="D129" s="33" t="str">
        <f>_xlfn.XLOOKUP(Table264[[#This Row],[XPATHS]],Table33[&lt;&lt;NOLA_Exchange&gt;&gt;
Booking],Table33['#],"")</f>
        <v/>
      </c>
    </row>
    <row r="130" spans="1:4" x14ac:dyDescent="0.3">
      <c r="A130" s="33" t="str">
        <f t="shared" ref="A130:A193" si="2">ROW(A129)&amp;"rel_xpath"</f>
        <v>129rel_xpath</v>
      </c>
      <c r="B130" s="5" t="s">
        <v>3157</v>
      </c>
      <c r="C130" s="33" t="str">
        <f>_xlfn.XLOOKUP(Table264[[#This Row],[XPATHS]],Table33[&lt;&lt;NOLA_Exchange&gt;&gt;
Booking],Table33[python script],"")</f>
        <v/>
      </c>
      <c r="D130" s="33" t="str">
        <f>_xlfn.XLOOKUP(Table264[[#This Row],[XPATHS]],Table33[&lt;&lt;NOLA_Exchange&gt;&gt;
Booking],Table33['#],"")</f>
        <v/>
      </c>
    </row>
    <row r="131" spans="1:4" x14ac:dyDescent="0.3">
      <c r="A131" s="33" t="str">
        <f t="shared" si="2"/>
        <v>130rel_xpath</v>
      </c>
      <c r="B131" s="5" t="s">
        <v>111</v>
      </c>
      <c r="C131" s="33" t="str">
        <f>_xlfn.XLOOKUP(Table264[[#This Row],[XPATHS]],Table33[&lt;&lt;NOLA_Exchange&gt;&gt;
Booking],Table33[python script],"")</f>
        <v/>
      </c>
      <c r="D131" s="33" t="str">
        <f>_xlfn.XLOOKUP(Table264[[#This Row],[XPATHS]],Table33[&lt;&lt;NOLA_Exchange&gt;&gt;
Booking],Table33['#],"")</f>
        <v/>
      </c>
    </row>
    <row r="132" spans="1:4" x14ac:dyDescent="0.3">
      <c r="A132" s="33" t="str">
        <f t="shared" si="2"/>
        <v>131rel_xpath</v>
      </c>
      <c r="B132" s="5" t="s">
        <v>3158</v>
      </c>
      <c r="C132" s="33" t="str">
        <f>_xlfn.XLOOKUP(Table264[[#This Row],[XPATHS]],Table33[&lt;&lt;NOLA_Exchange&gt;&gt;
Booking],Table33[python script],"")</f>
        <v/>
      </c>
      <c r="D132" s="33" t="str">
        <f>_xlfn.XLOOKUP(Table264[[#This Row],[XPATHS]],Table33[&lt;&lt;NOLA_Exchange&gt;&gt;
Booking],Table33['#],"")</f>
        <v/>
      </c>
    </row>
    <row r="133" spans="1:4" x14ac:dyDescent="0.3">
      <c r="A133" s="33" t="str">
        <f t="shared" si="2"/>
        <v>132rel_xpath</v>
      </c>
      <c r="B133" s="5" t="s">
        <v>103</v>
      </c>
      <c r="C133" s="33" t="str">
        <f>_xlfn.XLOOKUP(Table264[[#This Row],[XPATHS]],Table33[&lt;&lt;NOLA_Exchange&gt;&gt;
Booking],Table33[python script],"")</f>
        <v/>
      </c>
      <c r="D133" s="33" t="str">
        <f>_xlfn.XLOOKUP(Table264[[#This Row],[XPATHS]],Table33[&lt;&lt;NOLA_Exchange&gt;&gt;
Booking],Table33['#],"")</f>
        <v/>
      </c>
    </row>
    <row r="134" spans="1:4" x14ac:dyDescent="0.3">
      <c r="A134" s="33" t="str">
        <f t="shared" si="2"/>
        <v>133rel_xpath</v>
      </c>
      <c r="B134" s="5" t="s">
        <v>346</v>
      </c>
      <c r="C134" s="33" t="str">
        <f>_xlfn.XLOOKUP(Table264[[#This Row],[XPATHS]],Table33[&lt;&lt;NOLA_Exchange&gt;&gt;
Booking],Table33[python script],"")</f>
        <v/>
      </c>
      <c r="D134" s="33" t="str">
        <f>_xlfn.XLOOKUP(Table264[[#This Row],[XPATHS]],Table33[&lt;&lt;NOLA_Exchange&gt;&gt;
Booking],Table33['#],"")</f>
        <v/>
      </c>
    </row>
    <row r="135" spans="1:4" x14ac:dyDescent="0.3">
      <c r="A135" s="33" t="str">
        <f t="shared" si="2"/>
        <v>134rel_xpath</v>
      </c>
      <c r="B135" s="5" t="s">
        <v>352</v>
      </c>
      <c r="C135" s="33" t="str">
        <f>_xlfn.XLOOKUP(Table264[[#This Row],[XPATHS]],Table33[&lt;&lt;NOLA_Exchange&gt;&gt;
Booking],Table33[python script],"")</f>
        <v/>
      </c>
      <c r="D135" s="33" t="str">
        <f>_xlfn.XLOOKUP(Table264[[#This Row],[XPATHS]],Table33[&lt;&lt;NOLA_Exchange&gt;&gt;
Booking],Table33['#],"")</f>
        <v/>
      </c>
    </row>
    <row r="136" spans="1:4" x14ac:dyDescent="0.3">
      <c r="A136" s="33" t="str">
        <f t="shared" si="2"/>
        <v>135rel_xpath</v>
      </c>
      <c r="B136" s="5" t="s">
        <v>543</v>
      </c>
      <c r="C136" s="33" t="str">
        <f>_xlfn.XLOOKUP(Table264[[#This Row],[XPATHS]],Table33[&lt;&lt;NOLA_Exchange&gt;&gt;
Booking],Table33[python script],"")</f>
        <v/>
      </c>
      <c r="D136" s="33" t="str">
        <f>_xlfn.XLOOKUP(Table264[[#This Row],[XPATHS]],Table33[&lt;&lt;NOLA_Exchange&gt;&gt;
Booking],Table33['#],"")</f>
        <v/>
      </c>
    </row>
    <row r="137" spans="1:4" x14ac:dyDescent="0.3">
      <c r="A137" s="33" t="str">
        <f t="shared" si="2"/>
        <v>136rel_xpath</v>
      </c>
      <c r="B137" s="5" t="s">
        <v>3159</v>
      </c>
      <c r="C137" s="33" t="str">
        <f>_xlfn.XLOOKUP(Table264[[#This Row],[XPATHS]],Table33[&lt;&lt;NOLA_Exchange&gt;&gt;
Booking],Table33[python script],"")</f>
        <v/>
      </c>
      <c r="D137" s="33" t="str">
        <f>_xlfn.XLOOKUP(Table264[[#This Row],[XPATHS]],Table33[&lt;&lt;NOLA_Exchange&gt;&gt;
Booking],Table33['#],"")</f>
        <v/>
      </c>
    </row>
    <row r="138" spans="1:4" x14ac:dyDescent="0.3">
      <c r="A138" s="33" t="str">
        <f t="shared" si="2"/>
        <v>137rel_xpath</v>
      </c>
      <c r="B138" s="5" t="s">
        <v>3160</v>
      </c>
      <c r="C138" s="33" t="str">
        <f>_xlfn.XLOOKUP(Table264[[#This Row],[XPATHS]],Table33[&lt;&lt;NOLA_Exchange&gt;&gt;
Booking],Table33[python script],"")</f>
        <v/>
      </c>
      <c r="D138" s="33" t="str">
        <f>_xlfn.XLOOKUP(Table264[[#This Row],[XPATHS]],Table33[&lt;&lt;NOLA_Exchange&gt;&gt;
Booking],Table33['#],"")</f>
        <v/>
      </c>
    </row>
    <row r="139" spans="1:4" x14ac:dyDescent="0.3">
      <c r="A139" s="33" t="str">
        <f t="shared" si="2"/>
        <v>138rel_xpath</v>
      </c>
      <c r="B139" s="5" t="s">
        <v>3161</v>
      </c>
      <c r="C139" s="33" t="str">
        <f>_xlfn.XLOOKUP(Table264[[#This Row],[XPATHS]],Table33[&lt;&lt;NOLA_Exchange&gt;&gt;
Booking],Table33[python script],"")</f>
        <v/>
      </c>
      <c r="D139" s="33" t="str">
        <f>_xlfn.XLOOKUP(Table264[[#This Row],[XPATHS]],Table33[&lt;&lt;NOLA_Exchange&gt;&gt;
Booking],Table33['#],"")</f>
        <v/>
      </c>
    </row>
    <row r="140" spans="1:4" x14ac:dyDescent="0.3">
      <c r="A140" s="33" t="str">
        <f t="shared" si="2"/>
        <v>139rel_xpath</v>
      </c>
      <c r="B140" s="5" t="s">
        <v>3162</v>
      </c>
      <c r="C140" s="33" t="str">
        <f>_xlfn.XLOOKUP(Table264[[#This Row],[XPATHS]],Table33[&lt;&lt;NOLA_Exchange&gt;&gt;
Booking],Table33[python script],"")</f>
        <v/>
      </c>
      <c r="D140" s="33" t="str">
        <f>_xlfn.XLOOKUP(Table264[[#This Row],[XPATHS]],Table33[&lt;&lt;NOLA_Exchange&gt;&gt;
Booking],Table33['#],"")</f>
        <v/>
      </c>
    </row>
    <row r="141" spans="1:4" x14ac:dyDescent="0.3">
      <c r="A141" s="33" t="str">
        <f t="shared" si="2"/>
        <v>140rel_xpath</v>
      </c>
      <c r="B141" s="5" t="s">
        <v>3163</v>
      </c>
      <c r="C141" s="33" t="str">
        <f>_xlfn.XLOOKUP(Table264[[#This Row],[XPATHS]],Table33[&lt;&lt;NOLA_Exchange&gt;&gt;
Booking],Table33[python script],"")</f>
        <v/>
      </c>
      <c r="D141" s="33" t="str">
        <f>_xlfn.XLOOKUP(Table264[[#This Row],[XPATHS]],Table33[&lt;&lt;NOLA_Exchange&gt;&gt;
Booking],Table33['#],"")</f>
        <v/>
      </c>
    </row>
    <row r="142" spans="1:4" x14ac:dyDescent="0.3">
      <c r="A142" s="33" t="str">
        <f t="shared" si="2"/>
        <v>141rel_xpath</v>
      </c>
      <c r="B142" s="5" t="s">
        <v>3164</v>
      </c>
      <c r="C142" s="33" t="str">
        <f>_xlfn.XLOOKUP(Table264[[#This Row],[XPATHS]],Table33[&lt;&lt;NOLA_Exchange&gt;&gt;
Booking],Table33[python script],"")</f>
        <v/>
      </c>
      <c r="D142" s="33" t="str">
        <f>_xlfn.XLOOKUP(Table264[[#This Row],[XPATHS]],Table33[&lt;&lt;NOLA_Exchange&gt;&gt;
Booking],Table33['#],"")</f>
        <v/>
      </c>
    </row>
    <row r="143" spans="1:4" x14ac:dyDescent="0.3">
      <c r="A143" s="33" t="str">
        <f t="shared" si="2"/>
        <v>142rel_xpath</v>
      </c>
      <c r="B143" s="5" t="s">
        <v>3165</v>
      </c>
      <c r="C143" s="33" t="str">
        <f>_xlfn.XLOOKUP(Table264[[#This Row],[XPATHS]],Table33[&lt;&lt;NOLA_Exchange&gt;&gt;
Booking],Table33[python script],"")</f>
        <v/>
      </c>
      <c r="D143" s="33" t="str">
        <f>_xlfn.XLOOKUP(Table264[[#This Row],[XPATHS]],Table33[&lt;&lt;NOLA_Exchange&gt;&gt;
Booking],Table33['#],"")</f>
        <v/>
      </c>
    </row>
    <row r="144" spans="1:4" x14ac:dyDescent="0.3">
      <c r="A144" s="33" t="str">
        <f t="shared" si="2"/>
        <v>143rel_xpath</v>
      </c>
      <c r="B144" s="5" t="s">
        <v>3166</v>
      </c>
      <c r="C144" s="33" t="str">
        <f>_xlfn.XLOOKUP(Table264[[#This Row],[XPATHS]],Table33[&lt;&lt;NOLA_Exchange&gt;&gt;
Booking],Table33[python script],"")</f>
        <v/>
      </c>
      <c r="D144" s="33" t="str">
        <f>_xlfn.XLOOKUP(Table264[[#This Row],[XPATHS]],Table33[&lt;&lt;NOLA_Exchange&gt;&gt;
Booking],Table33['#],"")</f>
        <v/>
      </c>
    </row>
    <row r="145" spans="1:4" x14ac:dyDescent="0.3">
      <c r="A145" s="33" t="str">
        <f t="shared" si="2"/>
        <v>144rel_xpath</v>
      </c>
      <c r="B145" s="5" t="s">
        <v>3167</v>
      </c>
      <c r="C145" s="33" t="str">
        <f>_xlfn.XLOOKUP(Table264[[#This Row],[XPATHS]],Table33[&lt;&lt;NOLA_Exchange&gt;&gt;
Booking],Table33[python script],"")</f>
        <v/>
      </c>
      <c r="D145" s="33" t="str">
        <f>_xlfn.XLOOKUP(Table264[[#This Row],[XPATHS]],Table33[&lt;&lt;NOLA_Exchange&gt;&gt;
Booking],Table33['#],"")</f>
        <v/>
      </c>
    </row>
    <row r="146" spans="1:4" x14ac:dyDescent="0.3">
      <c r="A146" s="33" t="str">
        <f t="shared" si="2"/>
        <v>145rel_xpath</v>
      </c>
      <c r="B146" s="5" t="s">
        <v>3168</v>
      </c>
      <c r="C146" s="33" t="str">
        <f>_xlfn.XLOOKUP(Table264[[#This Row],[XPATHS]],Table33[&lt;&lt;NOLA_Exchange&gt;&gt;
Booking],Table33[python script],"")</f>
        <v/>
      </c>
      <c r="D146" s="33" t="str">
        <f>_xlfn.XLOOKUP(Table264[[#This Row],[XPATHS]],Table33[&lt;&lt;NOLA_Exchange&gt;&gt;
Booking],Table33['#],"")</f>
        <v/>
      </c>
    </row>
    <row r="147" spans="1:4" x14ac:dyDescent="0.3">
      <c r="A147" s="33" t="str">
        <f t="shared" si="2"/>
        <v>146rel_xpath</v>
      </c>
      <c r="B147" s="5" t="s">
        <v>3169</v>
      </c>
      <c r="C147" s="33" t="str">
        <f>_xlfn.XLOOKUP(Table264[[#This Row],[XPATHS]],Table33[&lt;&lt;NOLA_Exchange&gt;&gt;
Booking],Table33[python script],"")</f>
        <v/>
      </c>
      <c r="D147" s="33" t="str">
        <f>_xlfn.XLOOKUP(Table264[[#This Row],[XPATHS]],Table33[&lt;&lt;NOLA_Exchange&gt;&gt;
Booking],Table33['#],"")</f>
        <v/>
      </c>
    </row>
    <row r="148" spans="1:4" x14ac:dyDescent="0.3">
      <c r="A148" s="33" t="str">
        <f t="shared" si="2"/>
        <v>147rel_xpath</v>
      </c>
      <c r="B148" s="5" t="s">
        <v>3170</v>
      </c>
      <c r="C148" s="33" t="str">
        <f>_xlfn.XLOOKUP(Table264[[#This Row],[XPATHS]],Table33[&lt;&lt;NOLA_Exchange&gt;&gt;
Booking],Table33[python script],"")</f>
        <v/>
      </c>
      <c r="D148" s="33" t="str">
        <f>_xlfn.XLOOKUP(Table264[[#This Row],[XPATHS]],Table33[&lt;&lt;NOLA_Exchange&gt;&gt;
Booking],Table33['#],"")</f>
        <v/>
      </c>
    </row>
    <row r="149" spans="1:4" x14ac:dyDescent="0.3">
      <c r="A149" s="33" t="str">
        <f t="shared" si="2"/>
        <v>148rel_xpath</v>
      </c>
      <c r="B149" s="5" t="s">
        <v>3171</v>
      </c>
      <c r="C149" s="33" t="str">
        <f>_xlfn.XLOOKUP(Table264[[#This Row],[XPATHS]],Table33[&lt;&lt;NOLA_Exchange&gt;&gt;
Booking],Table33[python script],"")</f>
        <v/>
      </c>
      <c r="D149" s="33" t="str">
        <f>_xlfn.XLOOKUP(Table264[[#This Row],[XPATHS]],Table33[&lt;&lt;NOLA_Exchange&gt;&gt;
Booking],Table33['#],"")</f>
        <v/>
      </c>
    </row>
    <row r="150" spans="1:4" x14ac:dyDescent="0.3">
      <c r="A150" s="33" t="str">
        <f t="shared" si="2"/>
        <v>149rel_xpath</v>
      </c>
      <c r="B150" s="5" t="s">
        <v>2270</v>
      </c>
      <c r="C150" s="33" t="str">
        <f>_xlfn.XLOOKUP(Table264[[#This Row],[XPATHS]],Table33[&lt;&lt;NOLA_Exchange&gt;&gt;
Booking],Table33[python script],"")</f>
        <v/>
      </c>
      <c r="D150" s="33" t="str">
        <f>_xlfn.XLOOKUP(Table264[[#This Row],[XPATHS]],Table33[&lt;&lt;NOLA_Exchange&gt;&gt;
Booking],Table33['#],"")</f>
        <v/>
      </c>
    </row>
    <row r="151" spans="1:4" x14ac:dyDescent="0.3">
      <c r="A151" s="33" t="str">
        <f t="shared" si="2"/>
        <v>150rel_xpath</v>
      </c>
      <c r="B151" s="5" t="s">
        <v>3172</v>
      </c>
      <c r="C151" s="33" t="str">
        <f>_xlfn.XLOOKUP(Table264[[#This Row],[XPATHS]],Table33[&lt;&lt;NOLA_Exchange&gt;&gt;
Booking],Table33[python script],"")</f>
        <v/>
      </c>
      <c r="D151" s="33" t="str">
        <f>_xlfn.XLOOKUP(Table264[[#This Row],[XPATHS]],Table33[&lt;&lt;NOLA_Exchange&gt;&gt;
Booking],Table33['#],"")</f>
        <v/>
      </c>
    </row>
    <row r="152" spans="1:4" x14ac:dyDescent="0.3">
      <c r="A152" s="33" t="str">
        <f t="shared" si="2"/>
        <v>151rel_xpath</v>
      </c>
      <c r="B152" s="5" t="s">
        <v>628</v>
      </c>
      <c r="C152" s="33" t="str">
        <f>_xlfn.XLOOKUP(Table264[[#This Row],[XPATHS]],Table33[&lt;&lt;NOLA_Exchange&gt;&gt;
Booking],Table33[python script],"")</f>
        <v>"IFEMPR": "/j:Booking/j:BookingSubject/RoleOfPerson/nola-ext:PersonAugmentation/PersonEmploymentAssociation/Employer/hs:EmployerAugmentation/hs:EmployerName",</v>
      </c>
      <c r="D152" s="33" t="str">
        <f>_xlfn.XLOOKUP(Table264[[#This Row],[XPATHS]],Table33[&lt;&lt;NOLA_Exchange&gt;&gt;
Booking],Table33['#],"")</f>
        <v>21expanded_IMFLDR_sorted</v>
      </c>
    </row>
    <row r="153" spans="1:4" x14ac:dyDescent="0.3">
      <c r="A153" s="33" t="str">
        <f t="shared" si="2"/>
        <v>152rel_xpath</v>
      </c>
      <c r="B153" s="5" t="s">
        <v>641</v>
      </c>
      <c r="C153" s="33" t="str">
        <f>_xlfn.XLOOKUP(Table264[[#This Row],[XPATHS]],Table33[&lt;&lt;NOLA_Exchange&gt;&gt;
Booking],Table33[python script],"")</f>
        <v>"IFOCUP": "/j:Booking/j:BookingSubject/RoleOfPerson/nola-ext:PersonAugmentation/PersonEmploymentAssociation/EmployeeOccupationText",</v>
      </c>
      <c r="D153" s="33" t="str">
        <f>_xlfn.XLOOKUP(Table264[[#This Row],[XPATHS]],Table33[&lt;&lt;NOLA_Exchange&gt;&gt;
Booking],Table33['#],"")</f>
        <v>22expanded_IMFLDR_sorted</v>
      </c>
    </row>
    <row r="154" spans="1:4" x14ac:dyDescent="0.3">
      <c r="A154" s="33" t="str">
        <f t="shared" si="2"/>
        <v>153rel_xpath</v>
      </c>
      <c r="B154" s="5" t="s">
        <v>912</v>
      </c>
      <c r="C154" s="33" t="str">
        <f>_xlfn.XLOOKUP(Table264[[#This Row],[XPATHS]],Table33[&lt;&lt;NOLA_Exchange&gt;&gt;
Booking],Table33[python script],"")</f>
        <v>"IFCCNO": "/j:Booking/j:BookingSubject/RoleOfPerson/nola-ext:PersonAugmentation/nola-ext:PersonComputerControlIdentifier",</v>
      </c>
      <c r="D154" s="33" t="str">
        <f>_xlfn.XLOOKUP(Table264[[#This Row],[XPATHS]],Table33[&lt;&lt;NOLA_Exchange&gt;&gt;
Booking],Table33['#],"")</f>
        <v>39expanded_IMFLDR_sorted</v>
      </c>
    </row>
    <row r="155" spans="1:4" x14ac:dyDescent="0.3">
      <c r="A155" s="33" t="str">
        <f t="shared" si="2"/>
        <v>154rel_xpath</v>
      </c>
      <c r="B155" s="5" t="s">
        <v>2146</v>
      </c>
      <c r="C155" s="33" t="str">
        <f>_xlfn.XLOOKUP(Table264[[#This Row],[XPATHS]],Table33[&lt;&lt;NOLA_Exchange&gt;&gt;
Booking],Table33[python script],"")</f>
        <v/>
      </c>
      <c r="D155" s="33" t="str">
        <f>_xlfn.XLOOKUP(Table264[[#This Row],[XPATHS]],Table33[&lt;&lt;NOLA_Exchange&gt;&gt;
Booking],Table33['#],"")</f>
        <v/>
      </c>
    </row>
    <row r="156" spans="1:4" x14ac:dyDescent="0.3">
      <c r="A156" s="33" t="str">
        <f t="shared" si="2"/>
        <v>155rel_xpath</v>
      </c>
      <c r="B156" s="5" t="s">
        <v>3173</v>
      </c>
      <c r="C156" s="33" t="str">
        <f>_xlfn.XLOOKUP(Table264[[#This Row],[XPATHS]],Table33[&lt;&lt;NOLA_Exchange&gt;&gt;
Booking],Table33[python script],"")</f>
        <v/>
      </c>
      <c r="D156" s="33" t="str">
        <f>_xlfn.XLOOKUP(Table264[[#This Row],[XPATHS]],Table33[&lt;&lt;NOLA_Exchange&gt;&gt;
Booking],Table33['#],"")</f>
        <v/>
      </c>
    </row>
    <row r="157" spans="1:4" x14ac:dyDescent="0.3">
      <c r="A157" s="33" t="str">
        <f t="shared" si="2"/>
        <v>156rel_xpath</v>
      </c>
      <c r="B157" s="5" t="s">
        <v>3174</v>
      </c>
      <c r="C157" s="33" t="str">
        <f>_xlfn.XLOOKUP(Table264[[#This Row],[XPATHS]],Table33[&lt;&lt;NOLA_Exchange&gt;&gt;
Booking],Table33[python script],"")</f>
        <v/>
      </c>
      <c r="D157" s="33" t="str">
        <f>_xlfn.XLOOKUP(Table264[[#This Row],[XPATHS]],Table33[&lt;&lt;NOLA_Exchange&gt;&gt;
Booking],Table33['#],"")</f>
        <v/>
      </c>
    </row>
    <row r="158" spans="1:4" x14ac:dyDescent="0.3">
      <c r="A158" s="33" t="str">
        <f t="shared" si="2"/>
        <v>157rel_xpath</v>
      </c>
      <c r="B158" s="5" t="s">
        <v>3175</v>
      </c>
      <c r="C158" s="33" t="str">
        <f>_xlfn.XLOOKUP(Table264[[#This Row],[XPATHS]],Table33[&lt;&lt;NOLA_Exchange&gt;&gt;
Booking],Table33[python script],"")</f>
        <v/>
      </c>
      <c r="D158" s="33" t="str">
        <f>_xlfn.XLOOKUP(Table264[[#This Row],[XPATHS]],Table33[&lt;&lt;NOLA_Exchange&gt;&gt;
Booking],Table33['#],"")</f>
        <v/>
      </c>
    </row>
    <row r="159" spans="1:4" x14ac:dyDescent="0.3">
      <c r="A159" s="33" t="str">
        <f t="shared" si="2"/>
        <v>158rel_xpath</v>
      </c>
      <c r="B159" s="5" t="s">
        <v>584</v>
      </c>
      <c r="C159" s="33" t="str">
        <f>_xlfn.XLOOKUP(Table264[[#This Row],[XPATHS]],Table33[&lt;&lt;NOLA_Exchange&gt;&gt;
Booking],Table33[python script],"")</f>
        <v>"IFLICN": "/j:Booking/j:BookingSubject/RoleOfPerson/j:PersonAugmentation/j:DriverLicense/j:DriverLicenseCardIdentification/IdentificationID",</v>
      </c>
      <c r="D159" s="33" t="str">
        <f>_xlfn.XLOOKUP(Table264[[#This Row],[XPATHS]],Table33[&lt;&lt;NOLA_Exchange&gt;&gt;
Booking],Table33['#],"")</f>
        <v>18expanded_IMFLDR_sorted</v>
      </c>
    </row>
    <row r="160" spans="1:4" x14ac:dyDescent="0.3">
      <c r="A160" s="33" t="str">
        <f t="shared" si="2"/>
        <v>159rel_xpath</v>
      </c>
      <c r="B160" s="5" t="s">
        <v>3176</v>
      </c>
      <c r="C160" s="33" t="str">
        <f>_xlfn.XLOOKUP(Table264[[#This Row],[XPATHS]],Table33[&lt;&lt;NOLA_Exchange&gt;&gt;
Booking],Table33[python script],"")</f>
        <v/>
      </c>
      <c r="D160" s="33" t="str">
        <f>_xlfn.XLOOKUP(Table264[[#This Row],[XPATHS]],Table33[&lt;&lt;NOLA_Exchange&gt;&gt;
Booking],Table33['#],"")</f>
        <v/>
      </c>
    </row>
    <row r="161" spans="1:4" x14ac:dyDescent="0.3">
      <c r="A161" s="33" t="str">
        <f t="shared" si="2"/>
        <v>160rel_xpath</v>
      </c>
      <c r="B161" s="5" t="s">
        <v>3177</v>
      </c>
      <c r="C161" s="33" t="str">
        <f>_xlfn.XLOOKUP(Table264[[#This Row],[XPATHS]],Table33[&lt;&lt;NOLA_Exchange&gt;&gt;
Booking],Table33[python script],"")</f>
        <v/>
      </c>
      <c r="D161" s="33" t="str">
        <f>_xlfn.XLOOKUP(Table264[[#This Row],[XPATHS]],Table33[&lt;&lt;NOLA_Exchange&gt;&gt;
Booking],Table33['#],"")</f>
        <v/>
      </c>
    </row>
    <row r="162" spans="1:4" x14ac:dyDescent="0.3">
      <c r="A162" s="33" t="str">
        <f t="shared" si="2"/>
        <v>161rel_xpath</v>
      </c>
      <c r="B162" s="5" t="s">
        <v>3178</v>
      </c>
      <c r="C162" s="33" t="str">
        <f>_xlfn.XLOOKUP(Table264[[#This Row],[XPATHS]],Table33[&lt;&lt;NOLA_Exchange&gt;&gt;
Booking],Table33[python script],"")</f>
        <v/>
      </c>
      <c r="D162" s="33" t="str">
        <f>_xlfn.XLOOKUP(Table264[[#This Row],[XPATHS]],Table33[&lt;&lt;NOLA_Exchange&gt;&gt;
Booking],Table33['#],"")</f>
        <v/>
      </c>
    </row>
    <row r="163" spans="1:4" x14ac:dyDescent="0.3">
      <c r="A163" s="33" t="str">
        <f t="shared" si="2"/>
        <v>162rel_xpath</v>
      </c>
      <c r="B163" s="5" t="s">
        <v>3179</v>
      </c>
      <c r="C163" s="33" t="str">
        <f>_xlfn.XLOOKUP(Table264[[#This Row],[XPATHS]],Table33[&lt;&lt;NOLA_Exchange&gt;&gt;
Booking],Table33[python script],"")</f>
        <v/>
      </c>
      <c r="D163" s="33" t="str">
        <f>_xlfn.XLOOKUP(Table264[[#This Row],[XPATHS]],Table33[&lt;&lt;NOLA_Exchange&gt;&gt;
Booking],Table33['#],"")</f>
        <v/>
      </c>
    </row>
    <row r="164" spans="1:4" x14ac:dyDescent="0.3">
      <c r="A164" s="33" t="str">
        <f t="shared" si="2"/>
        <v>163rel_xpath</v>
      </c>
      <c r="B164" s="5" t="s">
        <v>3507</v>
      </c>
      <c r="C164" s="33" t="str">
        <f>_xlfn.XLOOKUP(Table264[[#This Row],[XPATHS]],Table33[&lt;&lt;NOLA_Exchange&gt;&gt;
Booking],Table33[python script],"")</f>
        <v>"IFSTCDL": "/j:Booking/j:BookingSubject/RoleOfPerson/j:PersonAugmentation/j:DriverLicense/j:DriverLicenseCardIdentification/IdentificationJurisdiction/JurisdictionLocation/Address/AddressState/StateName",</v>
      </c>
      <c r="D164" s="33" t="str">
        <f>_xlfn.XLOOKUP(Table264[[#This Row],[XPATHS]],Table33[&lt;&lt;NOLA_Exchange&gt;&gt;
Booking],Table33['#],"")</f>
        <v>19expanded_IMFLDR_sorted</v>
      </c>
    </row>
    <row r="165" spans="1:4" x14ac:dyDescent="0.3">
      <c r="A165" s="33" t="str">
        <f t="shared" si="2"/>
        <v>164rel_xpath</v>
      </c>
      <c r="B165" s="5" t="s">
        <v>3180</v>
      </c>
      <c r="C165" s="33" t="str">
        <f>_xlfn.XLOOKUP(Table264[[#This Row],[XPATHS]],Table33[&lt;&lt;NOLA_Exchange&gt;&gt;
Booking],Table33[python script],"")</f>
        <v/>
      </c>
      <c r="D165" s="33" t="str">
        <f>_xlfn.XLOOKUP(Table264[[#This Row],[XPATHS]],Table33[&lt;&lt;NOLA_Exchange&gt;&gt;
Booking],Table33['#],"")</f>
        <v/>
      </c>
    </row>
    <row r="166" spans="1:4" x14ac:dyDescent="0.3">
      <c r="A166" s="33" t="str">
        <f t="shared" si="2"/>
        <v>165rel_xpath</v>
      </c>
      <c r="B166" s="5" t="s">
        <v>2235</v>
      </c>
      <c r="C166" s="33" t="str">
        <f>_xlfn.XLOOKUP(Table264[[#This Row],[XPATHS]],Table33[&lt;&lt;NOLA_Exchange&gt;&gt;
Booking],Table33[python script],"")</f>
        <v>"IFLICY": "/j:Booking/j:BookingSubject/RoleOfPerson/j:PersonAugmentation/j:DriverLicense/j:DriverLicenseCardIdentification/IdentificationExpirationDate/YearDate",</v>
      </c>
      <c r="D166" s="33" t="str">
        <f>_xlfn.XLOOKUP(Table264[[#This Row],[XPATHS]],Table33[&lt;&lt;NOLA_Exchange&gt;&gt;
Booking],Table33['#],"")</f>
        <v>20expanded_IMFLDR_sorted</v>
      </c>
    </row>
    <row r="167" spans="1:4" x14ac:dyDescent="0.3">
      <c r="A167" s="33" t="str">
        <f t="shared" si="2"/>
        <v>166rel_xpath</v>
      </c>
      <c r="B167" s="5" t="s">
        <v>3181</v>
      </c>
      <c r="C167" s="33" t="str">
        <f>_xlfn.XLOOKUP(Table264[[#This Row],[XPATHS]],Table33[&lt;&lt;NOLA_Exchange&gt;&gt;
Booking],Table33[python script],"")</f>
        <v/>
      </c>
      <c r="D167" s="33" t="str">
        <f>_xlfn.XLOOKUP(Table264[[#This Row],[XPATHS]],Table33[&lt;&lt;NOLA_Exchange&gt;&gt;
Booking],Table33['#],"")</f>
        <v/>
      </c>
    </row>
    <row r="168" spans="1:4" x14ac:dyDescent="0.3">
      <c r="A168" s="33" t="str">
        <f t="shared" si="2"/>
        <v>167rel_xpath</v>
      </c>
      <c r="B168" s="5" t="s">
        <v>900</v>
      </c>
      <c r="C168" s="33" t="str">
        <f>_xlfn.XLOOKUP(Table264[[#This Row],[XPATHS]],Table33[&lt;&lt;NOLA_Exchange&gt;&gt;
Booking],Table33[python script],"")</f>
        <v>"IFFBIN": "/j:Booking/j:BookingSubject/RoleOfPerson/j:PersonAugmentation/j:PersonFBIIdentification/IdentificationID",</v>
      </c>
      <c r="D168" s="33" t="str">
        <f>_xlfn.XLOOKUP(Table264[[#This Row],[XPATHS]],Table33[&lt;&lt;NOLA_Exchange&gt;&gt;
Booking],Table33['#],"")</f>
        <v>38expanded_IMFLDR_sorted</v>
      </c>
    </row>
    <row r="169" spans="1:4" x14ac:dyDescent="0.3">
      <c r="A169" s="33" t="str">
        <f t="shared" si="2"/>
        <v>168rel_xpath</v>
      </c>
      <c r="B169" s="5" t="s">
        <v>3182</v>
      </c>
      <c r="C169" s="33" t="str">
        <f>_xlfn.XLOOKUP(Table264[[#This Row],[XPATHS]],Table33[&lt;&lt;NOLA_Exchange&gt;&gt;
Booking],Table33[python script],"")</f>
        <v/>
      </c>
      <c r="D169" s="33" t="str">
        <f>_xlfn.XLOOKUP(Table264[[#This Row],[XPATHS]],Table33[&lt;&lt;NOLA_Exchange&gt;&gt;
Booking],Table33['#],"")</f>
        <v/>
      </c>
    </row>
    <row r="170" spans="1:4" x14ac:dyDescent="0.3">
      <c r="A170" s="33" t="str">
        <f t="shared" si="2"/>
        <v>169rel_xpath</v>
      </c>
      <c r="B170" s="5" t="s">
        <v>3183</v>
      </c>
      <c r="C170" s="33" t="str">
        <f>_xlfn.XLOOKUP(Table264[[#This Row],[XPATHS]],Table33[&lt;&lt;NOLA_Exchange&gt;&gt;
Booking],Table33[python script],"")</f>
        <v/>
      </c>
      <c r="D170" s="33" t="str">
        <f>_xlfn.XLOOKUP(Table264[[#This Row],[XPATHS]],Table33[&lt;&lt;NOLA_Exchange&gt;&gt;
Booking],Table33['#],"")</f>
        <v/>
      </c>
    </row>
    <row r="171" spans="1:4" x14ac:dyDescent="0.3">
      <c r="A171" s="33" t="str">
        <f t="shared" si="2"/>
        <v>170rel_xpath</v>
      </c>
      <c r="B171" s="5" t="s">
        <v>3184</v>
      </c>
      <c r="C171" s="33" t="str">
        <f>_xlfn.XLOOKUP(Table264[[#This Row],[XPATHS]],Table33[&lt;&lt;NOLA_Exchange&gt;&gt;
Booking],Table33[python script],"")</f>
        <v/>
      </c>
      <c r="D171" s="33" t="str">
        <f>_xlfn.XLOOKUP(Table264[[#This Row],[XPATHS]],Table33[&lt;&lt;NOLA_Exchange&gt;&gt;
Booking],Table33['#],"")</f>
        <v/>
      </c>
    </row>
    <row r="172" spans="1:4" x14ac:dyDescent="0.3">
      <c r="A172" s="33" t="str">
        <f t="shared" si="2"/>
        <v>171rel_xpath</v>
      </c>
      <c r="B172" s="5" t="s">
        <v>3185</v>
      </c>
      <c r="C172" s="33" t="str">
        <f>_xlfn.XLOOKUP(Table264[[#This Row],[XPATHS]],Table33[&lt;&lt;NOLA_Exchange&gt;&gt;
Booking],Table33[python script],"")</f>
        <v/>
      </c>
      <c r="D172" s="33" t="str">
        <f>_xlfn.XLOOKUP(Table264[[#This Row],[XPATHS]],Table33[&lt;&lt;NOLA_Exchange&gt;&gt;
Booking],Table33['#],"")</f>
        <v/>
      </c>
    </row>
    <row r="173" spans="1:4" x14ac:dyDescent="0.3">
      <c r="A173" s="33" t="str">
        <f t="shared" si="2"/>
        <v>172rel_xpath</v>
      </c>
      <c r="B173" s="5" t="s">
        <v>51</v>
      </c>
      <c r="C173" s="33" t="str">
        <f>_xlfn.XLOOKUP(Table264[[#This Row],[XPATHS]],Table33[&lt;&lt;NOLA_Exchange&gt;&gt;
Booking],Table33[python script],"")</f>
        <v/>
      </c>
      <c r="D173" s="33" t="str">
        <f>_xlfn.XLOOKUP(Table264[[#This Row],[XPATHS]],Table33[&lt;&lt;NOLA_Exchange&gt;&gt;
Booking],Table33['#],"")</f>
        <v/>
      </c>
    </row>
    <row r="174" spans="1:4" x14ac:dyDescent="0.3">
      <c r="A174" s="33" t="str">
        <f t="shared" si="2"/>
        <v>173rel_xpath</v>
      </c>
      <c r="B174" s="5" t="s">
        <v>140</v>
      </c>
      <c r="C174" s="33" t="str">
        <f>_xlfn.XLOOKUP(Table264[[#This Row],[XPATHS]],Table33[&lt;&lt;NOLA_Exchange&gt;&gt;
Booking],Table33[python script],"")</f>
        <v/>
      </c>
      <c r="D174" s="33" t="str">
        <f>_xlfn.XLOOKUP(Table264[[#This Row],[XPATHS]],Table33[&lt;&lt;NOLA_Exchange&gt;&gt;
Booking],Table33['#],"")</f>
        <v/>
      </c>
    </row>
    <row r="175" spans="1:4" x14ac:dyDescent="0.3">
      <c r="A175" s="33" t="str">
        <f t="shared" si="2"/>
        <v>174rel_xpath</v>
      </c>
      <c r="B175" s="5" t="s">
        <v>3186</v>
      </c>
      <c r="C175" s="33" t="str">
        <f>_xlfn.XLOOKUP(Table264[[#This Row],[XPATHS]],Table33[&lt;&lt;NOLA_Exchange&gt;&gt;
Booking],Table33[python script],"")</f>
        <v/>
      </c>
      <c r="D175" s="33" t="str">
        <f>_xlfn.XLOOKUP(Table264[[#This Row],[XPATHS]],Table33[&lt;&lt;NOLA_Exchange&gt;&gt;
Booking],Table33['#],"")</f>
        <v/>
      </c>
    </row>
    <row r="176" spans="1:4" x14ac:dyDescent="0.3">
      <c r="A176" s="33" t="str">
        <f t="shared" si="2"/>
        <v>175rel_xpath</v>
      </c>
      <c r="B176" s="5" t="s">
        <v>218</v>
      </c>
      <c r="C176" s="33" t="str">
        <f>_xlfn.XLOOKUP(Table264[[#This Row],[XPATHS]],Table33[&lt;&lt;NOLA_Exchange&gt;&gt;
Booking],Table33[python script],"")</f>
        <v/>
      </c>
      <c r="D176" s="33" t="str">
        <f>_xlfn.XLOOKUP(Table264[[#This Row],[XPATHS]],Table33[&lt;&lt;NOLA_Exchange&gt;&gt;
Booking],Table33['#],"")</f>
        <v/>
      </c>
    </row>
    <row r="177" spans="1:4" x14ac:dyDescent="0.3">
      <c r="A177" s="33" t="str">
        <f t="shared" si="2"/>
        <v>176rel_xpath</v>
      </c>
      <c r="B177" s="5" t="s">
        <v>266</v>
      </c>
      <c r="C177" s="33" t="str">
        <f>_xlfn.XLOOKUP(Table264[[#This Row],[XPATHS]],Table33[&lt;&lt;NOLA_Exchange&gt;&gt;
Booking],Table33[python script],"")</f>
        <v/>
      </c>
      <c r="D177" s="33" t="str">
        <f>_xlfn.XLOOKUP(Table264[[#This Row],[XPATHS]],Table33[&lt;&lt;NOLA_Exchange&gt;&gt;
Booking],Table33['#],"")</f>
        <v/>
      </c>
    </row>
    <row r="178" spans="1:4" x14ac:dyDescent="0.3">
      <c r="A178" s="33" t="str">
        <f t="shared" si="2"/>
        <v>177rel_xpath</v>
      </c>
      <c r="B178" s="5" t="s">
        <v>3187</v>
      </c>
      <c r="C178" s="33" t="str">
        <f>_xlfn.XLOOKUP(Table264[[#This Row],[XPATHS]],Table33[&lt;&lt;NOLA_Exchange&gt;&gt;
Booking],Table33[python script],"")</f>
        <v/>
      </c>
      <c r="D178" s="33" t="str">
        <f>_xlfn.XLOOKUP(Table264[[#This Row],[XPATHS]],Table33[&lt;&lt;NOLA_Exchange&gt;&gt;
Booking],Table33['#],"")</f>
        <v/>
      </c>
    </row>
    <row r="179" spans="1:4" x14ac:dyDescent="0.3">
      <c r="A179" s="33" t="str">
        <f t="shared" si="2"/>
        <v>178rel_xpath</v>
      </c>
      <c r="B179" s="5" t="s">
        <v>297</v>
      </c>
      <c r="C179" s="33" t="str">
        <f>_xlfn.XLOOKUP(Table264[[#This Row],[XPATHS]],Table33[&lt;&lt;NOLA_Exchange&gt;&gt;
Booking],Table33[python script],"")</f>
        <v/>
      </c>
      <c r="D179" s="33" t="str">
        <f>_xlfn.XLOOKUP(Table264[[#This Row],[XPATHS]],Table33[&lt;&lt;NOLA_Exchange&gt;&gt;
Booking],Table33['#],"")</f>
        <v/>
      </c>
    </row>
    <row r="180" spans="1:4" x14ac:dyDescent="0.3">
      <c r="A180" s="33" t="str">
        <f t="shared" si="2"/>
        <v>179rel_xpath</v>
      </c>
      <c r="B180" s="5" t="s">
        <v>234</v>
      </c>
      <c r="C180" s="33" t="str">
        <f>_xlfn.XLOOKUP(Table264[[#This Row],[XPATHS]],Table33[&lt;&lt;NOLA_Exchange&gt;&gt;
Booking],Table33[python script],"")</f>
        <v/>
      </c>
      <c r="D180" s="33" t="str">
        <f>_xlfn.XLOOKUP(Table264[[#This Row],[XPATHS]],Table33[&lt;&lt;NOLA_Exchange&gt;&gt;
Booking],Table33['#],"")</f>
        <v/>
      </c>
    </row>
    <row r="181" spans="1:4" x14ac:dyDescent="0.3">
      <c r="A181" s="33" t="str">
        <f t="shared" si="2"/>
        <v>180rel_xpath</v>
      </c>
      <c r="B181" s="5" t="s">
        <v>3188</v>
      </c>
      <c r="C181" s="33" t="str">
        <f>_xlfn.XLOOKUP(Table264[[#This Row],[XPATHS]],Table33[&lt;&lt;NOLA_Exchange&gt;&gt;
Booking],Table33[python script],"")</f>
        <v/>
      </c>
      <c r="D181" s="33" t="str">
        <f>_xlfn.XLOOKUP(Table264[[#This Row],[XPATHS]],Table33[&lt;&lt;NOLA_Exchange&gt;&gt;
Booking],Table33['#],"")</f>
        <v/>
      </c>
    </row>
    <row r="182" spans="1:4" x14ac:dyDescent="0.3">
      <c r="A182" s="33" t="str">
        <f t="shared" si="2"/>
        <v>181rel_xpath</v>
      </c>
      <c r="B182" s="5" t="s">
        <v>316</v>
      </c>
      <c r="C182" s="33" t="str">
        <f>_xlfn.XLOOKUP(Table264[[#This Row],[XPATHS]],Table33[&lt;&lt;NOLA_Exchange&gt;&gt;
Booking],Table33[python script],"")</f>
        <v/>
      </c>
      <c r="D182" s="33" t="str">
        <f>_xlfn.XLOOKUP(Table264[[#This Row],[XPATHS]],Table33[&lt;&lt;NOLA_Exchange&gt;&gt;
Booking],Table33['#],"")</f>
        <v/>
      </c>
    </row>
    <row r="183" spans="1:4" x14ac:dyDescent="0.3">
      <c r="A183" s="33" t="str">
        <f t="shared" si="2"/>
        <v>182rel_xpath</v>
      </c>
      <c r="B183" s="5" t="s">
        <v>165</v>
      </c>
      <c r="C183" s="33" t="str">
        <f>_xlfn.XLOOKUP(Table264[[#This Row],[XPATHS]],Table33[&lt;&lt;NOLA_Exchange&gt;&gt;
Booking],Table33[python script],"")</f>
        <v/>
      </c>
      <c r="D183" s="33" t="str">
        <f>_xlfn.XLOOKUP(Table264[[#This Row],[XPATHS]],Table33[&lt;&lt;NOLA_Exchange&gt;&gt;
Booking],Table33['#],"")</f>
        <v/>
      </c>
    </row>
    <row r="184" spans="1:4" x14ac:dyDescent="0.3">
      <c r="A184" s="33" t="str">
        <f t="shared" si="2"/>
        <v>183rel_xpath</v>
      </c>
      <c r="B184" s="5" t="s">
        <v>124</v>
      </c>
      <c r="C184" s="33" t="str">
        <f>_xlfn.XLOOKUP(Table264[[#This Row],[XPATHS]],Table33[&lt;&lt;NOLA_Exchange&gt;&gt;
Booking],Table33[python script],"")</f>
        <v/>
      </c>
      <c r="D184" s="33" t="str">
        <f>_xlfn.XLOOKUP(Table264[[#This Row],[XPATHS]],Table33[&lt;&lt;NOLA_Exchange&gt;&gt;
Booking],Table33['#],"")</f>
        <v/>
      </c>
    </row>
    <row r="185" spans="1:4" x14ac:dyDescent="0.3">
      <c r="A185" s="33" t="str">
        <f t="shared" si="2"/>
        <v>184rel_xpath</v>
      </c>
      <c r="B185" s="5" t="s">
        <v>78</v>
      </c>
      <c r="C185" s="33" t="str">
        <f>_xlfn.XLOOKUP(Table264[[#This Row],[XPATHS]],Table33[&lt;&lt;NOLA_Exchange&gt;&gt;
Booking],Table33[python script],"")</f>
        <v/>
      </c>
      <c r="D185" s="33" t="str">
        <f>_xlfn.XLOOKUP(Table264[[#This Row],[XPATHS]],Table33[&lt;&lt;NOLA_Exchange&gt;&gt;
Booking],Table33['#],"")</f>
        <v/>
      </c>
    </row>
    <row r="186" spans="1:4" x14ac:dyDescent="0.3">
      <c r="A186" s="33" t="str">
        <f t="shared" si="2"/>
        <v>185rel_xpath</v>
      </c>
      <c r="B186" s="5" t="s">
        <v>3189</v>
      </c>
      <c r="C186" s="33" t="str">
        <f>_xlfn.XLOOKUP(Table264[[#This Row],[XPATHS]],Table33[&lt;&lt;NOLA_Exchange&gt;&gt;
Booking],Table33[python script],"")</f>
        <v/>
      </c>
      <c r="D186" s="33" t="str">
        <f>_xlfn.XLOOKUP(Table264[[#This Row],[XPATHS]],Table33[&lt;&lt;NOLA_Exchange&gt;&gt;
Booking],Table33['#],"")</f>
        <v/>
      </c>
    </row>
    <row r="187" spans="1:4" x14ac:dyDescent="0.3">
      <c r="A187" s="33" t="str">
        <f t="shared" si="2"/>
        <v>186rel_xpath</v>
      </c>
      <c r="B187" s="5" t="s">
        <v>112</v>
      </c>
      <c r="C187" s="33" t="str">
        <f>_xlfn.XLOOKUP(Table264[[#This Row],[XPATHS]],Table33[&lt;&lt;NOLA_Exchange&gt;&gt;
Booking],Table33[python script],"")</f>
        <v/>
      </c>
      <c r="D187" s="33" t="str">
        <f>_xlfn.XLOOKUP(Table264[[#This Row],[XPATHS]],Table33[&lt;&lt;NOLA_Exchange&gt;&gt;
Booking],Table33['#],"")</f>
        <v/>
      </c>
    </row>
    <row r="188" spans="1:4" x14ac:dyDescent="0.3">
      <c r="A188" s="33" t="str">
        <f t="shared" si="2"/>
        <v>187rel_xpath</v>
      </c>
      <c r="B188" s="5" t="s">
        <v>3190</v>
      </c>
      <c r="C188" s="33" t="str">
        <f>_xlfn.XLOOKUP(Table264[[#This Row],[XPATHS]],Table33[&lt;&lt;NOLA_Exchange&gt;&gt;
Booking],Table33[python script],"")</f>
        <v/>
      </c>
      <c r="D188" s="33" t="str">
        <f>_xlfn.XLOOKUP(Table264[[#This Row],[XPATHS]],Table33[&lt;&lt;NOLA_Exchange&gt;&gt;
Booking],Table33['#],"")</f>
        <v/>
      </c>
    </row>
    <row r="189" spans="1:4" x14ac:dyDescent="0.3">
      <c r="A189" s="33" t="str">
        <f t="shared" si="2"/>
        <v>188rel_xpath</v>
      </c>
      <c r="B189" s="5" t="s">
        <v>104</v>
      </c>
      <c r="C189" s="33" t="str">
        <f>_xlfn.XLOOKUP(Table264[[#This Row],[XPATHS]],Table33[&lt;&lt;NOLA_Exchange&gt;&gt;
Booking],Table33[python script],"")</f>
        <v/>
      </c>
      <c r="D189" s="33" t="str">
        <f>_xlfn.XLOOKUP(Table264[[#This Row],[XPATHS]],Table33[&lt;&lt;NOLA_Exchange&gt;&gt;
Booking],Table33['#],"")</f>
        <v/>
      </c>
    </row>
    <row r="190" spans="1:4" x14ac:dyDescent="0.3">
      <c r="A190" s="33" t="str">
        <f t="shared" si="2"/>
        <v>189rel_xpath</v>
      </c>
      <c r="B190" s="5" t="s">
        <v>347</v>
      </c>
      <c r="C190" s="33" t="str">
        <f>_xlfn.XLOOKUP(Table264[[#This Row],[XPATHS]],Table33[&lt;&lt;NOLA_Exchange&gt;&gt;
Booking],Table33[python script],"")</f>
        <v/>
      </c>
      <c r="D190" s="33" t="str">
        <f>_xlfn.XLOOKUP(Table264[[#This Row],[XPATHS]],Table33[&lt;&lt;NOLA_Exchange&gt;&gt;
Booking],Table33['#],"")</f>
        <v/>
      </c>
    </row>
    <row r="191" spans="1:4" x14ac:dyDescent="0.3">
      <c r="A191" s="33" t="str">
        <f t="shared" si="2"/>
        <v>190rel_xpath</v>
      </c>
      <c r="B191" s="5" t="s">
        <v>353</v>
      </c>
      <c r="C191" s="33" t="str">
        <f>_xlfn.XLOOKUP(Table264[[#This Row],[XPATHS]],Table33[&lt;&lt;NOLA_Exchange&gt;&gt;
Booking],Table33[python script],"")</f>
        <v/>
      </c>
      <c r="D191" s="33" t="str">
        <f>_xlfn.XLOOKUP(Table264[[#This Row],[XPATHS]],Table33[&lt;&lt;NOLA_Exchange&gt;&gt;
Booking],Table33['#],"")</f>
        <v/>
      </c>
    </row>
    <row r="192" spans="1:4" x14ac:dyDescent="0.3">
      <c r="A192" s="33" t="str">
        <f t="shared" si="2"/>
        <v>191rel_xpath</v>
      </c>
      <c r="B192" s="5" t="s">
        <v>544</v>
      </c>
      <c r="C192" s="33" t="str">
        <f>_xlfn.XLOOKUP(Table264[[#This Row],[XPATHS]],Table33[&lt;&lt;NOLA_Exchange&gt;&gt;
Booking],Table33[python script],"")</f>
        <v/>
      </c>
      <c r="D192" s="33" t="str">
        <f>_xlfn.XLOOKUP(Table264[[#This Row],[XPATHS]],Table33[&lt;&lt;NOLA_Exchange&gt;&gt;
Booking],Table33['#],"")</f>
        <v/>
      </c>
    </row>
    <row r="193" spans="1:4" x14ac:dyDescent="0.3">
      <c r="A193" s="33" t="str">
        <f t="shared" si="2"/>
        <v>192rel_xpath</v>
      </c>
      <c r="B193" s="5" t="s">
        <v>3191</v>
      </c>
      <c r="C193" s="33" t="str">
        <f>_xlfn.XLOOKUP(Table264[[#This Row],[XPATHS]],Table33[&lt;&lt;NOLA_Exchange&gt;&gt;
Booking],Table33[python script],"")</f>
        <v/>
      </c>
      <c r="D193" s="33" t="str">
        <f>_xlfn.XLOOKUP(Table264[[#This Row],[XPATHS]],Table33[&lt;&lt;NOLA_Exchange&gt;&gt;
Booking],Table33['#],"")</f>
        <v/>
      </c>
    </row>
    <row r="194" spans="1:4" x14ac:dyDescent="0.3">
      <c r="A194" s="33" t="str">
        <f t="shared" ref="A194:A257" si="3">ROW(A193)&amp;"rel_xpath"</f>
        <v>193rel_xpath</v>
      </c>
      <c r="B194" s="5" t="s">
        <v>3192</v>
      </c>
      <c r="C194" s="33" t="str">
        <f>_xlfn.XLOOKUP(Table264[[#This Row],[XPATHS]],Table33[&lt;&lt;NOLA_Exchange&gt;&gt;
Booking],Table33[python script],"")</f>
        <v/>
      </c>
      <c r="D194" s="33" t="str">
        <f>_xlfn.XLOOKUP(Table264[[#This Row],[XPATHS]],Table33[&lt;&lt;NOLA_Exchange&gt;&gt;
Booking],Table33['#],"")</f>
        <v/>
      </c>
    </row>
    <row r="195" spans="1:4" x14ac:dyDescent="0.3">
      <c r="A195" s="33" t="str">
        <f t="shared" si="3"/>
        <v>194rel_xpath</v>
      </c>
      <c r="B195" s="5" t="s">
        <v>3193</v>
      </c>
      <c r="C195" s="33" t="str">
        <f>_xlfn.XLOOKUP(Table264[[#This Row],[XPATHS]],Table33[&lt;&lt;NOLA_Exchange&gt;&gt;
Booking],Table33[python script],"")</f>
        <v/>
      </c>
      <c r="D195" s="33" t="str">
        <f>_xlfn.XLOOKUP(Table264[[#This Row],[XPATHS]],Table33[&lt;&lt;NOLA_Exchange&gt;&gt;
Booking],Table33['#],"")</f>
        <v/>
      </c>
    </row>
    <row r="196" spans="1:4" x14ac:dyDescent="0.3">
      <c r="A196" s="33" t="str">
        <f t="shared" si="3"/>
        <v>195rel_xpath</v>
      </c>
      <c r="B196" s="5" t="s">
        <v>3194</v>
      </c>
      <c r="C196" s="33" t="str">
        <f>_xlfn.XLOOKUP(Table264[[#This Row],[XPATHS]],Table33[&lt;&lt;NOLA_Exchange&gt;&gt;
Booking],Table33[python script],"")</f>
        <v/>
      </c>
      <c r="D196" s="33" t="str">
        <f>_xlfn.XLOOKUP(Table264[[#This Row],[XPATHS]],Table33[&lt;&lt;NOLA_Exchange&gt;&gt;
Booking],Table33['#],"")</f>
        <v/>
      </c>
    </row>
    <row r="197" spans="1:4" x14ac:dyDescent="0.3">
      <c r="A197" s="33" t="str">
        <f t="shared" si="3"/>
        <v>196rel_xpath</v>
      </c>
      <c r="B197" s="5" t="s">
        <v>3195</v>
      </c>
      <c r="C197" s="33" t="str">
        <f>_xlfn.XLOOKUP(Table264[[#This Row],[XPATHS]],Table33[&lt;&lt;NOLA_Exchange&gt;&gt;
Booking],Table33[python script],"")</f>
        <v/>
      </c>
      <c r="D197" s="33" t="str">
        <f>_xlfn.XLOOKUP(Table264[[#This Row],[XPATHS]],Table33[&lt;&lt;NOLA_Exchange&gt;&gt;
Booking],Table33['#],"")</f>
        <v/>
      </c>
    </row>
    <row r="198" spans="1:4" x14ac:dyDescent="0.3">
      <c r="A198" s="33" t="str">
        <f t="shared" si="3"/>
        <v>197rel_xpath</v>
      </c>
      <c r="B198" s="5" t="s">
        <v>3196</v>
      </c>
      <c r="C198" s="33" t="str">
        <f>_xlfn.XLOOKUP(Table264[[#This Row],[XPATHS]],Table33[&lt;&lt;NOLA_Exchange&gt;&gt;
Booking],Table33[python script],"")</f>
        <v/>
      </c>
      <c r="D198" s="33" t="str">
        <f>_xlfn.XLOOKUP(Table264[[#This Row],[XPATHS]],Table33[&lt;&lt;NOLA_Exchange&gt;&gt;
Booking],Table33['#],"")</f>
        <v/>
      </c>
    </row>
    <row r="199" spans="1:4" x14ac:dyDescent="0.3">
      <c r="A199" s="33" t="str">
        <f t="shared" si="3"/>
        <v>198rel_xpath</v>
      </c>
      <c r="B199" s="5" t="s">
        <v>3197</v>
      </c>
      <c r="C199" s="33" t="str">
        <f>_xlfn.XLOOKUP(Table264[[#This Row],[XPATHS]],Table33[&lt;&lt;NOLA_Exchange&gt;&gt;
Booking],Table33[python script],"")</f>
        <v/>
      </c>
      <c r="D199" s="33" t="str">
        <f>_xlfn.XLOOKUP(Table264[[#This Row],[XPATHS]],Table33[&lt;&lt;NOLA_Exchange&gt;&gt;
Booking],Table33['#],"")</f>
        <v/>
      </c>
    </row>
    <row r="200" spans="1:4" x14ac:dyDescent="0.3">
      <c r="A200" s="33" t="str">
        <f t="shared" si="3"/>
        <v>199rel_xpath</v>
      </c>
      <c r="B200" s="5" t="s">
        <v>3198</v>
      </c>
      <c r="C200" s="33" t="str">
        <f>_xlfn.XLOOKUP(Table264[[#This Row],[XPATHS]],Table33[&lt;&lt;NOLA_Exchange&gt;&gt;
Booking],Table33[python script],"")</f>
        <v/>
      </c>
      <c r="D200" s="33" t="str">
        <f>_xlfn.XLOOKUP(Table264[[#This Row],[XPATHS]],Table33[&lt;&lt;NOLA_Exchange&gt;&gt;
Booking],Table33['#],"")</f>
        <v/>
      </c>
    </row>
    <row r="201" spans="1:4" x14ac:dyDescent="0.3">
      <c r="A201" s="33" t="str">
        <f t="shared" si="3"/>
        <v>200rel_xpath</v>
      </c>
      <c r="B201" s="5" t="s">
        <v>3199</v>
      </c>
      <c r="C201" s="33" t="str">
        <f>_xlfn.XLOOKUP(Table264[[#This Row],[XPATHS]],Table33[&lt;&lt;NOLA_Exchange&gt;&gt;
Booking],Table33[python script],"")</f>
        <v/>
      </c>
      <c r="D201" s="33" t="str">
        <f>_xlfn.XLOOKUP(Table264[[#This Row],[XPATHS]],Table33[&lt;&lt;NOLA_Exchange&gt;&gt;
Booking],Table33['#],"")</f>
        <v/>
      </c>
    </row>
    <row r="202" spans="1:4" x14ac:dyDescent="0.3">
      <c r="A202" s="33" t="str">
        <f t="shared" si="3"/>
        <v>201rel_xpath</v>
      </c>
      <c r="B202" s="5" t="s">
        <v>871</v>
      </c>
      <c r="C202" s="33" t="str">
        <f>_xlfn.XLOOKUP(Table264[[#This Row],[XPATHS]],Table33[&lt;&lt;NOLA_Exchange&gt;&gt;
Booking],Table33[python script],"")</f>
        <v>"IFALIN": "/j:Booking/j:BookingSubject/RoleOfPerson/hs:PersonAugmentation/hs:AlienIdentification/IdentificationID",</v>
      </c>
      <c r="D202" s="33" t="str">
        <f>_xlfn.XLOOKUP(Table264[[#This Row],[XPATHS]],Table33[&lt;&lt;NOLA_Exchange&gt;&gt;
Booking],Table33['#],"")</f>
        <v>36expanded_IMFLDR_sorted</v>
      </c>
    </row>
    <row r="203" spans="1:4" x14ac:dyDescent="0.3">
      <c r="A203" s="33" t="str">
        <f t="shared" si="3"/>
        <v>202rel_xpath</v>
      </c>
      <c r="B203" s="5" t="s">
        <v>742</v>
      </c>
      <c r="C203" s="33" t="str">
        <f>_xlfn.XLOOKUP(Table264[[#This Row],[XPATHS]],Table33[&lt;&lt;NOLA_Exchange&gt;&gt;
Booking],Table33[python script],"")</f>
        <v/>
      </c>
      <c r="D203" s="33" t="str">
        <f>_xlfn.XLOOKUP(Table264[[#This Row],[XPATHS]],Table33[&lt;&lt;NOLA_Exchange&gt;&gt;
Booking],Table33['#],"")</f>
        <v/>
      </c>
    </row>
    <row r="204" spans="1:4" x14ac:dyDescent="0.3">
      <c r="A204" s="33" t="str">
        <f t="shared" si="3"/>
        <v>203rel_xpath</v>
      </c>
      <c r="B204" s="5" t="s">
        <v>2422</v>
      </c>
      <c r="C204" s="33" t="str">
        <f>_xlfn.XLOOKUP(Table264[[#This Row],[XPATHS]],Table33[&lt;&lt;NOLA_Exchange&gt;&gt;
Booking],Table33[python script],"")</f>
        <v/>
      </c>
      <c r="D204" s="33" t="str">
        <f>_xlfn.XLOOKUP(Table264[[#This Row],[XPATHS]],Table33[&lt;&lt;NOLA_Exchange&gt;&gt;
Booking],Table33['#],"")</f>
        <v/>
      </c>
    </row>
    <row r="205" spans="1:4" x14ac:dyDescent="0.3">
      <c r="A205" s="33" t="str">
        <f t="shared" si="3"/>
        <v>204rel_xpath</v>
      </c>
      <c r="B205" s="5" t="s">
        <v>3200</v>
      </c>
      <c r="C205" s="33" t="str">
        <f>_xlfn.XLOOKUP(Table264[[#This Row],[XPATHS]],Table33[&lt;&lt;NOLA_Exchange&gt;&gt;
Booking],Table33[python script],"")</f>
        <v/>
      </c>
      <c r="D205" s="33" t="str">
        <f>_xlfn.XLOOKUP(Table264[[#This Row],[XPATHS]],Table33[&lt;&lt;NOLA_Exchange&gt;&gt;
Booking],Table33['#],"")</f>
        <v/>
      </c>
    </row>
    <row r="206" spans="1:4" x14ac:dyDescent="0.3">
      <c r="A206" s="33" t="str">
        <f t="shared" si="3"/>
        <v>205rel_xpath</v>
      </c>
      <c r="B206" s="5" t="s">
        <v>435</v>
      </c>
      <c r="C206" s="33" t="str">
        <f>_xlfn.XLOOKUP(Table264[[#This Row],[XPATHS]],Table33[&lt;&lt;NOLA_Exchange&gt;&gt;
Booking],Table33[python script],"")</f>
        <v>"IFBPTY": "/j:Booking/j:BookingSubject/j:SubjectAppointment/j:AppointmentPriorityText",</v>
      </c>
      <c r="D206" s="33" t="str">
        <f>_xlfn.XLOOKUP(Table264[[#This Row],[XPATHS]],Table33[&lt;&lt;NOLA_Exchange&gt;&gt;
Booking],Table33['#],"")</f>
        <v>15expanded_IMFLDR_sorted</v>
      </c>
    </row>
    <row r="207" spans="1:4" x14ac:dyDescent="0.3">
      <c r="A207" s="33" t="str">
        <f t="shared" si="3"/>
        <v>206rel_xpath</v>
      </c>
      <c r="B207" s="5" t="s">
        <v>1665</v>
      </c>
      <c r="C207" s="33" t="str">
        <f>_xlfn.XLOOKUP(Table264[[#This Row],[XPATHS]],Table33[&lt;&lt;NOLA_Exchange&gt;&gt;
Booking],Table33[python script],"")</f>
        <v/>
      </c>
      <c r="D207" s="33" t="str">
        <f>_xlfn.XLOOKUP(Table264[[#This Row],[XPATHS]],Table33[&lt;&lt;NOLA_Exchange&gt;&gt;
Booking],Table33['#],"")</f>
        <v/>
      </c>
    </row>
    <row r="208" spans="1:4" x14ac:dyDescent="0.3">
      <c r="A208" s="33" t="str">
        <f t="shared" si="3"/>
        <v>207rel_xpath</v>
      </c>
      <c r="B208" s="5" t="s">
        <v>3201</v>
      </c>
      <c r="C208" s="33" t="str">
        <f>_xlfn.XLOOKUP(Table264[[#This Row],[XPATHS]],Table33[&lt;&lt;NOLA_Exchange&gt;&gt;
Booking],Table33[python script],"")</f>
        <v/>
      </c>
      <c r="D208" s="33" t="str">
        <f>_xlfn.XLOOKUP(Table264[[#This Row],[XPATHS]],Table33[&lt;&lt;NOLA_Exchange&gt;&gt;
Booking],Table33['#],"")</f>
        <v/>
      </c>
    </row>
    <row r="209" spans="1:4" x14ac:dyDescent="0.3">
      <c r="A209" s="33" t="str">
        <f t="shared" si="3"/>
        <v>208rel_xpath</v>
      </c>
      <c r="B209" s="5" t="s">
        <v>3202</v>
      </c>
      <c r="C209" s="33" t="str">
        <f>_xlfn.XLOOKUP(Table264[[#This Row],[XPATHS]],Table33[&lt;&lt;NOLA_Exchange&gt;&gt;
Booking],Table33[python script],"")</f>
        <v/>
      </c>
      <c r="D209" s="33" t="str">
        <f>_xlfn.XLOOKUP(Table264[[#This Row],[XPATHS]],Table33[&lt;&lt;NOLA_Exchange&gt;&gt;
Booking],Table33['#],"")</f>
        <v/>
      </c>
    </row>
    <row r="210" spans="1:4" x14ac:dyDescent="0.3">
      <c r="A210" s="33" t="str">
        <f t="shared" si="3"/>
        <v>209rel_xpath</v>
      </c>
      <c r="B210" s="5" t="s">
        <v>365</v>
      </c>
      <c r="C210" s="33" t="str">
        <f>_xlfn.XLOOKUP(Table264[[#This Row],[XPATHS]],Table33[&lt;&lt;NOLA_Exchange&gt;&gt;
Booking],Table33[python script],"")</f>
        <v/>
      </c>
      <c r="D210" s="33" t="str">
        <f>_xlfn.XLOOKUP(Table264[[#This Row],[XPATHS]],Table33[&lt;&lt;NOLA_Exchange&gt;&gt;
Booking],Table33['#],"")</f>
        <v/>
      </c>
    </row>
    <row r="211" spans="1:4" x14ac:dyDescent="0.3">
      <c r="A211" s="33" t="str">
        <f t="shared" si="3"/>
        <v>210rel_xpath</v>
      </c>
      <c r="B211" s="5" t="s">
        <v>3203</v>
      </c>
      <c r="C211" s="33" t="str">
        <f>_xlfn.XLOOKUP(Table264[[#This Row],[XPATHS]],Table33[&lt;&lt;NOLA_Exchange&gt;&gt;
Booking],Table33[python script],"")</f>
        <v/>
      </c>
      <c r="D211" s="33" t="str">
        <f>_xlfn.XLOOKUP(Table264[[#This Row],[XPATHS]],Table33[&lt;&lt;NOLA_Exchange&gt;&gt;
Booking],Table33['#],"")</f>
        <v/>
      </c>
    </row>
    <row r="212" spans="1:4" x14ac:dyDescent="0.3">
      <c r="A212" s="33" t="str">
        <f t="shared" si="3"/>
        <v>211rel_xpath</v>
      </c>
      <c r="B212" s="5" t="s">
        <v>3204</v>
      </c>
      <c r="C212" s="33" t="str">
        <f>_xlfn.XLOOKUP(Table264[[#This Row],[XPATHS]],Table33[&lt;&lt;NOLA_Exchange&gt;&gt;
Booking],Table33[python script],"")</f>
        <v/>
      </c>
      <c r="D212" s="33" t="str">
        <f>_xlfn.XLOOKUP(Table264[[#This Row],[XPATHS]],Table33[&lt;&lt;NOLA_Exchange&gt;&gt;
Booking],Table33['#],"")</f>
        <v/>
      </c>
    </row>
    <row r="213" spans="1:4" x14ac:dyDescent="0.3">
      <c r="A213" s="33" t="str">
        <f t="shared" si="3"/>
        <v>212rel_xpath</v>
      </c>
      <c r="B213" s="5" t="s">
        <v>1431</v>
      </c>
      <c r="C213" s="33" t="str">
        <f>_xlfn.XLOOKUP(Table264[[#This Row],[XPATHS]],Table33[&lt;&lt;NOLA_Exchange&gt;&gt;
Booking],Table33[python script],"")</f>
        <v/>
      </c>
      <c r="D213" s="33" t="str">
        <f>_xlfn.XLOOKUP(Table264[[#This Row],[XPATHS]],Table33[&lt;&lt;NOLA_Exchange&gt;&gt;
Booking],Table33['#],"")</f>
        <v/>
      </c>
    </row>
    <row r="214" spans="1:4" x14ac:dyDescent="0.3">
      <c r="A214" s="33" t="str">
        <f t="shared" si="3"/>
        <v>213rel_xpath</v>
      </c>
      <c r="B214" s="5" t="s">
        <v>3205</v>
      </c>
      <c r="C214" s="33" t="str">
        <f>_xlfn.XLOOKUP(Table264[[#This Row],[XPATHS]],Table33[&lt;&lt;NOLA_Exchange&gt;&gt;
Booking],Table33[python script],"")</f>
        <v/>
      </c>
      <c r="D214" s="33" t="str">
        <f>_xlfn.XLOOKUP(Table264[[#This Row],[XPATHS]],Table33[&lt;&lt;NOLA_Exchange&gt;&gt;
Booking],Table33['#],"")</f>
        <v/>
      </c>
    </row>
    <row r="215" spans="1:4" x14ac:dyDescent="0.3">
      <c r="A215" s="33" t="str">
        <f t="shared" si="3"/>
        <v>214rel_xpath</v>
      </c>
      <c r="B215" s="5" t="s">
        <v>1739</v>
      </c>
      <c r="C215" s="33" t="str">
        <f>_xlfn.XLOOKUP(Table264[[#This Row],[XPATHS]],Table33[&lt;&lt;NOLA_Exchange&gt;&gt;
Booking],Table33[python script],"")</f>
        <v/>
      </c>
      <c r="D215" s="33" t="str">
        <f>_xlfn.XLOOKUP(Table264[[#This Row],[XPATHS]],Table33[&lt;&lt;NOLA_Exchange&gt;&gt;
Booking],Table33['#],"")</f>
        <v/>
      </c>
    </row>
    <row r="216" spans="1:4" x14ac:dyDescent="0.3">
      <c r="A216" s="33" t="str">
        <f t="shared" si="3"/>
        <v>215rel_xpath</v>
      </c>
      <c r="B216" s="5" t="s">
        <v>1723</v>
      </c>
      <c r="C216" s="33" t="str">
        <f>_xlfn.XLOOKUP(Table264[[#This Row],[XPATHS]],Table33[&lt;&lt;NOLA_Exchange&gt;&gt;
Booking],Table33[python script],"")</f>
        <v/>
      </c>
      <c r="D216" s="33" t="str">
        <f>_xlfn.XLOOKUP(Table264[[#This Row],[XPATHS]],Table33[&lt;&lt;NOLA_Exchange&gt;&gt;
Booking],Table33['#],"")</f>
        <v/>
      </c>
    </row>
    <row r="217" spans="1:4" x14ac:dyDescent="0.3">
      <c r="A217" s="33" t="str">
        <f t="shared" si="3"/>
        <v>216rel_xpath</v>
      </c>
      <c r="B217" s="5" t="s">
        <v>3206</v>
      </c>
      <c r="C217" s="33" t="str">
        <f>_xlfn.XLOOKUP(Table264[[#This Row],[XPATHS]],Table33[&lt;&lt;NOLA_Exchange&gt;&gt;
Booking],Table33[python script],"")</f>
        <v/>
      </c>
      <c r="D217" s="33" t="str">
        <f>_xlfn.XLOOKUP(Table264[[#This Row],[XPATHS]],Table33[&lt;&lt;NOLA_Exchange&gt;&gt;
Booking],Table33['#],"")</f>
        <v/>
      </c>
    </row>
    <row r="218" spans="1:4" x14ac:dyDescent="0.3">
      <c r="A218" s="33" t="str">
        <f t="shared" si="3"/>
        <v>217rel_xpath</v>
      </c>
      <c r="B218" s="5" t="s">
        <v>1812</v>
      </c>
      <c r="C218" s="33" t="str">
        <f>_xlfn.XLOOKUP(Table264[[#This Row],[XPATHS]],Table33[&lt;&lt;NOLA_Exchange&gt;&gt;
Booking],Table33[python script],"")</f>
        <v/>
      </c>
      <c r="D218" s="33" t="str">
        <f>_xlfn.XLOOKUP(Table264[[#This Row],[XPATHS]],Table33[&lt;&lt;NOLA_Exchange&gt;&gt;
Booking],Table33['#],"")</f>
        <v/>
      </c>
    </row>
    <row r="219" spans="1:4" x14ac:dyDescent="0.3">
      <c r="A219" s="33" t="str">
        <f t="shared" si="3"/>
        <v>218rel_xpath</v>
      </c>
      <c r="B219" s="5" t="s">
        <v>1904</v>
      </c>
      <c r="C219" s="33" t="str">
        <f>_xlfn.XLOOKUP(Table264[[#This Row],[XPATHS]],Table33[&lt;&lt;NOLA_Exchange&gt;&gt;
Booking],Table33[python script],"")</f>
        <v/>
      </c>
      <c r="D219" s="33" t="str">
        <f>_xlfn.XLOOKUP(Table264[[#This Row],[XPATHS]],Table33[&lt;&lt;NOLA_Exchange&gt;&gt;
Booking],Table33['#],"")</f>
        <v/>
      </c>
    </row>
    <row r="220" spans="1:4" x14ac:dyDescent="0.3">
      <c r="A220" s="33" t="str">
        <f t="shared" si="3"/>
        <v>219rel_xpath</v>
      </c>
      <c r="B220" s="5" t="s">
        <v>3207</v>
      </c>
      <c r="C220" s="33" t="str">
        <f>_xlfn.XLOOKUP(Table264[[#This Row],[XPATHS]],Table33[&lt;&lt;NOLA_Exchange&gt;&gt;
Booking],Table33[python script],"")</f>
        <v/>
      </c>
      <c r="D220" s="33" t="str">
        <f>_xlfn.XLOOKUP(Table264[[#This Row],[XPATHS]],Table33[&lt;&lt;NOLA_Exchange&gt;&gt;
Booking],Table33['#],"")</f>
        <v/>
      </c>
    </row>
    <row r="221" spans="1:4" x14ac:dyDescent="0.3">
      <c r="A221" s="33" t="str">
        <f t="shared" si="3"/>
        <v>220rel_xpath</v>
      </c>
      <c r="B221" s="5" t="s">
        <v>3208</v>
      </c>
      <c r="C221" s="33" t="str">
        <f>_xlfn.XLOOKUP(Table264[[#This Row],[XPATHS]],Table33[&lt;&lt;NOLA_Exchange&gt;&gt;
Booking],Table33[python script],"")</f>
        <v/>
      </c>
      <c r="D221" s="33" t="str">
        <f>_xlfn.XLOOKUP(Table264[[#This Row],[XPATHS]],Table33[&lt;&lt;NOLA_Exchange&gt;&gt;
Booking],Table33['#],"")</f>
        <v/>
      </c>
    </row>
    <row r="222" spans="1:4" x14ac:dyDescent="0.3">
      <c r="A222" s="33" t="str">
        <f t="shared" si="3"/>
        <v>221rel_xpath</v>
      </c>
      <c r="B222" s="5" t="s">
        <v>2944</v>
      </c>
      <c r="C222" s="33" t="str">
        <f>_xlfn.XLOOKUP(Table264[[#This Row],[XPATHS]],Table33[&lt;&lt;NOLA_Exchange&gt;&gt;
Booking],Table33[python script],"")</f>
        <v/>
      </c>
      <c r="D222" s="33" t="str">
        <f>_xlfn.XLOOKUP(Table264[[#This Row],[XPATHS]],Table33[&lt;&lt;NOLA_Exchange&gt;&gt;
Booking],Table33['#],"")</f>
        <v/>
      </c>
    </row>
    <row r="223" spans="1:4" x14ac:dyDescent="0.3">
      <c r="A223" s="33" t="str">
        <f t="shared" si="3"/>
        <v>222rel_xpath</v>
      </c>
      <c r="B223" s="5" t="s">
        <v>3209</v>
      </c>
      <c r="C223" s="33" t="str">
        <f>_xlfn.XLOOKUP(Table264[[#This Row],[XPATHS]],Table33[&lt;&lt;NOLA_Exchange&gt;&gt;
Booking],Table33[python script],"")</f>
        <v/>
      </c>
      <c r="D223" s="33" t="str">
        <f>_xlfn.XLOOKUP(Table264[[#This Row],[XPATHS]],Table33[&lt;&lt;NOLA_Exchange&gt;&gt;
Booking],Table33['#],"")</f>
        <v/>
      </c>
    </row>
    <row r="224" spans="1:4" x14ac:dyDescent="0.3">
      <c r="A224" s="33" t="str">
        <f t="shared" si="3"/>
        <v>223rel_xpath</v>
      </c>
      <c r="B224" s="5" t="s">
        <v>3029</v>
      </c>
      <c r="C224" s="33" t="str">
        <f>_xlfn.XLOOKUP(Table264[[#This Row],[XPATHS]],Table33[&lt;&lt;NOLA_Exchange&gt;&gt;
Booking],Table33[python script],"")</f>
        <v/>
      </c>
      <c r="D224" s="33" t="str">
        <f>_xlfn.XLOOKUP(Table264[[#This Row],[XPATHS]],Table33[&lt;&lt;NOLA_Exchange&gt;&gt;
Booking],Table33['#],"")</f>
        <v/>
      </c>
    </row>
    <row r="225" spans="1:4" x14ac:dyDescent="0.3">
      <c r="A225" s="33" t="str">
        <f t="shared" si="3"/>
        <v>224rel_xpath</v>
      </c>
      <c r="B225" s="5" t="s">
        <v>2941</v>
      </c>
      <c r="C225" s="33" t="str">
        <f>_xlfn.XLOOKUP(Table264[[#This Row],[XPATHS]],Table33[&lt;&lt;NOLA_Exchange&gt;&gt;
Booking],Table33[python script],"")</f>
        <v/>
      </c>
      <c r="D225" s="33" t="str">
        <f>_xlfn.XLOOKUP(Table264[[#This Row],[XPATHS]],Table33[&lt;&lt;NOLA_Exchange&gt;&gt;
Booking],Table33['#],"")</f>
        <v/>
      </c>
    </row>
    <row r="226" spans="1:4" x14ac:dyDescent="0.3">
      <c r="A226" s="33" t="str">
        <f t="shared" si="3"/>
        <v>225rel_xpath</v>
      </c>
      <c r="B226" s="5" t="s">
        <v>3059</v>
      </c>
      <c r="C226" s="33" t="str">
        <f>_xlfn.XLOOKUP(Table264[[#This Row],[XPATHS]],Table33[&lt;&lt;NOLA_Exchange&gt;&gt;
Booking],Table33[python script],"")</f>
        <v/>
      </c>
      <c r="D226" s="33" t="str">
        <f>_xlfn.XLOOKUP(Table264[[#This Row],[XPATHS]],Table33[&lt;&lt;NOLA_Exchange&gt;&gt;
Booking],Table33['#],"")</f>
        <v/>
      </c>
    </row>
    <row r="227" spans="1:4" x14ac:dyDescent="0.3">
      <c r="A227" s="33" t="str">
        <f t="shared" si="3"/>
        <v>226rel_xpath</v>
      </c>
      <c r="B227" s="5" t="s">
        <v>3210</v>
      </c>
      <c r="C227" s="33" t="str">
        <f>_xlfn.XLOOKUP(Table264[[#This Row],[XPATHS]],Table33[&lt;&lt;NOLA_Exchange&gt;&gt;
Booking],Table33[python script],"")</f>
        <v/>
      </c>
      <c r="D227" s="33" t="str">
        <f>_xlfn.XLOOKUP(Table264[[#This Row],[XPATHS]],Table33[&lt;&lt;NOLA_Exchange&gt;&gt;
Booking],Table33['#],"")</f>
        <v/>
      </c>
    </row>
    <row r="228" spans="1:4" x14ac:dyDescent="0.3">
      <c r="A228" s="33" t="str">
        <f t="shared" si="3"/>
        <v>227rel_xpath</v>
      </c>
      <c r="B228" s="5" t="s">
        <v>3211</v>
      </c>
      <c r="C228" s="33" t="str">
        <f>_xlfn.XLOOKUP(Table264[[#This Row],[XPATHS]],Table33[&lt;&lt;NOLA_Exchange&gt;&gt;
Booking],Table33[python script],"")</f>
        <v/>
      </c>
      <c r="D228" s="33" t="str">
        <f>_xlfn.XLOOKUP(Table264[[#This Row],[XPATHS]],Table33[&lt;&lt;NOLA_Exchange&gt;&gt;
Booking],Table33['#],"")</f>
        <v/>
      </c>
    </row>
    <row r="229" spans="1:4" x14ac:dyDescent="0.3">
      <c r="A229" s="33" t="str">
        <f t="shared" si="3"/>
        <v>228rel_xpath</v>
      </c>
      <c r="B229" s="5" t="s">
        <v>3002</v>
      </c>
      <c r="C229" s="33" t="str">
        <f>_xlfn.XLOOKUP(Table264[[#This Row],[XPATHS]],Table33[&lt;&lt;NOLA_Exchange&gt;&gt;
Booking],Table33[python script],"")</f>
        <v/>
      </c>
      <c r="D229" s="33" t="str">
        <f>_xlfn.XLOOKUP(Table264[[#This Row],[XPATHS]],Table33[&lt;&lt;NOLA_Exchange&gt;&gt;
Booking],Table33['#],"")</f>
        <v/>
      </c>
    </row>
    <row r="230" spans="1:4" x14ac:dyDescent="0.3">
      <c r="A230" s="33" t="str">
        <f t="shared" si="3"/>
        <v>229rel_xpath</v>
      </c>
      <c r="B230" s="5" t="s">
        <v>3212</v>
      </c>
      <c r="C230" s="33" t="str">
        <f>_xlfn.XLOOKUP(Table264[[#This Row],[XPATHS]],Table33[&lt;&lt;NOLA_Exchange&gt;&gt;
Booking],Table33[python script],"")</f>
        <v/>
      </c>
      <c r="D230" s="33" t="str">
        <f>_xlfn.XLOOKUP(Table264[[#This Row],[XPATHS]],Table33[&lt;&lt;NOLA_Exchange&gt;&gt;
Booking],Table33['#],"")</f>
        <v/>
      </c>
    </row>
    <row r="231" spans="1:4" x14ac:dyDescent="0.3">
      <c r="A231" s="33" t="str">
        <f t="shared" si="3"/>
        <v>230rel_xpath</v>
      </c>
      <c r="B231" s="5" t="s">
        <v>1842</v>
      </c>
      <c r="C231" s="33" t="str">
        <f>_xlfn.XLOOKUP(Table264[[#This Row],[XPATHS]],Table33[&lt;&lt;NOLA_Exchange&gt;&gt;
Booking],Table33[python script],"")</f>
        <v/>
      </c>
      <c r="D231" s="33" t="str">
        <f>_xlfn.XLOOKUP(Table264[[#This Row],[XPATHS]],Table33[&lt;&lt;NOLA_Exchange&gt;&gt;
Booking],Table33['#],"")</f>
        <v/>
      </c>
    </row>
    <row r="232" spans="1:4" x14ac:dyDescent="0.3">
      <c r="A232" s="33" t="str">
        <f t="shared" si="3"/>
        <v>231rel_xpath</v>
      </c>
      <c r="B232" s="5" t="s">
        <v>1815</v>
      </c>
      <c r="C232" s="33" t="str">
        <f>_xlfn.XLOOKUP(Table264[[#This Row],[XPATHS]],Table33[&lt;&lt;NOLA_Exchange&gt;&gt;
Booking],Table33[python script],"")</f>
        <v/>
      </c>
      <c r="D232" s="33" t="str">
        <f>_xlfn.XLOOKUP(Table264[[#This Row],[XPATHS]],Table33[&lt;&lt;NOLA_Exchange&gt;&gt;
Booking],Table33['#],"")</f>
        <v/>
      </c>
    </row>
    <row r="233" spans="1:4" x14ac:dyDescent="0.3">
      <c r="A233" s="33" t="str">
        <f t="shared" si="3"/>
        <v>232rel_xpath</v>
      </c>
      <c r="B233" s="5" t="s">
        <v>1478</v>
      </c>
      <c r="C233" s="33" t="str">
        <f>_xlfn.XLOOKUP(Table264[[#This Row],[XPATHS]],Table33[&lt;&lt;NOLA_Exchange&gt;&gt;
Booking],Table33[python script],"")</f>
        <v/>
      </c>
      <c r="D233" s="33" t="str">
        <f>_xlfn.XLOOKUP(Table264[[#This Row],[XPATHS]],Table33[&lt;&lt;NOLA_Exchange&gt;&gt;
Booking],Table33['#],"")</f>
        <v/>
      </c>
    </row>
    <row r="234" spans="1:4" x14ac:dyDescent="0.3">
      <c r="A234" s="33" t="str">
        <f t="shared" si="3"/>
        <v>233rel_xpath</v>
      </c>
      <c r="B234" s="5" t="s">
        <v>1500</v>
      </c>
      <c r="C234" s="33" t="str">
        <f>_xlfn.XLOOKUP(Table264[[#This Row],[XPATHS]],Table33[&lt;&lt;NOLA_Exchange&gt;&gt;
Booking],Table33[python script],"")</f>
        <v/>
      </c>
      <c r="D234" s="33" t="str">
        <f>_xlfn.XLOOKUP(Table264[[#This Row],[XPATHS]],Table33[&lt;&lt;NOLA_Exchange&gt;&gt;
Booking],Table33['#],"")</f>
        <v/>
      </c>
    </row>
    <row r="235" spans="1:4" x14ac:dyDescent="0.3">
      <c r="A235" s="33" t="str">
        <f t="shared" si="3"/>
        <v>234rel_xpath</v>
      </c>
      <c r="B235" s="5" t="s">
        <v>1862</v>
      </c>
      <c r="C235" s="33" t="str">
        <f>_xlfn.XLOOKUP(Table264[[#This Row],[XPATHS]],Table33[&lt;&lt;NOLA_Exchange&gt;&gt;
Booking],Table33[python script],"")</f>
        <v/>
      </c>
      <c r="D235" s="33" t="str">
        <f>_xlfn.XLOOKUP(Table264[[#This Row],[XPATHS]],Table33[&lt;&lt;NOLA_Exchange&gt;&gt;
Booking],Table33['#],"")</f>
        <v/>
      </c>
    </row>
    <row r="236" spans="1:4" x14ac:dyDescent="0.3">
      <c r="A236" s="33" t="str">
        <f t="shared" si="3"/>
        <v>235rel_xpath</v>
      </c>
      <c r="B236" s="5" t="s">
        <v>3213</v>
      </c>
      <c r="C236" s="33" t="str">
        <f>_xlfn.XLOOKUP(Table264[[#This Row],[XPATHS]],Table33[&lt;&lt;NOLA_Exchange&gt;&gt;
Booking],Table33[python script],"")</f>
        <v/>
      </c>
      <c r="D236" s="33" t="str">
        <f>_xlfn.XLOOKUP(Table264[[#This Row],[XPATHS]],Table33[&lt;&lt;NOLA_Exchange&gt;&gt;
Booking],Table33['#],"")</f>
        <v/>
      </c>
    </row>
    <row r="237" spans="1:4" x14ac:dyDescent="0.3">
      <c r="A237" s="33" t="str">
        <f t="shared" si="3"/>
        <v>236rel_xpath</v>
      </c>
      <c r="B237" s="5" t="s">
        <v>3214</v>
      </c>
      <c r="C237" s="33" t="str">
        <f>_xlfn.XLOOKUP(Table264[[#This Row],[XPATHS]],Table33[&lt;&lt;NOLA_Exchange&gt;&gt;
Booking],Table33[python script],"")</f>
        <v/>
      </c>
      <c r="D237" s="33" t="str">
        <f>_xlfn.XLOOKUP(Table264[[#This Row],[XPATHS]],Table33[&lt;&lt;NOLA_Exchange&gt;&gt;
Booking],Table33['#],"")</f>
        <v/>
      </c>
    </row>
    <row r="238" spans="1:4" x14ac:dyDescent="0.3">
      <c r="A238" s="33" t="str">
        <f t="shared" si="3"/>
        <v>237rel_xpath</v>
      </c>
      <c r="B238" s="5" t="s">
        <v>3215</v>
      </c>
      <c r="C238" s="33" t="str">
        <f>_xlfn.XLOOKUP(Table264[[#This Row],[XPATHS]],Table33[&lt;&lt;NOLA_Exchange&gt;&gt;
Booking],Table33[python script],"")</f>
        <v/>
      </c>
      <c r="D238" s="33" t="str">
        <f>_xlfn.XLOOKUP(Table264[[#This Row],[XPATHS]],Table33[&lt;&lt;NOLA_Exchange&gt;&gt;
Booking],Table33['#],"")</f>
        <v/>
      </c>
    </row>
    <row r="239" spans="1:4" x14ac:dyDescent="0.3">
      <c r="A239" s="33" t="str">
        <f t="shared" si="3"/>
        <v>238rel_xpath</v>
      </c>
      <c r="B239" s="5" t="s">
        <v>1596</v>
      </c>
      <c r="C239" s="33" t="str">
        <f>_xlfn.XLOOKUP(Table264[[#This Row],[XPATHS]],Table33[&lt;&lt;NOLA_Exchange&gt;&gt;
Booking],Table33[python script],"")</f>
        <v/>
      </c>
      <c r="D239" s="33" t="str">
        <f>_xlfn.XLOOKUP(Table264[[#This Row],[XPATHS]],Table33[&lt;&lt;NOLA_Exchange&gt;&gt;
Booking],Table33['#],"")</f>
        <v/>
      </c>
    </row>
    <row r="240" spans="1:4" x14ac:dyDescent="0.3">
      <c r="A240" s="33" t="str">
        <f t="shared" si="3"/>
        <v>239rel_xpath</v>
      </c>
      <c r="B240" s="5" t="s">
        <v>3216</v>
      </c>
      <c r="C240" s="33" t="str">
        <f>_xlfn.XLOOKUP(Table264[[#This Row],[XPATHS]],Table33[&lt;&lt;NOLA_Exchange&gt;&gt;
Booking],Table33[python script],"")</f>
        <v/>
      </c>
      <c r="D240" s="33" t="str">
        <f>_xlfn.XLOOKUP(Table264[[#This Row],[XPATHS]],Table33[&lt;&lt;NOLA_Exchange&gt;&gt;
Booking],Table33['#],"")</f>
        <v/>
      </c>
    </row>
    <row r="241" spans="1:4" x14ac:dyDescent="0.3">
      <c r="A241" s="33" t="str">
        <f t="shared" si="3"/>
        <v>240rel_xpath</v>
      </c>
      <c r="B241" s="5" t="s">
        <v>1742</v>
      </c>
      <c r="C241" s="33" t="str">
        <f>_xlfn.XLOOKUP(Table264[[#This Row],[XPATHS]],Table33[&lt;&lt;NOLA_Exchange&gt;&gt;
Booking],Table33[python script],"")</f>
        <v/>
      </c>
      <c r="D241" s="33" t="str">
        <f>_xlfn.XLOOKUP(Table264[[#This Row],[XPATHS]],Table33[&lt;&lt;NOLA_Exchange&gt;&gt;
Booking],Table33['#],"")</f>
        <v/>
      </c>
    </row>
    <row r="242" spans="1:4" x14ac:dyDescent="0.3">
      <c r="A242" s="33" t="str">
        <f t="shared" si="3"/>
        <v>241rel_xpath</v>
      </c>
      <c r="B242" s="5" t="s">
        <v>3217</v>
      </c>
      <c r="C242" s="33" t="str">
        <f>_xlfn.XLOOKUP(Table264[[#This Row],[XPATHS]],Table33[&lt;&lt;NOLA_Exchange&gt;&gt;
Booking],Table33[python script],"")</f>
        <v/>
      </c>
      <c r="D242" s="33" t="str">
        <f>_xlfn.XLOOKUP(Table264[[#This Row],[XPATHS]],Table33[&lt;&lt;NOLA_Exchange&gt;&gt;
Booking],Table33['#],"")</f>
        <v/>
      </c>
    </row>
    <row r="243" spans="1:4" x14ac:dyDescent="0.3">
      <c r="A243" s="33" t="str">
        <f t="shared" si="3"/>
        <v>242rel_xpath</v>
      </c>
      <c r="B243" s="5" t="s">
        <v>3218</v>
      </c>
      <c r="C243" s="33" t="str">
        <f>_xlfn.XLOOKUP(Table264[[#This Row],[XPATHS]],Table33[&lt;&lt;NOLA_Exchange&gt;&gt;
Booking],Table33[python script],"")</f>
        <v/>
      </c>
      <c r="D243" s="33" t="str">
        <f>_xlfn.XLOOKUP(Table264[[#This Row],[XPATHS]],Table33[&lt;&lt;NOLA_Exchange&gt;&gt;
Booking],Table33['#],"")</f>
        <v/>
      </c>
    </row>
    <row r="244" spans="1:4" x14ac:dyDescent="0.3">
      <c r="A244" s="33" t="str">
        <f t="shared" si="3"/>
        <v>243rel_xpath</v>
      </c>
      <c r="B244" s="5" t="s">
        <v>2945</v>
      </c>
      <c r="C244" s="33" t="str">
        <f>_xlfn.XLOOKUP(Table264[[#This Row],[XPATHS]],Table33[&lt;&lt;NOLA_Exchange&gt;&gt;
Booking],Table33[python script],"")</f>
        <v/>
      </c>
      <c r="D244" s="33" t="str">
        <f>_xlfn.XLOOKUP(Table264[[#This Row],[XPATHS]],Table33[&lt;&lt;NOLA_Exchange&gt;&gt;
Booking],Table33['#],"")</f>
        <v/>
      </c>
    </row>
    <row r="245" spans="1:4" x14ac:dyDescent="0.3">
      <c r="A245" s="33" t="str">
        <f t="shared" si="3"/>
        <v>244rel_xpath</v>
      </c>
      <c r="B245" s="5" t="s">
        <v>3219</v>
      </c>
      <c r="C245" s="33" t="str">
        <f>_xlfn.XLOOKUP(Table264[[#This Row],[XPATHS]],Table33[&lt;&lt;NOLA_Exchange&gt;&gt;
Booking],Table33[python script],"")</f>
        <v/>
      </c>
      <c r="D245" s="33" t="str">
        <f>_xlfn.XLOOKUP(Table264[[#This Row],[XPATHS]],Table33[&lt;&lt;NOLA_Exchange&gt;&gt;
Booking],Table33['#],"")</f>
        <v/>
      </c>
    </row>
    <row r="246" spans="1:4" x14ac:dyDescent="0.3">
      <c r="A246" s="33" t="str">
        <f t="shared" si="3"/>
        <v>245rel_xpath</v>
      </c>
      <c r="B246" s="5" t="s">
        <v>3030</v>
      </c>
      <c r="C246" s="33" t="str">
        <f>_xlfn.XLOOKUP(Table264[[#This Row],[XPATHS]],Table33[&lt;&lt;NOLA_Exchange&gt;&gt;
Booking],Table33[python script],"")</f>
        <v/>
      </c>
      <c r="D246" s="33" t="str">
        <f>_xlfn.XLOOKUP(Table264[[#This Row],[XPATHS]],Table33[&lt;&lt;NOLA_Exchange&gt;&gt;
Booking],Table33['#],"")</f>
        <v/>
      </c>
    </row>
    <row r="247" spans="1:4" x14ac:dyDescent="0.3">
      <c r="A247" s="33" t="str">
        <f t="shared" si="3"/>
        <v>246rel_xpath</v>
      </c>
      <c r="B247" s="5" t="s">
        <v>3220</v>
      </c>
      <c r="C247" s="33" t="str">
        <f>_xlfn.XLOOKUP(Table264[[#This Row],[XPATHS]],Table33[&lt;&lt;NOLA_Exchange&gt;&gt;
Booking],Table33[python script],"")</f>
        <v/>
      </c>
      <c r="D247" s="33" t="str">
        <f>_xlfn.XLOOKUP(Table264[[#This Row],[XPATHS]],Table33[&lt;&lt;NOLA_Exchange&gt;&gt;
Booking],Table33['#],"")</f>
        <v/>
      </c>
    </row>
    <row r="248" spans="1:4" x14ac:dyDescent="0.3">
      <c r="A248" s="33" t="str">
        <f t="shared" si="3"/>
        <v>247rel_xpath</v>
      </c>
      <c r="B248" s="5" t="s">
        <v>3221</v>
      </c>
      <c r="C248" s="33" t="str">
        <f>_xlfn.XLOOKUP(Table264[[#This Row],[XPATHS]],Table33[&lt;&lt;NOLA_Exchange&gt;&gt;
Booking],Table33[python script],"")</f>
        <v/>
      </c>
      <c r="D248" s="33" t="str">
        <f>_xlfn.XLOOKUP(Table264[[#This Row],[XPATHS]],Table33[&lt;&lt;NOLA_Exchange&gt;&gt;
Booking],Table33['#],"")</f>
        <v/>
      </c>
    </row>
    <row r="249" spans="1:4" x14ac:dyDescent="0.3">
      <c r="A249" s="33" t="str">
        <f t="shared" si="3"/>
        <v>248rel_xpath</v>
      </c>
      <c r="B249" s="5" t="s">
        <v>3003</v>
      </c>
      <c r="C249" s="33" t="str">
        <f>_xlfn.XLOOKUP(Table264[[#This Row],[XPATHS]],Table33[&lt;&lt;NOLA_Exchange&gt;&gt;
Booking],Table33[python script],"")</f>
        <v/>
      </c>
      <c r="D249" s="33" t="str">
        <f>_xlfn.XLOOKUP(Table264[[#This Row],[XPATHS]],Table33[&lt;&lt;NOLA_Exchange&gt;&gt;
Booking],Table33['#],"")</f>
        <v/>
      </c>
    </row>
    <row r="250" spans="1:4" x14ac:dyDescent="0.3">
      <c r="A250" s="33" t="str">
        <f t="shared" si="3"/>
        <v>249rel_xpath</v>
      </c>
      <c r="B250" s="5" t="s">
        <v>3222</v>
      </c>
      <c r="C250" s="33" t="str">
        <f>_xlfn.XLOOKUP(Table264[[#This Row],[XPATHS]],Table33[&lt;&lt;NOLA_Exchange&gt;&gt;
Booking],Table33[python script],"")</f>
        <v/>
      </c>
      <c r="D250" s="33" t="str">
        <f>_xlfn.XLOOKUP(Table264[[#This Row],[XPATHS]],Table33[&lt;&lt;NOLA_Exchange&gt;&gt;
Booking],Table33['#],"")</f>
        <v/>
      </c>
    </row>
    <row r="251" spans="1:4" x14ac:dyDescent="0.3">
      <c r="A251" s="33" t="str">
        <f t="shared" si="3"/>
        <v>250rel_xpath</v>
      </c>
      <c r="B251" s="5" t="s">
        <v>1843</v>
      </c>
      <c r="C251" s="33" t="str">
        <f>_xlfn.XLOOKUP(Table264[[#This Row],[XPATHS]],Table33[&lt;&lt;NOLA_Exchange&gt;&gt;
Booking],Table33[python script],"")</f>
        <v/>
      </c>
      <c r="D251" s="33" t="str">
        <f>_xlfn.XLOOKUP(Table264[[#This Row],[XPATHS]],Table33[&lt;&lt;NOLA_Exchange&gt;&gt;
Booking],Table33['#],"")</f>
        <v/>
      </c>
    </row>
    <row r="252" spans="1:4" x14ac:dyDescent="0.3">
      <c r="A252" s="33" t="str">
        <f t="shared" si="3"/>
        <v>251rel_xpath</v>
      </c>
      <c r="B252" s="5" t="s">
        <v>1816</v>
      </c>
      <c r="C252" s="33" t="str">
        <f>_xlfn.XLOOKUP(Table264[[#This Row],[XPATHS]],Table33[&lt;&lt;NOLA_Exchange&gt;&gt;
Booking],Table33[python script],"")</f>
        <v/>
      </c>
      <c r="D252" s="33" t="str">
        <f>_xlfn.XLOOKUP(Table264[[#This Row],[XPATHS]],Table33[&lt;&lt;NOLA_Exchange&gt;&gt;
Booking],Table33['#],"")</f>
        <v/>
      </c>
    </row>
    <row r="253" spans="1:4" x14ac:dyDescent="0.3">
      <c r="A253" s="33" t="str">
        <f t="shared" si="3"/>
        <v>252rel_xpath</v>
      </c>
      <c r="B253" s="5" t="s">
        <v>1479</v>
      </c>
      <c r="C253" s="33" t="str">
        <f>_xlfn.XLOOKUP(Table264[[#This Row],[XPATHS]],Table33[&lt;&lt;NOLA_Exchange&gt;&gt;
Booking],Table33[python script],"")</f>
        <v/>
      </c>
      <c r="D253" s="33" t="str">
        <f>_xlfn.XLOOKUP(Table264[[#This Row],[XPATHS]],Table33[&lt;&lt;NOLA_Exchange&gt;&gt;
Booking],Table33['#],"")</f>
        <v/>
      </c>
    </row>
    <row r="254" spans="1:4" x14ac:dyDescent="0.3">
      <c r="A254" s="33" t="str">
        <f t="shared" si="3"/>
        <v>253rel_xpath</v>
      </c>
      <c r="B254" s="5" t="s">
        <v>1504</v>
      </c>
      <c r="C254" s="33" t="str">
        <f>_xlfn.XLOOKUP(Table264[[#This Row],[XPATHS]],Table33[&lt;&lt;NOLA_Exchange&gt;&gt;
Booking],Table33[python script],"")</f>
        <v/>
      </c>
      <c r="D254" s="33" t="str">
        <f>_xlfn.XLOOKUP(Table264[[#This Row],[XPATHS]],Table33[&lt;&lt;NOLA_Exchange&gt;&gt;
Booking],Table33['#],"")</f>
        <v/>
      </c>
    </row>
    <row r="255" spans="1:4" x14ac:dyDescent="0.3">
      <c r="A255" s="33" t="str">
        <f t="shared" si="3"/>
        <v>254rel_xpath</v>
      </c>
      <c r="B255" s="5" t="s">
        <v>1865</v>
      </c>
      <c r="C255" s="33" t="str">
        <f>_xlfn.XLOOKUP(Table264[[#This Row],[XPATHS]],Table33[&lt;&lt;NOLA_Exchange&gt;&gt;
Booking],Table33[python script],"")</f>
        <v/>
      </c>
      <c r="D255" s="33" t="str">
        <f>_xlfn.XLOOKUP(Table264[[#This Row],[XPATHS]],Table33[&lt;&lt;NOLA_Exchange&gt;&gt;
Booking],Table33['#],"")</f>
        <v/>
      </c>
    </row>
    <row r="256" spans="1:4" x14ac:dyDescent="0.3">
      <c r="A256" s="33" t="str">
        <f t="shared" si="3"/>
        <v>255rel_xpath</v>
      </c>
      <c r="B256" s="5" t="s">
        <v>3223</v>
      </c>
      <c r="C256" s="33" t="str">
        <f>_xlfn.XLOOKUP(Table264[[#This Row],[XPATHS]],Table33[&lt;&lt;NOLA_Exchange&gt;&gt;
Booking],Table33[python script],"")</f>
        <v/>
      </c>
      <c r="D256" s="33" t="str">
        <f>_xlfn.XLOOKUP(Table264[[#This Row],[XPATHS]],Table33[&lt;&lt;NOLA_Exchange&gt;&gt;
Booking],Table33['#],"")</f>
        <v/>
      </c>
    </row>
    <row r="257" spans="1:4" x14ac:dyDescent="0.3">
      <c r="A257" s="33" t="str">
        <f t="shared" si="3"/>
        <v>256rel_xpath</v>
      </c>
      <c r="B257" s="5" t="s">
        <v>1743</v>
      </c>
      <c r="C257" s="33" t="str">
        <f>_xlfn.XLOOKUP(Table264[[#This Row],[XPATHS]],Table33[&lt;&lt;NOLA_Exchange&gt;&gt;
Booking],Table33[python script],"")</f>
        <v/>
      </c>
      <c r="D257" s="33" t="str">
        <f>_xlfn.XLOOKUP(Table264[[#This Row],[XPATHS]],Table33[&lt;&lt;NOLA_Exchange&gt;&gt;
Booking],Table33['#],"")</f>
        <v/>
      </c>
    </row>
    <row r="258" spans="1:4" x14ac:dyDescent="0.3">
      <c r="A258" s="33" t="str">
        <f t="shared" ref="A258:A321" si="4">ROW(A257)&amp;"rel_xpath"</f>
        <v>257rel_xpath</v>
      </c>
      <c r="B258" s="5" t="s">
        <v>3224</v>
      </c>
      <c r="C258" s="33" t="str">
        <f>_xlfn.XLOOKUP(Table264[[#This Row],[XPATHS]],Table33[&lt;&lt;NOLA_Exchange&gt;&gt;
Booking],Table33[python script],"")</f>
        <v/>
      </c>
      <c r="D258" s="33" t="str">
        <f>_xlfn.XLOOKUP(Table264[[#This Row],[XPATHS]],Table33[&lt;&lt;NOLA_Exchange&gt;&gt;
Booking],Table33['#],"")</f>
        <v/>
      </c>
    </row>
    <row r="259" spans="1:4" x14ac:dyDescent="0.3">
      <c r="A259" s="33" t="str">
        <f t="shared" si="4"/>
        <v>258rel_xpath</v>
      </c>
      <c r="B259" s="5" t="s">
        <v>3225</v>
      </c>
      <c r="C259" s="33" t="str">
        <f>_xlfn.XLOOKUP(Table264[[#This Row],[XPATHS]],Table33[&lt;&lt;NOLA_Exchange&gt;&gt;
Booking],Table33[python script],"")</f>
        <v/>
      </c>
      <c r="D259" s="33" t="str">
        <f>_xlfn.XLOOKUP(Table264[[#This Row],[XPATHS]],Table33[&lt;&lt;NOLA_Exchange&gt;&gt;
Booking],Table33['#],"")</f>
        <v/>
      </c>
    </row>
    <row r="260" spans="1:4" x14ac:dyDescent="0.3">
      <c r="A260" s="33" t="str">
        <f t="shared" si="4"/>
        <v>259rel_xpath</v>
      </c>
      <c r="B260" s="5" t="s">
        <v>2946</v>
      </c>
      <c r="C260" s="33" t="str">
        <f>_xlfn.XLOOKUP(Table264[[#This Row],[XPATHS]],Table33[&lt;&lt;NOLA_Exchange&gt;&gt;
Booking],Table33[python script],"")</f>
        <v/>
      </c>
      <c r="D260" s="33" t="str">
        <f>_xlfn.XLOOKUP(Table264[[#This Row],[XPATHS]],Table33[&lt;&lt;NOLA_Exchange&gt;&gt;
Booking],Table33['#],"")</f>
        <v/>
      </c>
    </row>
    <row r="261" spans="1:4" x14ac:dyDescent="0.3">
      <c r="A261" s="33" t="str">
        <f t="shared" si="4"/>
        <v>260rel_xpath</v>
      </c>
      <c r="B261" s="5" t="s">
        <v>3226</v>
      </c>
      <c r="C261" s="33" t="str">
        <f>_xlfn.XLOOKUP(Table264[[#This Row],[XPATHS]],Table33[&lt;&lt;NOLA_Exchange&gt;&gt;
Booking],Table33[python script],"")</f>
        <v/>
      </c>
      <c r="D261" s="33" t="str">
        <f>_xlfn.XLOOKUP(Table264[[#This Row],[XPATHS]],Table33[&lt;&lt;NOLA_Exchange&gt;&gt;
Booking],Table33['#],"")</f>
        <v/>
      </c>
    </row>
    <row r="262" spans="1:4" x14ac:dyDescent="0.3">
      <c r="A262" s="33" t="str">
        <f t="shared" si="4"/>
        <v>261rel_xpath</v>
      </c>
      <c r="B262" s="5" t="s">
        <v>3031</v>
      </c>
      <c r="C262" s="33" t="str">
        <f>_xlfn.XLOOKUP(Table264[[#This Row],[XPATHS]],Table33[&lt;&lt;NOLA_Exchange&gt;&gt;
Booking],Table33[python script],"")</f>
        <v/>
      </c>
      <c r="D262" s="33" t="str">
        <f>_xlfn.XLOOKUP(Table264[[#This Row],[XPATHS]],Table33[&lt;&lt;NOLA_Exchange&gt;&gt;
Booking],Table33['#],"")</f>
        <v/>
      </c>
    </row>
    <row r="263" spans="1:4" x14ac:dyDescent="0.3">
      <c r="A263" s="33" t="str">
        <f t="shared" si="4"/>
        <v>262rel_xpath</v>
      </c>
      <c r="B263" s="5" t="s">
        <v>3227</v>
      </c>
      <c r="C263" s="33" t="str">
        <f>_xlfn.XLOOKUP(Table264[[#This Row],[XPATHS]],Table33[&lt;&lt;NOLA_Exchange&gt;&gt;
Booking],Table33[python script],"")</f>
        <v/>
      </c>
      <c r="D263" s="33" t="str">
        <f>_xlfn.XLOOKUP(Table264[[#This Row],[XPATHS]],Table33[&lt;&lt;NOLA_Exchange&gt;&gt;
Booking],Table33['#],"")</f>
        <v/>
      </c>
    </row>
    <row r="264" spans="1:4" x14ac:dyDescent="0.3">
      <c r="A264" s="33" t="str">
        <f t="shared" si="4"/>
        <v>263rel_xpath</v>
      </c>
      <c r="B264" s="5" t="s">
        <v>3228</v>
      </c>
      <c r="C264" s="33" t="str">
        <f>_xlfn.XLOOKUP(Table264[[#This Row],[XPATHS]],Table33[&lt;&lt;NOLA_Exchange&gt;&gt;
Booking],Table33[python script],"")</f>
        <v/>
      </c>
      <c r="D264" s="33" t="str">
        <f>_xlfn.XLOOKUP(Table264[[#This Row],[XPATHS]],Table33[&lt;&lt;NOLA_Exchange&gt;&gt;
Booking],Table33['#],"")</f>
        <v/>
      </c>
    </row>
    <row r="265" spans="1:4" x14ac:dyDescent="0.3">
      <c r="A265" s="33" t="str">
        <f t="shared" si="4"/>
        <v>264rel_xpath</v>
      </c>
      <c r="B265" s="5" t="s">
        <v>3004</v>
      </c>
      <c r="C265" s="33" t="str">
        <f>_xlfn.XLOOKUP(Table264[[#This Row],[XPATHS]],Table33[&lt;&lt;NOLA_Exchange&gt;&gt;
Booking],Table33[python script],"")</f>
        <v/>
      </c>
      <c r="D265" s="33" t="str">
        <f>_xlfn.XLOOKUP(Table264[[#This Row],[XPATHS]],Table33[&lt;&lt;NOLA_Exchange&gt;&gt;
Booking],Table33['#],"")</f>
        <v/>
      </c>
    </row>
    <row r="266" spans="1:4" x14ac:dyDescent="0.3">
      <c r="A266" s="33" t="str">
        <f t="shared" si="4"/>
        <v>265rel_xpath</v>
      </c>
      <c r="B266" s="5" t="s">
        <v>3229</v>
      </c>
      <c r="C266" s="33" t="str">
        <f>_xlfn.XLOOKUP(Table264[[#This Row],[XPATHS]],Table33[&lt;&lt;NOLA_Exchange&gt;&gt;
Booking],Table33[python script],"")</f>
        <v/>
      </c>
      <c r="D266" s="33" t="str">
        <f>_xlfn.XLOOKUP(Table264[[#This Row],[XPATHS]],Table33[&lt;&lt;NOLA_Exchange&gt;&gt;
Booking],Table33['#],"")</f>
        <v/>
      </c>
    </row>
    <row r="267" spans="1:4" x14ac:dyDescent="0.3">
      <c r="A267" s="33" t="str">
        <f t="shared" si="4"/>
        <v>266rel_xpath</v>
      </c>
      <c r="B267" s="5" t="s">
        <v>1844</v>
      </c>
      <c r="C267" s="33" t="str">
        <f>_xlfn.XLOOKUP(Table264[[#This Row],[XPATHS]],Table33[&lt;&lt;NOLA_Exchange&gt;&gt;
Booking],Table33[python script],"")</f>
        <v/>
      </c>
      <c r="D267" s="33" t="str">
        <f>_xlfn.XLOOKUP(Table264[[#This Row],[XPATHS]],Table33[&lt;&lt;NOLA_Exchange&gt;&gt;
Booking],Table33['#],"")</f>
        <v/>
      </c>
    </row>
    <row r="268" spans="1:4" x14ac:dyDescent="0.3">
      <c r="A268" s="33" t="str">
        <f t="shared" si="4"/>
        <v>267rel_xpath</v>
      </c>
      <c r="B268" s="5" t="s">
        <v>1817</v>
      </c>
      <c r="C268" s="33" t="str">
        <f>_xlfn.XLOOKUP(Table264[[#This Row],[XPATHS]],Table33[&lt;&lt;NOLA_Exchange&gt;&gt;
Booking],Table33[python script],"")</f>
        <v/>
      </c>
      <c r="D268" s="33" t="str">
        <f>_xlfn.XLOOKUP(Table264[[#This Row],[XPATHS]],Table33[&lt;&lt;NOLA_Exchange&gt;&gt;
Booking],Table33['#],"")</f>
        <v/>
      </c>
    </row>
    <row r="269" spans="1:4" x14ac:dyDescent="0.3">
      <c r="A269" s="33" t="str">
        <f t="shared" si="4"/>
        <v>268rel_xpath</v>
      </c>
      <c r="B269" s="5" t="s">
        <v>1480</v>
      </c>
      <c r="C269" s="33" t="str">
        <f>_xlfn.XLOOKUP(Table264[[#This Row],[XPATHS]],Table33[&lt;&lt;NOLA_Exchange&gt;&gt;
Booking],Table33[python script],"")</f>
        <v/>
      </c>
      <c r="D269" s="33" t="str">
        <f>_xlfn.XLOOKUP(Table264[[#This Row],[XPATHS]],Table33[&lt;&lt;NOLA_Exchange&gt;&gt;
Booking],Table33['#],"")</f>
        <v/>
      </c>
    </row>
    <row r="270" spans="1:4" x14ac:dyDescent="0.3">
      <c r="A270" s="33" t="str">
        <f t="shared" si="4"/>
        <v>269rel_xpath</v>
      </c>
      <c r="B270" s="5" t="s">
        <v>1505</v>
      </c>
      <c r="C270" s="33" t="str">
        <f>_xlfn.XLOOKUP(Table264[[#This Row],[XPATHS]],Table33[&lt;&lt;NOLA_Exchange&gt;&gt;
Booking],Table33[python script],"")</f>
        <v/>
      </c>
      <c r="D270" s="33" t="str">
        <f>_xlfn.XLOOKUP(Table264[[#This Row],[XPATHS]],Table33[&lt;&lt;NOLA_Exchange&gt;&gt;
Booking],Table33['#],"")</f>
        <v/>
      </c>
    </row>
    <row r="271" spans="1:4" x14ac:dyDescent="0.3">
      <c r="A271" s="33" t="str">
        <f t="shared" si="4"/>
        <v>270rel_xpath</v>
      </c>
      <c r="B271" s="5" t="s">
        <v>1866</v>
      </c>
      <c r="C271" s="33" t="str">
        <f>_xlfn.XLOOKUP(Table264[[#This Row],[XPATHS]],Table33[&lt;&lt;NOLA_Exchange&gt;&gt;
Booking],Table33[python script],"")</f>
        <v/>
      </c>
      <c r="D271" s="33" t="str">
        <f>_xlfn.XLOOKUP(Table264[[#This Row],[XPATHS]],Table33[&lt;&lt;NOLA_Exchange&gt;&gt;
Booking],Table33['#],"")</f>
        <v/>
      </c>
    </row>
    <row r="272" spans="1:4" x14ac:dyDescent="0.3">
      <c r="A272" s="33" t="str">
        <f t="shared" si="4"/>
        <v>271rel_xpath</v>
      </c>
      <c r="B272" s="5" t="s">
        <v>3230</v>
      </c>
      <c r="C272" s="33" t="str">
        <f>_xlfn.XLOOKUP(Table264[[#This Row],[XPATHS]],Table33[&lt;&lt;NOLA_Exchange&gt;&gt;
Booking],Table33[python script],"")</f>
        <v/>
      </c>
      <c r="D272" s="33" t="str">
        <f>_xlfn.XLOOKUP(Table264[[#This Row],[XPATHS]],Table33[&lt;&lt;NOLA_Exchange&gt;&gt;
Booking],Table33['#],"")</f>
        <v/>
      </c>
    </row>
    <row r="273" spans="1:4" x14ac:dyDescent="0.3">
      <c r="A273" s="33" t="str">
        <f t="shared" si="4"/>
        <v>272rel_xpath</v>
      </c>
      <c r="B273" s="5" t="s">
        <v>1744</v>
      </c>
      <c r="C273" s="33" t="str">
        <f>_xlfn.XLOOKUP(Table264[[#This Row],[XPATHS]],Table33[&lt;&lt;NOLA_Exchange&gt;&gt;
Booking],Table33[python script],"")</f>
        <v/>
      </c>
      <c r="D273" s="33" t="str">
        <f>_xlfn.XLOOKUP(Table264[[#This Row],[XPATHS]],Table33[&lt;&lt;NOLA_Exchange&gt;&gt;
Booking],Table33['#],"")</f>
        <v/>
      </c>
    </row>
    <row r="274" spans="1:4" x14ac:dyDescent="0.3">
      <c r="A274" s="33" t="str">
        <f t="shared" si="4"/>
        <v>273rel_xpath</v>
      </c>
      <c r="B274" s="5" t="s">
        <v>3231</v>
      </c>
      <c r="C274" s="33" t="str">
        <f>_xlfn.XLOOKUP(Table264[[#This Row],[XPATHS]],Table33[&lt;&lt;NOLA_Exchange&gt;&gt;
Booking],Table33[python script],"")</f>
        <v/>
      </c>
      <c r="D274" s="33" t="str">
        <f>_xlfn.XLOOKUP(Table264[[#This Row],[XPATHS]],Table33[&lt;&lt;NOLA_Exchange&gt;&gt;
Booking],Table33['#],"")</f>
        <v/>
      </c>
    </row>
    <row r="275" spans="1:4" x14ac:dyDescent="0.3">
      <c r="A275" s="33" t="str">
        <f t="shared" si="4"/>
        <v>274rel_xpath</v>
      </c>
      <c r="B275" s="5" t="s">
        <v>3232</v>
      </c>
      <c r="C275" s="33" t="str">
        <f>_xlfn.XLOOKUP(Table264[[#This Row],[XPATHS]],Table33[&lt;&lt;NOLA_Exchange&gt;&gt;
Booking],Table33[python script],"")</f>
        <v/>
      </c>
      <c r="D275" s="33" t="str">
        <f>_xlfn.XLOOKUP(Table264[[#This Row],[XPATHS]],Table33[&lt;&lt;NOLA_Exchange&gt;&gt;
Booking],Table33['#],"")</f>
        <v/>
      </c>
    </row>
    <row r="276" spans="1:4" x14ac:dyDescent="0.3">
      <c r="A276" s="33" t="str">
        <f t="shared" si="4"/>
        <v>275rel_xpath</v>
      </c>
      <c r="B276" s="5" t="s">
        <v>2947</v>
      </c>
      <c r="C276" s="33" t="str">
        <f>_xlfn.XLOOKUP(Table264[[#This Row],[XPATHS]],Table33[&lt;&lt;NOLA_Exchange&gt;&gt;
Booking],Table33[python script],"")</f>
        <v/>
      </c>
      <c r="D276" s="33" t="str">
        <f>_xlfn.XLOOKUP(Table264[[#This Row],[XPATHS]],Table33[&lt;&lt;NOLA_Exchange&gt;&gt;
Booking],Table33['#],"")</f>
        <v/>
      </c>
    </row>
    <row r="277" spans="1:4" x14ac:dyDescent="0.3">
      <c r="A277" s="33" t="str">
        <f t="shared" si="4"/>
        <v>276rel_xpath</v>
      </c>
      <c r="B277" s="5" t="s">
        <v>3233</v>
      </c>
      <c r="C277" s="33" t="str">
        <f>_xlfn.XLOOKUP(Table264[[#This Row],[XPATHS]],Table33[&lt;&lt;NOLA_Exchange&gt;&gt;
Booking],Table33[python script],"")</f>
        <v/>
      </c>
      <c r="D277" s="33" t="str">
        <f>_xlfn.XLOOKUP(Table264[[#This Row],[XPATHS]],Table33[&lt;&lt;NOLA_Exchange&gt;&gt;
Booking],Table33['#],"")</f>
        <v/>
      </c>
    </row>
    <row r="278" spans="1:4" x14ac:dyDescent="0.3">
      <c r="A278" s="33" t="str">
        <f t="shared" si="4"/>
        <v>277rel_xpath</v>
      </c>
      <c r="B278" s="5" t="s">
        <v>3032</v>
      </c>
      <c r="C278" s="33" t="str">
        <f>_xlfn.XLOOKUP(Table264[[#This Row],[XPATHS]],Table33[&lt;&lt;NOLA_Exchange&gt;&gt;
Booking],Table33[python script],"")</f>
        <v/>
      </c>
      <c r="D278" s="33" t="str">
        <f>_xlfn.XLOOKUP(Table264[[#This Row],[XPATHS]],Table33[&lt;&lt;NOLA_Exchange&gt;&gt;
Booking],Table33['#],"")</f>
        <v/>
      </c>
    </row>
    <row r="279" spans="1:4" x14ac:dyDescent="0.3">
      <c r="A279" s="33" t="str">
        <f t="shared" si="4"/>
        <v>278rel_xpath</v>
      </c>
      <c r="B279" s="5" t="s">
        <v>3234</v>
      </c>
      <c r="C279" s="33" t="str">
        <f>_xlfn.XLOOKUP(Table264[[#This Row],[XPATHS]],Table33[&lt;&lt;NOLA_Exchange&gt;&gt;
Booking],Table33[python script],"")</f>
        <v/>
      </c>
      <c r="D279" s="33" t="str">
        <f>_xlfn.XLOOKUP(Table264[[#This Row],[XPATHS]],Table33[&lt;&lt;NOLA_Exchange&gt;&gt;
Booking],Table33['#],"")</f>
        <v/>
      </c>
    </row>
    <row r="280" spans="1:4" x14ac:dyDescent="0.3">
      <c r="A280" s="33" t="str">
        <f t="shared" si="4"/>
        <v>279rel_xpath</v>
      </c>
      <c r="B280" s="5" t="s">
        <v>3235</v>
      </c>
      <c r="C280" s="33" t="str">
        <f>_xlfn.XLOOKUP(Table264[[#This Row],[XPATHS]],Table33[&lt;&lt;NOLA_Exchange&gt;&gt;
Booking],Table33[python script],"")</f>
        <v/>
      </c>
      <c r="D280" s="33" t="str">
        <f>_xlfn.XLOOKUP(Table264[[#This Row],[XPATHS]],Table33[&lt;&lt;NOLA_Exchange&gt;&gt;
Booking],Table33['#],"")</f>
        <v/>
      </c>
    </row>
    <row r="281" spans="1:4" x14ac:dyDescent="0.3">
      <c r="A281" s="33" t="str">
        <f t="shared" si="4"/>
        <v>280rel_xpath</v>
      </c>
      <c r="B281" s="5" t="s">
        <v>3005</v>
      </c>
      <c r="C281" s="33" t="str">
        <f>_xlfn.XLOOKUP(Table264[[#This Row],[XPATHS]],Table33[&lt;&lt;NOLA_Exchange&gt;&gt;
Booking],Table33[python script],"")</f>
        <v/>
      </c>
      <c r="D281" s="33" t="str">
        <f>_xlfn.XLOOKUP(Table264[[#This Row],[XPATHS]],Table33[&lt;&lt;NOLA_Exchange&gt;&gt;
Booking],Table33['#],"")</f>
        <v/>
      </c>
    </row>
    <row r="282" spans="1:4" x14ac:dyDescent="0.3">
      <c r="A282" s="33" t="str">
        <f t="shared" si="4"/>
        <v>281rel_xpath</v>
      </c>
      <c r="B282" s="5" t="s">
        <v>3236</v>
      </c>
      <c r="C282" s="33" t="str">
        <f>_xlfn.XLOOKUP(Table264[[#This Row],[XPATHS]],Table33[&lt;&lt;NOLA_Exchange&gt;&gt;
Booking],Table33[python script],"")</f>
        <v/>
      </c>
      <c r="D282" s="33" t="str">
        <f>_xlfn.XLOOKUP(Table264[[#This Row],[XPATHS]],Table33[&lt;&lt;NOLA_Exchange&gt;&gt;
Booking],Table33['#],"")</f>
        <v/>
      </c>
    </row>
    <row r="283" spans="1:4" x14ac:dyDescent="0.3">
      <c r="A283" s="33" t="str">
        <f t="shared" si="4"/>
        <v>282rel_xpath</v>
      </c>
      <c r="B283" s="5" t="s">
        <v>1845</v>
      </c>
      <c r="C283" s="33" t="str">
        <f>_xlfn.XLOOKUP(Table264[[#This Row],[XPATHS]],Table33[&lt;&lt;NOLA_Exchange&gt;&gt;
Booking],Table33[python script],"")</f>
        <v/>
      </c>
      <c r="D283" s="33" t="str">
        <f>_xlfn.XLOOKUP(Table264[[#This Row],[XPATHS]],Table33[&lt;&lt;NOLA_Exchange&gt;&gt;
Booking],Table33['#],"")</f>
        <v/>
      </c>
    </row>
    <row r="284" spans="1:4" x14ac:dyDescent="0.3">
      <c r="A284" s="33" t="str">
        <f t="shared" si="4"/>
        <v>283rel_xpath</v>
      </c>
      <c r="B284" s="5" t="s">
        <v>1818</v>
      </c>
      <c r="C284" s="33" t="str">
        <f>_xlfn.XLOOKUP(Table264[[#This Row],[XPATHS]],Table33[&lt;&lt;NOLA_Exchange&gt;&gt;
Booking],Table33[python script],"")</f>
        <v/>
      </c>
      <c r="D284" s="33" t="str">
        <f>_xlfn.XLOOKUP(Table264[[#This Row],[XPATHS]],Table33[&lt;&lt;NOLA_Exchange&gt;&gt;
Booking],Table33['#],"")</f>
        <v/>
      </c>
    </row>
    <row r="285" spans="1:4" x14ac:dyDescent="0.3">
      <c r="A285" s="33" t="str">
        <f t="shared" si="4"/>
        <v>284rel_xpath</v>
      </c>
      <c r="B285" s="5" t="s">
        <v>1481</v>
      </c>
      <c r="C285" s="33" t="str">
        <f>_xlfn.XLOOKUP(Table264[[#This Row],[XPATHS]],Table33[&lt;&lt;NOLA_Exchange&gt;&gt;
Booking],Table33[python script],"")</f>
        <v/>
      </c>
      <c r="D285" s="33" t="str">
        <f>_xlfn.XLOOKUP(Table264[[#This Row],[XPATHS]],Table33[&lt;&lt;NOLA_Exchange&gt;&gt;
Booking],Table33['#],"")</f>
        <v/>
      </c>
    </row>
    <row r="286" spans="1:4" x14ac:dyDescent="0.3">
      <c r="A286" s="33" t="str">
        <f t="shared" si="4"/>
        <v>285rel_xpath</v>
      </c>
      <c r="B286" s="5" t="s">
        <v>1506</v>
      </c>
      <c r="C286" s="33" t="str">
        <f>_xlfn.XLOOKUP(Table264[[#This Row],[XPATHS]],Table33[&lt;&lt;NOLA_Exchange&gt;&gt;
Booking],Table33[python script],"")</f>
        <v/>
      </c>
      <c r="D286" s="33" t="str">
        <f>_xlfn.XLOOKUP(Table264[[#This Row],[XPATHS]],Table33[&lt;&lt;NOLA_Exchange&gt;&gt;
Booking],Table33['#],"")</f>
        <v/>
      </c>
    </row>
    <row r="287" spans="1:4" x14ac:dyDescent="0.3">
      <c r="A287" s="33" t="str">
        <f t="shared" si="4"/>
        <v>286rel_xpath</v>
      </c>
      <c r="B287" s="5" t="s">
        <v>1867</v>
      </c>
      <c r="C287" s="33" t="str">
        <f>_xlfn.XLOOKUP(Table264[[#This Row],[XPATHS]],Table33[&lt;&lt;NOLA_Exchange&gt;&gt;
Booking],Table33[python script],"")</f>
        <v/>
      </c>
      <c r="D287" s="33" t="str">
        <f>_xlfn.XLOOKUP(Table264[[#This Row],[XPATHS]],Table33[&lt;&lt;NOLA_Exchange&gt;&gt;
Booking],Table33['#],"")</f>
        <v/>
      </c>
    </row>
    <row r="288" spans="1:4" x14ac:dyDescent="0.3">
      <c r="A288" s="33" t="str">
        <f t="shared" si="4"/>
        <v>287rel_xpath</v>
      </c>
      <c r="B288" s="5" t="s">
        <v>3237</v>
      </c>
      <c r="C288" s="33" t="str">
        <f>_xlfn.XLOOKUP(Table264[[#This Row],[XPATHS]],Table33[&lt;&lt;NOLA_Exchange&gt;&gt;
Booking],Table33[python script],"")</f>
        <v/>
      </c>
      <c r="D288" s="33" t="str">
        <f>_xlfn.XLOOKUP(Table264[[#This Row],[XPATHS]],Table33[&lt;&lt;NOLA_Exchange&gt;&gt;
Booking],Table33['#],"")</f>
        <v/>
      </c>
    </row>
    <row r="289" spans="1:4" x14ac:dyDescent="0.3">
      <c r="A289" s="33" t="str">
        <f t="shared" si="4"/>
        <v>288rel_xpath</v>
      </c>
      <c r="B289" s="5" t="s">
        <v>1745</v>
      </c>
      <c r="C289" s="33" t="str">
        <f>_xlfn.XLOOKUP(Table264[[#This Row],[XPATHS]],Table33[&lt;&lt;NOLA_Exchange&gt;&gt;
Booking],Table33[python script],"")</f>
        <v/>
      </c>
      <c r="D289" s="33" t="str">
        <f>_xlfn.XLOOKUP(Table264[[#This Row],[XPATHS]],Table33[&lt;&lt;NOLA_Exchange&gt;&gt;
Booking],Table33['#],"")</f>
        <v/>
      </c>
    </row>
    <row r="290" spans="1:4" x14ac:dyDescent="0.3">
      <c r="A290" s="33" t="str">
        <f t="shared" si="4"/>
        <v>289rel_xpath</v>
      </c>
      <c r="B290" s="5" t="s">
        <v>3238</v>
      </c>
      <c r="C290" s="33" t="str">
        <f>_xlfn.XLOOKUP(Table264[[#This Row],[XPATHS]],Table33[&lt;&lt;NOLA_Exchange&gt;&gt;
Booking],Table33[python script],"")</f>
        <v/>
      </c>
      <c r="D290" s="33" t="str">
        <f>_xlfn.XLOOKUP(Table264[[#This Row],[XPATHS]],Table33[&lt;&lt;NOLA_Exchange&gt;&gt;
Booking],Table33['#],"")</f>
        <v/>
      </c>
    </row>
    <row r="291" spans="1:4" x14ac:dyDescent="0.3">
      <c r="A291" s="33" t="str">
        <f t="shared" si="4"/>
        <v>290rel_xpath</v>
      </c>
      <c r="B291" s="5" t="s">
        <v>3239</v>
      </c>
      <c r="C291" s="33" t="str">
        <f>_xlfn.XLOOKUP(Table264[[#This Row],[XPATHS]],Table33[&lt;&lt;NOLA_Exchange&gt;&gt;
Booking],Table33[python script],"")</f>
        <v/>
      </c>
      <c r="D291" s="33" t="str">
        <f>_xlfn.XLOOKUP(Table264[[#This Row],[XPATHS]],Table33[&lt;&lt;NOLA_Exchange&gt;&gt;
Booking],Table33['#],"")</f>
        <v/>
      </c>
    </row>
    <row r="292" spans="1:4" x14ac:dyDescent="0.3">
      <c r="A292" s="33" t="str">
        <f t="shared" si="4"/>
        <v>291rel_xpath</v>
      </c>
      <c r="B292" s="5" t="s">
        <v>2948</v>
      </c>
      <c r="C292" s="33" t="str">
        <f>_xlfn.XLOOKUP(Table264[[#This Row],[XPATHS]],Table33[&lt;&lt;NOLA_Exchange&gt;&gt;
Booking],Table33[python script],"")</f>
        <v/>
      </c>
      <c r="D292" s="33" t="str">
        <f>_xlfn.XLOOKUP(Table264[[#This Row],[XPATHS]],Table33[&lt;&lt;NOLA_Exchange&gt;&gt;
Booking],Table33['#],"")</f>
        <v/>
      </c>
    </row>
    <row r="293" spans="1:4" x14ac:dyDescent="0.3">
      <c r="A293" s="33" t="str">
        <f t="shared" si="4"/>
        <v>292rel_xpath</v>
      </c>
      <c r="B293" s="5" t="s">
        <v>3240</v>
      </c>
      <c r="C293" s="33" t="str">
        <f>_xlfn.XLOOKUP(Table264[[#This Row],[XPATHS]],Table33[&lt;&lt;NOLA_Exchange&gt;&gt;
Booking],Table33[python script],"")</f>
        <v/>
      </c>
      <c r="D293" s="33" t="str">
        <f>_xlfn.XLOOKUP(Table264[[#This Row],[XPATHS]],Table33[&lt;&lt;NOLA_Exchange&gt;&gt;
Booking],Table33['#],"")</f>
        <v/>
      </c>
    </row>
    <row r="294" spans="1:4" x14ac:dyDescent="0.3">
      <c r="A294" s="33" t="str">
        <f t="shared" si="4"/>
        <v>293rel_xpath</v>
      </c>
      <c r="B294" s="5" t="s">
        <v>3033</v>
      </c>
      <c r="C294" s="33" t="str">
        <f>_xlfn.XLOOKUP(Table264[[#This Row],[XPATHS]],Table33[&lt;&lt;NOLA_Exchange&gt;&gt;
Booking],Table33[python script],"")</f>
        <v/>
      </c>
      <c r="D294" s="33" t="str">
        <f>_xlfn.XLOOKUP(Table264[[#This Row],[XPATHS]],Table33[&lt;&lt;NOLA_Exchange&gt;&gt;
Booking],Table33['#],"")</f>
        <v/>
      </c>
    </row>
    <row r="295" spans="1:4" x14ac:dyDescent="0.3">
      <c r="A295" s="33" t="str">
        <f t="shared" si="4"/>
        <v>294rel_xpath</v>
      </c>
      <c r="B295" s="5" t="s">
        <v>3241</v>
      </c>
      <c r="C295" s="33" t="str">
        <f>_xlfn.XLOOKUP(Table264[[#This Row],[XPATHS]],Table33[&lt;&lt;NOLA_Exchange&gt;&gt;
Booking],Table33[python script],"")</f>
        <v/>
      </c>
      <c r="D295" s="33" t="str">
        <f>_xlfn.XLOOKUP(Table264[[#This Row],[XPATHS]],Table33[&lt;&lt;NOLA_Exchange&gt;&gt;
Booking],Table33['#],"")</f>
        <v/>
      </c>
    </row>
    <row r="296" spans="1:4" x14ac:dyDescent="0.3">
      <c r="A296" s="33" t="str">
        <f t="shared" si="4"/>
        <v>295rel_xpath</v>
      </c>
      <c r="B296" s="5" t="s">
        <v>3242</v>
      </c>
      <c r="C296" s="33" t="str">
        <f>_xlfn.XLOOKUP(Table264[[#This Row],[XPATHS]],Table33[&lt;&lt;NOLA_Exchange&gt;&gt;
Booking],Table33[python script],"")</f>
        <v/>
      </c>
      <c r="D296" s="33" t="str">
        <f>_xlfn.XLOOKUP(Table264[[#This Row],[XPATHS]],Table33[&lt;&lt;NOLA_Exchange&gt;&gt;
Booking],Table33['#],"")</f>
        <v/>
      </c>
    </row>
    <row r="297" spans="1:4" x14ac:dyDescent="0.3">
      <c r="A297" s="33" t="str">
        <f t="shared" si="4"/>
        <v>296rel_xpath</v>
      </c>
      <c r="B297" s="5" t="s">
        <v>3006</v>
      </c>
      <c r="C297" s="33" t="str">
        <f>_xlfn.XLOOKUP(Table264[[#This Row],[XPATHS]],Table33[&lt;&lt;NOLA_Exchange&gt;&gt;
Booking],Table33[python script],"")</f>
        <v/>
      </c>
      <c r="D297" s="33" t="str">
        <f>_xlfn.XLOOKUP(Table264[[#This Row],[XPATHS]],Table33[&lt;&lt;NOLA_Exchange&gt;&gt;
Booking],Table33['#],"")</f>
        <v/>
      </c>
    </row>
    <row r="298" spans="1:4" x14ac:dyDescent="0.3">
      <c r="A298" s="33" t="str">
        <f t="shared" si="4"/>
        <v>297rel_xpath</v>
      </c>
      <c r="B298" s="5" t="s">
        <v>3243</v>
      </c>
      <c r="C298" s="33" t="str">
        <f>_xlfn.XLOOKUP(Table264[[#This Row],[XPATHS]],Table33[&lt;&lt;NOLA_Exchange&gt;&gt;
Booking],Table33[python script],"")</f>
        <v/>
      </c>
      <c r="D298" s="33" t="str">
        <f>_xlfn.XLOOKUP(Table264[[#This Row],[XPATHS]],Table33[&lt;&lt;NOLA_Exchange&gt;&gt;
Booking],Table33['#],"")</f>
        <v/>
      </c>
    </row>
    <row r="299" spans="1:4" x14ac:dyDescent="0.3">
      <c r="A299" s="33" t="str">
        <f t="shared" si="4"/>
        <v>298rel_xpath</v>
      </c>
      <c r="B299" s="5" t="s">
        <v>1846</v>
      </c>
      <c r="C299" s="33" t="str">
        <f>_xlfn.XLOOKUP(Table264[[#This Row],[XPATHS]],Table33[&lt;&lt;NOLA_Exchange&gt;&gt;
Booking],Table33[python script],"")</f>
        <v/>
      </c>
      <c r="D299" s="33" t="str">
        <f>_xlfn.XLOOKUP(Table264[[#This Row],[XPATHS]],Table33[&lt;&lt;NOLA_Exchange&gt;&gt;
Booking],Table33['#],"")</f>
        <v/>
      </c>
    </row>
    <row r="300" spans="1:4" x14ac:dyDescent="0.3">
      <c r="A300" s="33" t="str">
        <f t="shared" si="4"/>
        <v>299rel_xpath</v>
      </c>
      <c r="B300" s="5" t="s">
        <v>1819</v>
      </c>
      <c r="C300" s="33" t="str">
        <f>_xlfn.XLOOKUP(Table264[[#This Row],[XPATHS]],Table33[&lt;&lt;NOLA_Exchange&gt;&gt;
Booking],Table33[python script],"")</f>
        <v/>
      </c>
      <c r="D300" s="33" t="str">
        <f>_xlfn.XLOOKUP(Table264[[#This Row],[XPATHS]],Table33[&lt;&lt;NOLA_Exchange&gt;&gt;
Booking],Table33['#],"")</f>
        <v/>
      </c>
    </row>
    <row r="301" spans="1:4" x14ac:dyDescent="0.3">
      <c r="A301" s="33" t="str">
        <f t="shared" si="4"/>
        <v>300rel_xpath</v>
      </c>
      <c r="B301" s="5" t="s">
        <v>1482</v>
      </c>
      <c r="C301" s="33" t="str">
        <f>_xlfn.XLOOKUP(Table264[[#This Row],[XPATHS]],Table33[&lt;&lt;NOLA_Exchange&gt;&gt;
Booking],Table33[python script],"")</f>
        <v/>
      </c>
      <c r="D301" s="33" t="str">
        <f>_xlfn.XLOOKUP(Table264[[#This Row],[XPATHS]],Table33[&lt;&lt;NOLA_Exchange&gt;&gt;
Booking],Table33['#],"")</f>
        <v/>
      </c>
    </row>
    <row r="302" spans="1:4" x14ac:dyDescent="0.3">
      <c r="A302" s="33" t="str">
        <f t="shared" si="4"/>
        <v>301rel_xpath</v>
      </c>
      <c r="B302" s="5" t="s">
        <v>1507</v>
      </c>
      <c r="C302" s="33" t="str">
        <f>_xlfn.XLOOKUP(Table264[[#This Row],[XPATHS]],Table33[&lt;&lt;NOLA_Exchange&gt;&gt;
Booking],Table33[python script],"")</f>
        <v/>
      </c>
      <c r="D302" s="33" t="str">
        <f>_xlfn.XLOOKUP(Table264[[#This Row],[XPATHS]],Table33[&lt;&lt;NOLA_Exchange&gt;&gt;
Booking],Table33['#],"")</f>
        <v/>
      </c>
    </row>
    <row r="303" spans="1:4" x14ac:dyDescent="0.3">
      <c r="A303" s="33" t="str">
        <f t="shared" si="4"/>
        <v>302rel_xpath</v>
      </c>
      <c r="B303" s="5" t="s">
        <v>1868</v>
      </c>
      <c r="C303" s="33" t="str">
        <f>_xlfn.XLOOKUP(Table264[[#This Row],[XPATHS]],Table33[&lt;&lt;NOLA_Exchange&gt;&gt;
Booking],Table33[python script],"")</f>
        <v/>
      </c>
      <c r="D303" s="33" t="str">
        <f>_xlfn.XLOOKUP(Table264[[#This Row],[XPATHS]],Table33[&lt;&lt;NOLA_Exchange&gt;&gt;
Booking],Table33['#],"")</f>
        <v/>
      </c>
    </row>
    <row r="304" spans="1:4" x14ac:dyDescent="0.3">
      <c r="A304" s="33" t="str">
        <f t="shared" si="4"/>
        <v>303rel_xpath</v>
      </c>
      <c r="B304" s="5" t="s">
        <v>3244</v>
      </c>
      <c r="C304" s="33" t="str">
        <f>_xlfn.XLOOKUP(Table264[[#This Row],[XPATHS]],Table33[&lt;&lt;NOLA_Exchange&gt;&gt;
Booking],Table33[python script],"")</f>
        <v/>
      </c>
      <c r="D304" s="33" t="str">
        <f>_xlfn.XLOOKUP(Table264[[#This Row],[XPATHS]],Table33[&lt;&lt;NOLA_Exchange&gt;&gt;
Booking],Table33['#],"")</f>
        <v/>
      </c>
    </row>
    <row r="305" spans="1:4" x14ac:dyDescent="0.3">
      <c r="A305" s="33" t="str">
        <f t="shared" si="4"/>
        <v>304rel_xpath</v>
      </c>
      <c r="B305" s="5" t="s">
        <v>1746</v>
      </c>
      <c r="C305" s="33" t="str">
        <f>_xlfn.XLOOKUP(Table264[[#This Row],[XPATHS]],Table33[&lt;&lt;NOLA_Exchange&gt;&gt;
Booking],Table33[python script],"")</f>
        <v/>
      </c>
      <c r="D305" s="33" t="str">
        <f>_xlfn.XLOOKUP(Table264[[#This Row],[XPATHS]],Table33[&lt;&lt;NOLA_Exchange&gt;&gt;
Booking],Table33['#],"")</f>
        <v/>
      </c>
    </row>
    <row r="306" spans="1:4" x14ac:dyDescent="0.3">
      <c r="A306" s="33" t="str">
        <f t="shared" si="4"/>
        <v>305rel_xpath</v>
      </c>
      <c r="B306" s="5" t="s">
        <v>3245</v>
      </c>
      <c r="C306" s="33" t="str">
        <f>_xlfn.XLOOKUP(Table264[[#This Row],[XPATHS]],Table33[&lt;&lt;NOLA_Exchange&gt;&gt;
Booking],Table33[python script],"")</f>
        <v/>
      </c>
      <c r="D306" s="33" t="str">
        <f>_xlfn.XLOOKUP(Table264[[#This Row],[XPATHS]],Table33[&lt;&lt;NOLA_Exchange&gt;&gt;
Booking],Table33['#],"")</f>
        <v/>
      </c>
    </row>
    <row r="307" spans="1:4" x14ac:dyDescent="0.3">
      <c r="A307" s="33" t="str">
        <f t="shared" si="4"/>
        <v>306rel_xpath</v>
      </c>
      <c r="B307" s="5" t="s">
        <v>3246</v>
      </c>
      <c r="C307" s="33" t="str">
        <f>_xlfn.XLOOKUP(Table264[[#This Row],[XPATHS]],Table33[&lt;&lt;NOLA_Exchange&gt;&gt;
Booking],Table33[python script],"")</f>
        <v/>
      </c>
      <c r="D307" s="33" t="str">
        <f>_xlfn.XLOOKUP(Table264[[#This Row],[XPATHS]],Table33[&lt;&lt;NOLA_Exchange&gt;&gt;
Booking],Table33['#],"")</f>
        <v/>
      </c>
    </row>
    <row r="308" spans="1:4" x14ac:dyDescent="0.3">
      <c r="A308" s="33" t="str">
        <f t="shared" si="4"/>
        <v>307rel_xpath</v>
      </c>
      <c r="B308" s="5" t="s">
        <v>2949</v>
      </c>
      <c r="C308" s="33" t="str">
        <f>_xlfn.XLOOKUP(Table264[[#This Row],[XPATHS]],Table33[&lt;&lt;NOLA_Exchange&gt;&gt;
Booking],Table33[python script],"")</f>
        <v/>
      </c>
      <c r="D308" s="33" t="str">
        <f>_xlfn.XLOOKUP(Table264[[#This Row],[XPATHS]],Table33[&lt;&lt;NOLA_Exchange&gt;&gt;
Booking],Table33['#],"")</f>
        <v/>
      </c>
    </row>
    <row r="309" spans="1:4" x14ac:dyDescent="0.3">
      <c r="A309" s="33" t="str">
        <f t="shared" si="4"/>
        <v>308rel_xpath</v>
      </c>
      <c r="B309" s="5" t="s">
        <v>3247</v>
      </c>
      <c r="C309" s="33" t="str">
        <f>_xlfn.XLOOKUP(Table264[[#This Row],[XPATHS]],Table33[&lt;&lt;NOLA_Exchange&gt;&gt;
Booking],Table33[python script],"")</f>
        <v/>
      </c>
      <c r="D309" s="33" t="str">
        <f>_xlfn.XLOOKUP(Table264[[#This Row],[XPATHS]],Table33[&lt;&lt;NOLA_Exchange&gt;&gt;
Booking],Table33['#],"")</f>
        <v/>
      </c>
    </row>
    <row r="310" spans="1:4" x14ac:dyDescent="0.3">
      <c r="A310" s="33" t="str">
        <f t="shared" si="4"/>
        <v>309rel_xpath</v>
      </c>
      <c r="B310" s="5" t="s">
        <v>3034</v>
      </c>
      <c r="C310" s="33" t="str">
        <f>_xlfn.XLOOKUP(Table264[[#This Row],[XPATHS]],Table33[&lt;&lt;NOLA_Exchange&gt;&gt;
Booking],Table33[python script],"")</f>
        <v/>
      </c>
      <c r="D310" s="33" t="str">
        <f>_xlfn.XLOOKUP(Table264[[#This Row],[XPATHS]],Table33[&lt;&lt;NOLA_Exchange&gt;&gt;
Booking],Table33['#],"")</f>
        <v/>
      </c>
    </row>
    <row r="311" spans="1:4" x14ac:dyDescent="0.3">
      <c r="A311" s="33" t="str">
        <f t="shared" si="4"/>
        <v>310rel_xpath</v>
      </c>
      <c r="B311" s="5" t="s">
        <v>3248</v>
      </c>
      <c r="C311" s="33" t="str">
        <f>_xlfn.XLOOKUP(Table264[[#This Row],[XPATHS]],Table33[&lt;&lt;NOLA_Exchange&gt;&gt;
Booking],Table33[python script],"")</f>
        <v/>
      </c>
      <c r="D311" s="33" t="str">
        <f>_xlfn.XLOOKUP(Table264[[#This Row],[XPATHS]],Table33[&lt;&lt;NOLA_Exchange&gt;&gt;
Booking],Table33['#],"")</f>
        <v/>
      </c>
    </row>
    <row r="312" spans="1:4" x14ac:dyDescent="0.3">
      <c r="A312" s="33" t="str">
        <f t="shared" si="4"/>
        <v>311rel_xpath</v>
      </c>
      <c r="B312" s="5" t="s">
        <v>3249</v>
      </c>
      <c r="C312" s="33" t="str">
        <f>_xlfn.XLOOKUP(Table264[[#This Row],[XPATHS]],Table33[&lt;&lt;NOLA_Exchange&gt;&gt;
Booking],Table33[python script],"")</f>
        <v/>
      </c>
      <c r="D312" s="33" t="str">
        <f>_xlfn.XLOOKUP(Table264[[#This Row],[XPATHS]],Table33[&lt;&lt;NOLA_Exchange&gt;&gt;
Booking],Table33['#],"")</f>
        <v/>
      </c>
    </row>
    <row r="313" spans="1:4" x14ac:dyDescent="0.3">
      <c r="A313" s="33" t="str">
        <f t="shared" si="4"/>
        <v>312rel_xpath</v>
      </c>
      <c r="B313" s="5" t="s">
        <v>3007</v>
      </c>
      <c r="C313" s="33" t="str">
        <f>_xlfn.XLOOKUP(Table264[[#This Row],[XPATHS]],Table33[&lt;&lt;NOLA_Exchange&gt;&gt;
Booking],Table33[python script],"")</f>
        <v/>
      </c>
      <c r="D313" s="33" t="str">
        <f>_xlfn.XLOOKUP(Table264[[#This Row],[XPATHS]],Table33[&lt;&lt;NOLA_Exchange&gt;&gt;
Booking],Table33['#],"")</f>
        <v/>
      </c>
    </row>
    <row r="314" spans="1:4" x14ac:dyDescent="0.3">
      <c r="A314" s="33" t="str">
        <f t="shared" si="4"/>
        <v>313rel_xpath</v>
      </c>
      <c r="B314" s="5" t="s">
        <v>3250</v>
      </c>
      <c r="C314" s="33" t="str">
        <f>_xlfn.XLOOKUP(Table264[[#This Row],[XPATHS]],Table33[&lt;&lt;NOLA_Exchange&gt;&gt;
Booking],Table33[python script],"")</f>
        <v/>
      </c>
      <c r="D314" s="33" t="str">
        <f>_xlfn.XLOOKUP(Table264[[#This Row],[XPATHS]],Table33[&lt;&lt;NOLA_Exchange&gt;&gt;
Booking],Table33['#],"")</f>
        <v/>
      </c>
    </row>
    <row r="315" spans="1:4" x14ac:dyDescent="0.3">
      <c r="A315" s="33" t="str">
        <f t="shared" si="4"/>
        <v>314rel_xpath</v>
      </c>
      <c r="B315" s="5" t="s">
        <v>1847</v>
      </c>
      <c r="C315" s="33" t="str">
        <f>_xlfn.XLOOKUP(Table264[[#This Row],[XPATHS]],Table33[&lt;&lt;NOLA_Exchange&gt;&gt;
Booking],Table33[python script],"")</f>
        <v/>
      </c>
      <c r="D315" s="33" t="str">
        <f>_xlfn.XLOOKUP(Table264[[#This Row],[XPATHS]],Table33[&lt;&lt;NOLA_Exchange&gt;&gt;
Booking],Table33['#],"")</f>
        <v/>
      </c>
    </row>
    <row r="316" spans="1:4" x14ac:dyDescent="0.3">
      <c r="A316" s="33" t="str">
        <f t="shared" si="4"/>
        <v>315rel_xpath</v>
      </c>
      <c r="B316" s="5" t="s">
        <v>1820</v>
      </c>
      <c r="C316" s="33" t="str">
        <f>_xlfn.XLOOKUP(Table264[[#This Row],[XPATHS]],Table33[&lt;&lt;NOLA_Exchange&gt;&gt;
Booking],Table33[python script],"")</f>
        <v/>
      </c>
      <c r="D316" s="33" t="str">
        <f>_xlfn.XLOOKUP(Table264[[#This Row],[XPATHS]],Table33[&lt;&lt;NOLA_Exchange&gt;&gt;
Booking],Table33['#],"")</f>
        <v/>
      </c>
    </row>
    <row r="317" spans="1:4" x14ac:dyDescent="0.3">
      <c r="A317" s="33" t="str">
        <f t="shared" si="4"/>
        <v>316rel_xpath</v>
      </c>
      <c r="B317" s="5" t="s">
        <v>1483</v>
      </c>
      <c r="C317" s="33" t="str">
        <f>_xlfn.XLOOKUP(Table264[[#This Row],[XPATHS]],Table33[&lt;&lt;NOLA_Exchange&gt;&gt;
Booking],Table33[python script],"")</f>
        <v/>
      </c>
      <c r="D317" s="33" t="str">
        <f>_xlfn.XLOOKUP(Table264[[#This Row],[XPATHS]],Table33[&lt;&lt;NOLA_Exchange&gt;&gt;
Booking],Table33['#],"")</f>
        <v/>
      </c>
    </row>
    <row r="318" spans="1:4" x14ac:dyDescent="0.3">
      <c r="A318" s="33" t="str">
        <f t="shared" si="4"/>
        <v>317rel_xpath</v>
      </c>
      <c r="B318" s="5" t="s">
        <v>1508</v>
      </c>
      <c r="C318" s="33" t="str">
        <f>_xlfn.XLOOKUP(Table264[[#This Row],[XPATHS]],Table33[&lt;&lt;NOLA_Exchange&gt;&gt;
Booking],Table33[python script],"")</f>
        <v/>
      </c>
      <c r="D318" s="33" t="str">
        <f>_xlfn.XLOOKUP(Table264[[#This Row],[XPATHS]],Table33[&lt;&lt;NOLA_Exchange&gt;&gt;
Booking],Table33['#],"")</f>
        <v/>
      </c>
    </row>
    <row r="319" spans="1:4" x14ac:dyDescent="0.3">
      <c r="A319" s="33" t="str">
        <f t="shared" si="4"/>
        <v>318rel_xpath</v>
      </c>
      <c r="B319" s="5" t="s">
        <v>1869</v>
      </c>
      <c r="C319" s="33" t="str">
        <f>_xlfn.XLOOKUP(Table264[[#This Row],[XPATHS]],Table33[&lt;&lt;NOLA_Exchange&gt;&gt;
Booking],Table33[python script],"")</f>
        <v/>
      </c>
      <c r="D319" s="33" t="str">
        <f>_xlfn.XLOOKUP(Table264[[#This Row],[XPATHS]],Table33[&lt;&lt;NOLA_Exchange&gt;&gt;
Booking],Table33['#],"")</f>
        <v/>
      </c>
    </row>
    <row r="320" spans="1:4" x14ac:dyDescent="0.3">
      <c r="A320" s="33" t="str">
        <f t="shared" si="4"/>
        <v>319rel_xpath</v>
      </c>
      <c r="B320" s="5" t="s">
        <v>3251</v>
      </c>
      <c r="C320" s="33" t="str">
        <f>_xlfn.XLOOKUP(Table264[[#This Row],[XPATHS]],Table33[&lt;&lt;NOLA_Exchange&gt;&gt;
Booking],Table33[python script],"")</f>
        <v/>
      </c>
      <c r="D320" s="33" t="str">
        <f>_xlfn.XLOOKUP(Table264[[#This Row],[XPATHS]],Table33[&lt;&lt;NOLA_Exchange&gt;&gt;
Booking],Table33['#],"")</f>
        <v/>
      </c>
    </row>
    <row r="321" spans="1:4" x14ac:dyDescent="0.3">
      <c r="A321" s="33" t="str">
        <f t="shared" si="4"/>
        <v>320rel_xpath</v>
      </c>
      <c r="B321" s="5" t="s">
        <v>3252</v>
      </c>
      <c r="C321" s="33" t="str">
        <f>_xlfn.XLOOKUP(Table264[[#This Row],[XPATHS]],Table33[&lt;&lt;NOLA_Exchange&gt;&gt;
Booking],Table33[python script],"")</f>
        <v/>
      </c>
      <c r="D321" s="33" t="str">
        <f>_xlfn.XLOOKUP(Table264[[#This Row],[XPATHS]],Table33[&lt;&lt;NOLA_Exchange&gt;&gt;
Booking],Table33['#],"")</f>
        <v/>
      </c>
    </row>
    <row r="322" spans="1:4" x14ac:dyDescent="0.3">
      <c r="A322" s="33" t="str">
        <f t="shared" ref="A322:A385" si="5">ROW(A321)&amp;"rel_xpath"</f>
        <v>321rel_xpath</v>
      </c>
      <c r="B322" s="5" t="s">
        <v>3253</v>
      </c>
      <c r="C322" s="33" t="str">
        <f>_xlfn.XLOOKUP(Table264[[#This Row],[XPATHS]],Table33[&lt;&lt;NOLA_Exchange&gt;&gt;
Booking],Table33[python script],"")</f>
        <v/>
      </c>
      <c r="D322" s="33" t="str">
        <f>_xlfn.XLOOKUP(Table264[[#This Row],[XPATHS]],Table33[&lt;&lt;NOLA_Exchange&gt;&gt;
Booking],Table33['#],"")</f>
        <v/>
      </c>
    </row>
    <row r="323" spans="1:4" x14ac:dyDescent="0.3">
      <c r="A323" s="33" t="str">
        <f t="shared" si="5"/>
        <v>322rel_xpath</v>
      </c>
      <c r="B323" s="5" t="s">
        <v>2909</v>
      </c>
      <c r="C323" s="33" t="str">
        <f>_xlfn.XLOOKUP(Table264[[#This Row],[XPATHS]],Table33[&lt;&lt;NOLA_Exchange&gt;&gt;
Booking],Table33[python script],"")</f>
        <v/>
      </c>
      <c r="D323" s="33" t="str">
        <f>_xlfn.XLOOKUP(Table264[[#This Row],[XPATHS]],Table33[&lt;&lt;NOLA_Exchange&gt;&gt;
Booking],Table33['#],"")</f>
        <v/>
      </c>
    </row>
    <row r="324" spans="1:4" x14ac:dyDescent="0.3">
      <c r="A324" s="33" t="str">
        <f t="shared" si="5"/>
        <v>323rel_xpath</v>
      </c>
      <c r="B324" s="5" t="s">
        <v>971</v>
      </c>
      <c r="C324" s="33" t="str">
        <f>_xlfn.XLOOKUP(Table264[[#This Row],[XPATHS]],Table33[&lt;&lt;NOLA_Exchange&gt;&gt;
Booking],Table33[python script],"")</f>
        <v>"IFAO1F": "/j:Booking/j:Arrest/j:ArrestOfficial[1]/RoleOfPerson/PersonName/PersonGivenName",</v>
      </c>
      <c r="D324" s="33" t="str">
        <f>_xlfn.XLOOKUP(Table264[[#This Row],[XPATHS]],Table33[&lt;&lt;NOLA_Exchange&gt;&gt;
Booking],Table33['#],"")</f>
        <v>44expanded_IMFLDR_sorted</v>
      </c>
    </row>
    <row r="325" spans="1:4" x14ac:dyDescent="0.3">
      <c r="A325" s="33" t="str">
        <f t="shared" si="5"/>
        <v>324rel_xpath</v>
      </c>
      <c r="B325" s="5" t="s">
        <v>2830</v>
      </c>
      <c r="C325" s="33" t="str">
        <f>_xlfn.XLOOKUP(Table264[[#This Row],[XPATHS]],Table33[&lt;&lt;NOLA_Exchange&gt;&gt;
Booking],Table33[python script],"")</f>
        <v/>
      </c>
      <c r="D325" s="33" t="str">
        <f>_xlfn.XLOOKUP(Table264[[#This Row],[XPATHS]],Table33[&lt;&lt;NOLA_Exchange&gt;&gt;
Booking],Table33['#],"")</f>
        <v/>
      </c>
    </row>
    <row r="326" spans="1:4" x14ac:dyDescent="0.3">
      <c r="A326" s="33" t="str">
        <f t="shared" si="5"/>
        <v>325rel_xpath</v>
      </c>
      <c r="B326" s="5" t="s">
        <v>1049</v>
      </c>
      <c r="C326" s="33" t="str">
        <f>_xlfn.XLOOKUP(Table264[[#This Row],[XPATHS]],Table33[&lt;&lt;NOLA_Exchange&gt;&gt;
Booking],Table33[python script],"")</f>
        <v>"IFAO1L": "/j:Booking/j:Arrest/j:ArrestOfficial[1]/RoleOfPerson/PersonName/PersonSurName",</v>
      </c>
      <c r="D326" s="33" t="str">
        <f>_xlfn.XLOOKUP(Table264[[#This Row],[XPATHS]],Table33[&lt;&lt;NOLA_Exchange&gt;&gt;
Booking],Table33['#],"")</f>
        <v>47expanded_IMFLDR_sorted</v>
      </c>
    </row>
    <row r="327" spans="1:4" x14ac:dyDescent="0.3">
      <c r="A327" s="33" t="str">
        <f t="shared" si="5"/>
        <v>326rel_xpath</v>
      </c>
      <c r="B327" s="5" t="s">
        <v>2861</v>
      </c>
      <c r="C327" s="33" t="str">
        <f>_xlfn.XLOOKUP(Table264[[#This Row],[XPATHS]],Table33[&lt;&lt;NOLA_Exchange&gt;&gt;
Booking],Table33[python script],"")</f>
        <v/>
      </c>
      <c r="D327" s="33" t="str">
        <f>_xlfn.XLOOKUP(Table264[[#This Row],[XPATHS]],Table33[&lt;&lt;NOLA_Exchange&gt;&gt;
Booking],Table33['#],"")</f>
        <v/>
      </c>
    </row>
    <row r="328" spans="1:4" x14ac:dyDescent="0.3">
      <c r="A328" s="33" t="str">
        <f t="shared" si="5"/>
        <v>327rel_xpath</v>
      </c>
      <c r="B328" s="5" t="s">
        <v>1012</v>
      </c>
      <c r="C328" s="33" t="str">
        <f>_xlfn.XLOOKUP(Table264[[#This Row],[XPATHS]],Table33[&lt;&lt;NOLA_Exchange&gt;&gt;
Booking],Table33[python script],"")</f>
        <v/>
      </c>
      <c r="D328" s="33" t="str">
        <f>_xlfn.XLOOKUP(Table264[[#This Row],[XPATHS]],Table33[&lt;&lt;NOLA_Exchange&gt;&gt;
Booking],Table33['#],"")</f>
        <v/>
      </c>
    </row>
    <row r="329" spans="1:4" x14ac:dyDescent="0.3">
      <c r="A329" s="33" t="str">
        <f t="shared" si="5"/>
        <v>328rel_xpath</v>
      </c>
      <c r="B329" s="5" t="s">
        <v>3254</v>
      </c>
      <c r="C329" s="33" t="str">
        <f>_xlfn.XLOOKUP(Table264[[#This Row],[XPATHS]],Table33[&lt;&lt;NOLA_Exchange&gt;&gt;
Booking],Table33[python script],"")</f>
        <v/>
      </c>
      <c r="D329" s="33" t="str">
        <f>_xlfn.XLOOKUP(Table264[[#This Row],[XPATHS]],Table33[&lt;&lt;NOLA_Exchange&gt;&gt;
Booking],Table33['#],"")</f>
        <v/>
      </c>
    </row>
    <row r="330" spans="1:4" x14ac:dyDescent="0.3">
      <c r="A330" s="33" t="str">
        <f t="shared" si="5"/>
        <v>329rel_xpath</v>
      </c>
      <c r="B330" s="5" t="s">
        <v>3255</v>
      </c>
      <c r="C330" s="33" t="str">
        <f>_xlfn.XLOOKUP(Table264[[#This Row],[XPATHS]],Table33[&lt;&lt;NOLA_Exchange&gt;&gt;
Booking],Table33[python script],"")</f>
        <v/>
      </c>
      <c r="D330" s="33" t="str">
        <f>_xlfn.XLOOKUP(Table264[[#This Row],[XPATHS]],Table33[&lt;&lt;NOLA_Exchange&gt;&gt;
Booking],Table33['#],"")</f>
        <v/>
      </c>
    </row>
    <row r="331" spans="1:4" x14ac:dyDescent="0.3">
      <c r="A331" s="33" t="str">
        <f t="shared" si="5"/>
        <v>330rel_xpath</v>
      </c>
      <c r="B331" s="5" t="s">
        <v>1971</v>
      </c>
      <c r="C331" s="33" t="str">
        <f>_xlfn.XLOOKUP(Table264[[#This Row],[XPATHS]],Table33[&lt;&lt;NOLA_Exchange&gt;&gt;
Booking],Table33[python script],"")</f>
        <v/>
      </c>
      <c r="D331" s="33" t="str">
        <f>_xlfn.XLOOKUP(Table264[[#This Row],[XPATHS]],Table33[&lt;&lt;NOLA_Exchange&gt;&gt;
Booking],Table33['#],"")</f>
        <v/>
      </c>
    </row>
    <row r="332" spans="1:4" x14ac:dyDescent="0.3">
      <c r="A332" s="33" t="str">
        <f t="shared" si="5"/>
        <v>331rel_xpath</v>
      </c>
      <c r="B332" s="5" t="s">
        <v>3256</v>
      </c>
      <c r="C332" s="33" t="str">
        <f>_xlfn.XLOOKUP(Table264[[#This Row],[XPATHS]],Table33[&lt;&lt;NOLA_Exchange&gt;&gt;
Booking],Table33[python script],"")</f>
        <v/>
      </c>
      <c r="D332" s="33" t="str">
        <f>_xlfn.XLOOKUP(Table264[[#This Row],[XPATHS]],Table33[&lt;&lt;NOLA_Exchange&gt;&gt;
Booking],Table33['#],"")</f>
        <v/>
      </c>
    </row>
    <row r="333" spans="1:4" x14ac:dyDescent="0.3">
      <c r="A333" s="33" t="str">
        <f t="shared" si="5"/>
        <v>332rel_xpath</v>
      </c>
      <c r="B333" s="5" t="s">
        <v>3257</v>
      </c>
      <c r="C333" s="33" t="str">
        <f>_xlfn.XLOOKUP(Table264[[#This Row],[XPATHS]],Table33[&lt;&lt;NOLA_Exchange&gt;&gt;
Booking],Table33[python script],"")</f>
        <v/>
      </c>
      <c r="D333" s="33" t="str">
        <f>_xlfn.XLOOKUP(Table264[[#This Row],[XPATHS]],Table33[&lt;&lt;NOLA_Exchange&gt;&gt;
Booking],Table33['#],"")</f>
        <v/>
      </c>
    </row>
    <row r="334" spans="1:4" x14ac:dyDescent="0.3">
      <c r="A334" s="33" t="str">
        <f t="shared" si="5"/>
        <v>333rel_xpath</v>
      </c>
      <c r="B334" s="5" t="s">
        <v>3258</v>
      </c>
      <c r="C334" s="33" t="str">
        <f>_xlfn.XLOOKUP(Table264[[#This Row],[XPATHS]],Table33[&lt;&lt;NOLA_Exchange&gt;&gt;
Booking],Table33[python script],"")</f>
        <v/>
      </c>
      <c r="D334" s="33" t="str">
        <f>_xlfn.XLOOKUP(Table264[[#This Row],[XPATHS]],Table33[&lt;&lt;NOLA_Exchange&gt;&gt;
Booking],Table33['#],"")</f>
        <v/>
      </c>
    </row>
    <row r="335" spans="1:4" x14ac:dyDescent="0.3">
      <c r="A335" s="33" t="str">
        <f t="shared" si="5"/>
        <v>334rel_xpath</v>
      </c>
      <c r="B335" s="5" t="s">
        <v>3259</v>
      </c>
      <c r="C335" s="33" t="str">
        <f>_xlfn.XLOOKUP(Table264[[#This Row],[XPATHS]],Table33[&lt;&lt;NOLA_Exchange&gt;&gt;
Booking],Table33[python script],"")</f>
        <v/>
      </c>
      <c r="D335" s="33" t="str">
        <f>_xlfn.XLOOKUP(Table264[[#This Row],[XPATHS]],Table33[&lt;&lt;NOLA_Exchange&gt;&gt;
Booking],Table33['#],"")</f>
        <v/>
      </c>
    </row>
    <row r="336" spans="1:4" x14ac:dyDescent="0.3">
      <c r="A336" s="33" t="str">
        <f t="shared" si="5"/>
        <v>335rel_xpath</v>
      </c>
      <c r="B336" s="5" t="s">
        <v>3260</v>
      </c>
      <c r="C336" s="33" t="str">
        <f>_xlfn.XLOOKUP(Table264[[#This Row],[XPATHS]],Table33[&lt;&lt;NOLA_Exchange&gt;&gt;
Booking],Table33[python script],"")</f>
        <v/>
      </c>
      <c r="D336" s="33" t="str">
        <f>_xlfn.XLOOKUP(Table264[[#This Row],[XPATHS]],Table33[&lt;&lt;NOLA_Exchange&gt;&gt;
Booking],Table33['#],"")</f>
        <v/>
      </c>
    </row>
    <row r="337" spans="1:4" x14ac:dyDescent="0.3">
      <c r="A337" s="33" t="str">
        <f t="shared" si="5"/>
        <v>336rel_xpath</v>
      </c>
      <c r="B337" s="5" t="s">
        <v>665</v>
      </c>
      <c r="C337" s="33" t="str">
        <f>_xlfn.XLOOKUP(Table264[[#This Row],[XPATHS]],Table33[&lt;&lt;NOLA_Exchange&gt;&gt;
Booking],Table33[python script],"")</f>
        <v>"IFAO1B": "/j:Booking/j:Arrest/j:ArrestOfficial[1]/j:EnforcementOfficialBadgeIdentification/IdentificationID",</v>
      </c>
      <c r="D337" s="33" t="str">
        <f>_xlfn.XLOOKUP(Table264[[#This Row],[XPATHS]],Table33[&lt;&lt;NOLA_Exchange&gt;&gt;
Booking],Table33['#],"")</f>
        <v>23expanded_IMFLDR_sorted</v>
      </c>
    </row>
    <row r="338" spans="1:4" x14ac:dyDescent="0.3">
      <c r="A338" s="33" t="str">
        <f t="shared" si="5"/>
        <v>337rel_xpath</v>
      </c>
      <c r="B338" s="5" t="s">
        <v>693</v>
      </c>
      <c r="C338" s="33" t="str">
        <f>_xlfn.XLOOKUP(Table264[[#This Row],[XPATHS]],Table33[&lt;&lt;NOLA_Exchange&gt;&gt;
Booking],Table33[python script],"")</f>
        <v/>
      </c>
      <c r="D338" s="33" t="str">
        <f>_xlfn.XLOOKUP(Table264[[#This Row],[XPATHS]],Table33[&lt;&lt;NOLA_Exchange&gt;&gt;
Booking],Table33['#],"")</f>
        <v/>
      </c>
    </row>
    <row r="339" spans="1:4" x14ac:dyDescent="0.3">
      <c r="A339" s="33" t="str">
        <f t="shared" si="5"/>
        <v>338rel_xpath</v>
      </c>
      <c r="B339" s="5" t="s">
        <v>3261</v>
      </c>
      <c r="C339" s="33" t="str">
        <f>_xlfn.XLOOKUP(Table264[[#This Row],[XPATHS]],Table33[&lt;&lt;NOLA_Exchange&gt;&gt;
Booking],Table33[python script],"")</f>
        <v/>
      </c>
      <c r="D339" s="33" t="str">
        <f>_xlfn.XLOOKUP(Table264[[#This Row],[XPATHS]],Table33[&lt;&lt;NOLA_Exchange&gt;&gt;
Booking],Table33['#],"")</f>
        <v/>
      </c>
    </row>
    <row r="340" spans="1:4" x14ac:dyDescent="0.3">
      <c r="A340" s="33" t="str">
        <f t="shared" si="5"/>
        <v>339rel_xpath</v>
      </c>
      <c r="B340" s="5" t="s">
        <v>686</v>
      </c>
      <c r="C340" s="33" t="str">
        <f>_xlfn.XLOOKUP(Table264[[#This Row],[XPATHS]],Table33[&lt;&lt;NOLA_Exchange&gt;&gt;
Booking],Table33[python script],"")</f>
        <v/>
      </c>
      <c r="D340" s="33" t="str">
        <f>_xlfn.XLOOKUP(Table264[[#This Row],[XPATHS]],Table33[&lt;&lt;NOLA_Exchange&gt;&gt;
Booking],Table33['#],"")</f>
        <v/>
      </c>
    </row>
    <row r="341" spans="1:4" x14ac:dyDescent="0.3">
      <c r="A341" s="33" t="str">
        <f t="shared" si="5"/>
        <v>340rel_xpath</v>
      </c>
      <c r="B341" s="5" t="s">
        <v>3262</v>
      </c>
      <c r="C341" s="33" t="str">
        <f>_xlfn.XLOOKUP(Table264[[#This Row],[XPATHS]],Table33[&lt;&lt;NOLA_Exchange&gt;&gt;
Booking],Table33[python script],"")</f>
        <v/>
      </c>
      <c r="D341" s="33" t="str">
        <f>_xlfn.XLOOKUP(Table264[[#This Row],[XPATHS]],Table33[&lt;&lt;NOLA_Exchange&gt;&gt;
Booking],Table33['#],"")</f>
        <v/>
      </c>
    </row>
    <row r="342" spans="1:4" x14ac:dyDescent="0.3">
      <c r="A342" s="33" t="str">
        <f t="shared" si="5"/>
        <v>341rel_xpath</v>
      </c>
      <c r="B342" s="5" t="s">
        <v>3263</v>
      </c>
      <c r="C342" s="33" t="str">
        <f>_xlfn.XLOOKUP(Table264[[#This Row],[XPATHS]],Table33[&lt;&lt;NOLA_Exchange&gt;&gt;
Booking],Table33[python script],"")</f>
        <v/>
      </c>
      <c r="D342" s="33" t="str">
        <f>_xlfn.XLOOKUP(Table264[[#This Row],[XPATHS]],Table33[&lt;&lt;NOLA_Exchange&gt;&gt;
Booking],Table33['#],"")</f>
        <v/>
      </c>
    </row>
    <row r="343" spans="1:4" x14ac:dyDescent="0.3">
      <c r="A343" s="33" t="str">
        <f t="shared" si="5"/>
        <v>342rel_xpath</v>
      </c>
      <c r="B343" s="5" t="s">
        <v>1432</v>
      </c>
      <c r="C343" s="33" t="str">
        <f>_xlfn.XLOOKUP(Table264[[#This Row],[XPATHS]],Table33[&lt;&lt;NOLA_Exchange&gt;&gt;
Booking],Table33[python script],"")</f>
        <v/>
      </c>
      <c r="D343" s="33" t="str">
        <f>_xlfn.XLOOKUP(Table264[[#This Row],[XPATHS]],Table33[&lt;&lt;NOLA_Exchange&gt;&gt;
Booking],Table33['#],"")</f>
        <v/>
      </c>
    </row>
    <row r="344" spans="1:4" x14ac:dyDescent="0.3">
      <c r="A344" s="33" t="str">
        <f t="shared" si="5"/>
        <v>343rel_xpath</v>
      </c>
      <c r="B344" s="5" t="s">
        <v>702</v>
      </c>
      <c r="C344" s="33" t="str">
        <f>_xlfn.XLOOKUP(Table264[[#This Row],[XPATHS]],Table33[&lt;&lt;NOLA_Exchange&gt;&gt;
Booking],Table33[python script],"")</f>
        <v>"IFAO1U": "/j:Booking/j:Arrest/j:ArrestOfficial[1]/j:EnforcementOfficialUnit/j:EnforcementUnitName",</v>
      </c>
      <c r="D344" s="33" t="str">
        <f>_xlfn.XLOOKUP(Table264[[#This Row],[XPATHS]],Table33[&lt;&lt;NOLA_Exchange&gt;&gt;
Booking],Table33['#],"")</f>
        <v>26expanded_IMFLDR_sorted</v>
      </c>
    </row>
    <row r="345" spans="1:4" x14ac:dyDescent="0.3">
      <c r="A345" s="33" t="str">
        <f t="shared" si="5"/>
        <v>344rel_xpath</v>
      </c>
      <c r="B345" s="5" t="s">
        <v>3072</v>
      </c>
      <c r="C345" s="33" t="str">
        <f>_xlfn.XLOOKUP(Table264[[#This Row],[XPATHS]],Table33[&lt;&lt;NOLA_Exchange&gt;&gt;
Booking],Table33[python script],"")</f>
        <v/>
      </c>
      <c r="D345" s="33" t="str">
        <f>_xlfn.XLOOKUP(Table264[[#This Row],[XPATHS]],Table33[&lt;&lt;NOLA_Exchange&gt;&gt;
Booking],Table33['#],"")</f>
        <v/>
      </c>
    </row>
    <row r="346" spans="1:4" x14ac:dyDescent="0.3">
      <c r="A346" s="33" t="str">
        <f t="shared" si="5"/>
        <v>345rel_xpath</v>
      </c>
      <c r="B346" s="5" t="s">
        <v>3264</v>
      </c>
      <c r="C346" s="33" t="str">
        <f>_xlfn.XLOOKUP(Table264[[#This Row],[XPATHS]],Table33[&lt;&lt;NOLA_Exchange&gt;&gt;
Booking],Table33[python script],"")</f>
        <v/>
      </c>
      <c r="D346" s="33" t="str">
        <f>_xlfn.XLOOKUP(Table264[[#This Row],[XPATHS]],Table33[&lt;&lt;NOLA_Exchange&gt;&gt;
Booking],Table33['#],"")</f>
        <v/>
      </c>
    </row>
    <row r="347" spans="1:4" x14ac:dyDescent="0.3">
      <c r="A347" s="33" t="str">
        <f t="shared" si="5"/>
        <v>346rel_xpath</v>
      </c>
      <c r="B347" s="5" t="s">
        <v>3265</v>
      </c>
      <c r="C347" s="33" t="str">
        <f>_xlfn.XLOOKUP(Table264[[#This Row],[XPATHS]],Table33[&lt;&lt;NOLA_Exchange&gt;&gt;
Booking],Table33[python script],"")</f>
        <v/>
      </c>
      <c r="D347" s="33" t="str">
        <f>_xlfn.XLOOKUP(Table264[[#This Row],[XPATHS]],Table33[&lt;&lt;NOLA_Exchange&gt;&gt;
Booking],Table33['#],"")</f>
        <v/>
      </c>
    </row>
    <row r="348" spans="1:4" x14ac:dyDescent="0.3">
      <c r="A348" s="33" t="str">
        <f t="shared" si="5"/>
        <v>347rel_xpath</v>
      </c>
      <c r="B348" s="5" t="s">
        <v>2910</v>
      </c>
      <c r="C348" s="33" t="str">
        <f>_xlfn.XLOOKUP(Table264[[#This Row],[XPATHS]],Table33[&lt;&lt;NOLA_Exchange&gt;&gt;
Booking],Table33[python script],"")</f>
        <v/>
      </c>
      <c r="D348" s="33" t="str">
        <f>_xlfn.XLOOKUP(Table264[[#This Row],[XPATHS]],Table33[&lt;&lt;NOLA_Exchange&gt;&gt;
Booking],Table33['#],"")</f>
        <v/>
      </c>
    </row>
    <row r="349" spans="1:4" x14ac:dyDescent="0.3">
      <c r="A349" s="33" t="str">
        <f t="shared" si="5"/>
        <v>348rel_xpath</v>
      </c>
      <c r="B349" s="5" t="s">
        <v>976</v>
      </c>
      <c r="C349" s="33" t="str">
        <f>_xlfn.XLOOKUP(Table264[[#This Row],[XPATHS]],Table33[&lt;&lt;NOLA_Exchange&gt;&gt;
Booking],Table33[python script],"")</f>
        <v>"IFAO2F": "/j:Booking/j:Arrest/j:ArrestOfficial[2]/RoleOfPerson/PersonName/PersonGivenName",</v>
      </c>
      <c r="D349" s="33" t="str">
        <f>_xlfn.XLOOKUP(Table264[[#This Row],[XPATHS]],Table33[&lt;&lt;NOLA_Exchange&gt;&gt;
Booking],Table33['#],"")</f>
        <v>45expanded_IMFLDR_sorted</v>
      </c>
    </row>
    <row r="350" spans="1:4" x14ac:dyDescent="0.3">
      <c r="A350" s="33" t="str">
        <f t="shared" si="5"/>
        <v>349rel_xpath</v>
      </c>
      <c r="B350" s="5" t="s">
        <v>2831</v>
      </c>
      <c r="C350" s="33" t="str">
        <f>_xlfn.XLOOKUP(Table264[[#This Row],[XPATHS]],Table33[&lt;&lt;NOLA_Exchange&gt;&gt;
Booking],Table33[python script],"")</f>
        <v/>
      </c>
      <c r="D350" s="33" t="str">
        <f>_xlfn.XLOOKUP(Table264[[#This Row],[XPATHS]],Table33[&lt;&lt;NOLA_Exchange&gt;&gt;
Booking],Table33['#],"")</f>
        <v/>
      </c>
    </row>
    <row r="351" spans="1:4" x14ac:dyDescent="0.3">
      <c r="A351" s="33" t="str">
        <f t="shared" si="5"/>
        <v>350rel_xpath</v>
      </c>
      <c r="B351" s="5" t="s">
        <v>1054</v>
      </c>
      <c r="C351" s="33" t="str">
        <f>_xlfn.XLOOKUP(Table264[[#This Row],[XPATHS]],Table33[&lt;&lt;NOLA_Exchange&gt;&gt;
Booking],Table33[python script],"")</f>
        <v>"IFAO2L": "/j:Booking/j:Arrest/j:ArrestOfficial[2]/RoleOfPerson/PersonName/PersonSurName",</v>
      </c>
      <c r="D351" s="33" t="str">
        <f>_xlfn.XLOOKUP(Table264[[#This Row],[XPATHS]],Table33[&lt;&lt;NOLA_Exchange&gt;&gt;
Booking],Table33['#],"")</f>
        <v>48expanded_IMFLDR_sorted</v>
      </c>
    </row>
    <row r="352" spans="1:4" x14ac:dyDescent="0.3">
      <c r="A352" s="33" t="str">
        <f t="shared" si="5"/>
        <v>351rel_xpath</v>
      </c>
      <c r="B352" s="5" t="s">
        <v>2862</v>
      </c>
      <c r="C352" s="33" t="str">
        <f>_xlfn.XLOOKUP(Table264[[#This Row],[XPATHS]],Table33[&lt;&lt;NOLA_Exchange&gt;&gt;
Booking],Table33[python script],"")</f>
        <v/>
      </c>
      <c r="D352" s="33" t="str">
        <f>_xlfn.XLOOKUP(Table264[[#This Row],[XPATHS]],Table33[&lt;&lt;NOLA_Exchange&gt;&gt;
Booking],Table33['#],"")</f>
        <v/>
      </c>
    </row>
    <row r="353" spans="1:4" x14ac:dyDescent="0.3">
      <c r="A353" s="33" t="str">
        <f t="shared" si="5"/>
        <v>352rel_xpath</v>
      </c>
      <c r="B353" s="5" t="s">
        <v>1019</v>
      </c>
      <c r="C353" s="33" t="str">
        <f>_xlfn.XLOOKUP(Table264[[#This Row],[XPATHS]],Table33[&lt;&lt;NOLA_Exchange&gt;&gt;
Booking],Table33[python script],"")</f>
        <v/>
      </c>
      <c r="D353" s="33" t="str">
        <f>_xlfn.XLOOKUP(Table264[[#This Row],[XPATHS]],Table33[&lt;&lt;NOLA_Exchange&gt;&gt;
Booking],Table33['#],"")</f>
        <v/>
      </c>
    </row>
    <row r="354" spans="1:4" x14ac:dyDescent="0.3">
      <c r="A354" s="33" t="str">
        <f t="shared" si="5"/>
        <v>353rel_xpath</v>
      </c>
      <c r="B354" s="5" t="s">
        <v>3266</v>
      </c>
      <c r="C354" s="33" t="str">
        <f>_xlfn.XLOOKUP(Table264[[#This Row],[XPATHS]],Table33[&lt;&lt;NOLA_Exchange&gt;&gt;
Booking],Table33[python script],"")</f>
        <v/>
      </c>
      <c r="D354" s="33" t="str">
        <f>_xlfn.XLOOKUP(Table264[[#This Row],[XPATHS]],Table33[&lt;&lt;NOLA_Exchange&gt;&gt;
Booking],Table33['#],"")</f>
        <v/>
      </c>
    </row>
    <row r="355" spans="1:4" x14ac:dyDescent="0.3">
      <c r="A355" s="33" t="str">
        <f t="shared" si="5"/>
        <v>354rel_xpath</v>
      </c>
      <c r="B355" s="5" t="s">
        <v>3267</v>
      </c>
      <c r="C355" s="33" t="str">
        <f>_xlfn.XLOOKUP(Table264[[#This Row],[XPATHS]],Table33[&lt;&lt;NOLA_Exchange&gt;&gt;
Booking],Table33[python script],"")</f>
        <v/>
      </c>
      <c r="D355" s="33" t="str">
        <f>_xlfn.XLOOKUP(Table264[[#This Row],[XPATHS]],Table33[&lt;&lt;NOLA_Exchange&gt;&gt;
Booking],Table33['#],"")</f>
        <v/>
      </c>
    </row>
    <row r="356" spans="1:4" x14ac:dyDescent="0.3">
      <c r="A356" s="33" t="str">
        <f t="shared" si="5"/>
        <v>355rel_xpath</v>
      </c>
      <c r="B356" s="5" t="s">
        <v>1972</v>
      </c>
      <c r="C356" s="33" t="str">
        <f>_xlfn.XLOOKUP(Table264[[#This Row],[XPATHS]],Table33[&lt;&lt;NOLA_Exchange&gt;&gt;
Booking],Table33[python script],"")</f>
        <v/>
      </c>
      <c r="D356" s="33" t="str">
        <f>_xlfn.XLOOKUP(Table264[[#This Row],[XPATHS]],Table33[&lt;&lt;NOLA_Exchange&gt;&gt;
Booking],Table33['#],"")</f>
        <v/>
      </c>
    </row>
    <row r="357" spans="1:4" x14ac:dyDescent="0.3">
      <c r="A357" s="33" t="str">
        <f t="shared" si="5"/>
        <v>356rel_xpath</v>
      </c>
      <c r="B357" s="5" t="s">
        <v>3268</v>
      </c>
      <c r="C357" s="33" t="str">
        <f>_xlfn.XLOOKUP(Table264[[#This Row],[XPATHS]],Table33[&lt;&lt;NOLA_Exchange&gt;&gt;
Booking],Table33[python script],"")</f>
        <v/>
      </c>
      <c r="D357" s="33" t="str">
        <f>_xlfn.XLOOKUP(Table264[[#This Row],[XPATHS]],Table33[&lt;&lt;NOLA_Exchange&gt;&gt;
Booking],Table33['#],"")</f>
        <v/>
      </c>
    </row>
    <row r="358" spans="1:4" x14ac:dyDescent="0.3">
      <c r="A358" s="33" t="str">
        <f t="shared" si="5"/>
        <v>357rel_xpath</v>
      </c>
      <c r="B358" s="5" t="s">
        <v>3269</v>
      </c>
      <c r="C358" s="33" t="str">
        <f>_xlfn.XLOOKUP(Table264[[#This Row],[XPATHS]],Table33[&lt;&lt;NOLA_Exchange&gt;&gt;
Booking],Table33[python script],"")</f>
        <v/>
      </c>
      <c r="D358" s="33" t="str">
        <f>_xlfn.XLOOKUP(Table264[[#This Row],[XPATHS]],Table33[&lt;&lt;NOLA_Exchange&gt;&gt;
Booking],Table33['#],"")</f>
        <v/>
      </c>
    </row>
    <row r="359" spans="1:4" x14ac:dyDescent="0.3">
      <c r="A359" s="33" t="str">
        <f t="shared" si="5"/>
        <v>358rel_xpath</v>
      </c>
      <c r="B359" s="5" t="s">
        <v>3270</v>
      </c>
      <c r="C359" s="33" t="str">
        <f>_xlfn.XLOOKUP(Table264[[#This Row],[XPATHS]],Table33[&lt;&lt;NOLA_Exchange&gt;&gt;
Booking],Table33[python script],"")</f>
        <v/>
      </c>
      <c r="D359" s="33" t="str">
        <f>_xlfn.XLOOKUP(Table264[[#This Row],[XPATHS]],Table33[&lt;&lt;NOLA_Exchange&gt;&gt;
Booking],Table33['#],"")</f>
        <v/>
      </c>
    </row>
    <row r="360" spans="1:4" x14ac:dyDescent="0.3">
      <c r="A360" s="33" t="str">
        <f t="shared" si="5"/>
        <v>359rel_xpath</v>
      </c>
      <c r="B360" s="5" t="s">
        <v>3271</v>
      </c>
      <c r="C360" s="33" t="str">
        <f>_xlfn.XLOOKUP(Table264[[#This Row],[XPATHS]],Table33[&lt;&lt;NOLA_Exchange&gt;&gt;
Booking],Table33[python script],"")</f>
        <v/>
      </c>
      <c r="D360" s="33" t="str">
        <f>_xlfn.XLOOKUP(Table264[[#This Row],[XPATHS]],Table33[&lt;&lt;NOLA_Exchange&gt;&gt;
Booking],Table33['#],"")</f>
        <v/>
      </c>
    </row>
    <row r="361" spans="1:4" x14ac:dyDescent="0.3">
      <c r="A361" s="33" t="str">
        <f t="shared" si="5"/>
        <v>360rel_xpath</v>
      </c>
      <c r="B361" s="5" t="s">
        <v>3272</v>
      </c>
      <c r="C361" s="33" t="str">
        <f>_xlfn.XLOOKUP(Table264[[#This Row],[XPATHS]],Table33[&lt;&lt;NOLA_Exchange&gt;&gt;
Booking],Table33[python script],"")</f>
        <v/>
      </c>
      <c r="D361" s="33" t="str">
        <f>_xlfn.XLOOKUP(Table264[[#This Row],[XPATHS]],Table33[&lt;&lt;NOLA_Exchange&gt;&gt;
Booking],Table33['#],"")</f>
        <v/>
      </c>
    </row>
    <row r="362" spans="1:4" x14ac:dyDescent="0.3">
      <c r="A362" s="33" t="str">
        <f t="shared" si="5"/>
        <v>361rel_xpath</v>
      </c>
      <c r="B362" s="5" t="s">
        <v>670</v>
      </c>
      <c r="C362" s="33" t="str">
        <f>_xlfn.XLOOKUP(Table264[[#This Row],[XPATHS]],Table33[&lt;&lt;NOLA_Exchange&gt;&gt;
Booking],Table33[python script],"")</f>
        <v>"IFAO2B": "/j:Booking/j:Arrest/j:ArrestOfficial[2]/j:EnforcementOfficialBadgeIdentification/IdentificationID",</v>
      </c>
      <c r="D362" s="33" t="str">
        <f>_xlfn.XLOOKUP(Table264[[#This Row],[XPATHS]],Table33[&lt;&lt;NOLA_Exchange&gt;&gt;
Booking],Table33['#],"")</f>
        <v>24expanded_IMFLDR_sorted</v>
      </c>
    </row>
    <row r="363" spans="1:4" x14ac:dyDescent="0.3">
      <c r="A363" s="33" t="str">
        <f t="shared" si="5"/>
        <v>362rel_xpath</v>
      </c>
      <c r="B363" s="5" t="s">
        <v>694</v>
      </c>
      <c r="C363" s="33" t="str">
        <f>_xlfn.XLOOKUP(Table264[[#This Row],[XPATHS]],Table33[&lt;&lt;NOLA_Exchange&gt;&gt;
Booking],Table33[python script],"")</f>
        <v/>
      </c>
      <c r="D363" s="33" t="str">
        <f>_xlfn.XLOOKUP(Table264[[#This Row],[XPATHS]],Table33[&lt;&lt;NOLA_Exchange&gt;&gt;
Booking],Table33['#],"")</f>
        <v/>
      </c>
    </row>
    <row r="364" spans="1:4" x14ac:dyDescent="0.3">
      <c r="A364" s="33" t="str">
        <f t="shared" si="5"/>
        <v>363rel_xpath</v>
      </c>
      <c r="B364" s="5" t="s">
        <v>3273</v>
      </c>
      <c r="C364" s="33" t="str">
        <f>_xlfn.XLOOKUP(Table264[[#This Row],[XPATHS]],Table33[&lt;&lt;NOLA_Exchange&gt;&gt;
Booking],Table33[python script],"")</f>
        <v/>
      </c>
      <c r="D364" s="33" t="str">
        <f>_xlfn.XLOOKUP(Table264[[#This Row],[XPATHS]],Table33[&lt;&lt;NOLA_Exchange&gt;&gt;
Booking],Table33['#],"")</f>
        <v/>
      </c>
    </row>
    <row r="365" spans="1:4" x14ac:dyDescent="0.3">
      <c r="A365" s="33" t="str">
        <f t="shared" si="5"/>
        <v>364rel_xpath</v>
      </c>
      <c r="B365" s="5" t="s">
        <v>687</v>
      </c>
      <c r="C365" s="33" t="str">
        <f>_xlfn.XLOOKUP(Table264[[#This Row],[XPATHS]],Table33[&lt;&lt;NOLA_Exchange&gt;&gt;
Booking],Table33[python script],"")</f>
        <v/>
      </c>
      <c r="D365" s="33" t="str">
        <f>_xlfn.XLOOKUP(Table264[[#This Row],[XPATHS]],Table33[&lt;&lt;NOLA_Exchange&gt;&gt;
Booking],Table33['#],"")</f>
        <v/>
      </c>
    </row>
    <row r="366" spans="1:4" x14ac:dyDescent="0.3">
      <c r="A366" s="33" t="str">
        <f t="shared" si="5"/>
        <v>365rel_xpath</v>
      </c>
      <c r="B366" s="5" t="s">
        <v>3274</v>
      </c>
      <c r="C366" s="33" t="str">
        <f>_xlfn.XLOOKUP(Table264[[#This Row],[XPATHS]],Table33[&lt;&lt;NOLA_Exchange&gt;&gt;
Booking],Table33[python script],"")</f>
        <v/>
      </c>
      <c r="D366" s="33" t="str">
        <f>_xlfn.XLOOKUP(Table264[[#This Row],[XPATHS]],Table33[&lt;&lt;NOLA_Exchange&gt;&gt;
Booking],Table33['#],"")</f>
        <v/>
      </c>
    </row>
    <row r="367" spans="1:4" x14ac:dyDescent="0.3">
      <c r="A367" s="33" t="str">
        <f t="shared" si="5"/>
        <v>366rel_xpath</v>
      </c>
      <c r="B367" s="5" t="s">
        <v>3275</v>
      </c>
      <c r="C367" s="33" t="str">
        <f>_xlfn.XLOOKUP(Table264[[#This Row],[XPATHS]],Table33[&lt;&lt;NOLA_Exchange&gt;&gt;
Booking],Table33[python script],"")</f>
        <v/>
      </c>
      <c r="D367" s="33" t="str">
        <f>_xlfn.XLOOKUP(Table264[[#This Row],[XPATHS]],Table33[&lt;&lt;NOLA_Exchange&gt;&gt;
Booking],Table33['#],"")</f>
        <v/>
      </c>
    </row>
    <row r="368" spans="1:4" x14ac:dyDescent="0.3">
      <c r="A368" s="33" t="str">
        <f t="shared" si="5"/>
        <v>367rel_xpath</v>
      </c>
      <c r="B368" s="5" t="s">
        <v>1433</v>
      </c>
      <c r="C368" s="33" t="str">
        <f>_xlfn.XLOOKUP(Table264[[#This Row],[XPATHS]],Table33[&lt;&lt;NOLA_Exchange&gt;&gt;
Booking],Table33[python script],"")</f>
        <v/>
      </c>
      <c r="D368" s="33" t="str">
        <f>_xlfn.XLOOKUP(Table264[[#This Row],[XPATHS]],Table33[&lt;&lt;NOLA_Exchange&gt;&gt;
Booking],Table33['#],"")</f>
        <v/>
      </c>
    </row>
    <row r="369" spans="1:4" x14ac:dyDescent="0.3">
      <c r="A369" s="33" t="str">
        <f t="shared" si="5"/>
        <v>368rel_xpath</v>
      </c>
      <c r="B369" s="5" t="s">
        <v>707</v>
      </c>
      <c r="C369" s="33" t="str">
        <f>_xlfn.XLOOKUP(Table264[[#This Row],[XPATHS]],Table33[&lt;&lt;NOLA_Exchange&gt;&gt;
Booking],Table33[python script],"")</f>
        <v>"IFAO2U": "/j:Booking/j:Arrest/j:ArrestOfficial[2]/j:EnforcementOfficialUnit/j:EnforcementUnitName",</v>
      </c>
      <c r="D369" s="33" t="str">
        <f>_xlfn.XLOOKUP(Table264[[#This Row],[XPATHS]],Table33[&lt;&lt;NOLA_Exchange&gt;&gt;
Booking],Table33['#],"")</f>
        <v>25expanded_IMFLDR_sorted</v>
      </c>
    </row>
    <row r="370" spans="1:4" x14ac:dyDescent="0.3">
      <c r="A370" s="33" t="str">
        <f t="shared" si="5"/>
        <v>369rel_xpath</v>
      </c>
      <c r="B370" s="5" t="s">
        <v>3276</v>
      </c>
      <c r="C370" s="33" t="str">
        <f>_xlfn.XLOOKUP(Table264[[#This Row],[XPATHS]],Table33[&lt;&lt;NOLA_Exchange&gt;&gt;
Booking],Table33[python script],"")</f>
        <v/>
      </c>
      <c r="D370" s="33" t="str">
        <f>_xlfn.XLOOKUP(Table264[[#This Row],[XPATHS]],Table33[&lt;&lt;NOLA_Exchange&gt;&gt;
Booking],Table33['#],"")</f>
        <v/>
      </c>
    </row>
    <row r="371" spans="1:4" x14ac:dyDescent="0.3">
      <c r="A371" s="33" t="str">
        <f t="shared" si="5"/>
        <v>370rel_xpath</v>
      </c>
      <c r="B371" s="5" t="s">
        <v>3277</v>
      </c>
      <c r="C371" s="33" t="str">
        <f>_xlfn.XLOOKUP(Table264[[#This Row],[XPATHS]],Table33[&lt;&lt;NOLA_Exchange&gt;&gt;
Booking],Table33[python script],"")</f>
        <v/>
      </c>
      <c r="D371" s="33" t="str">
        <f>_xlfn.XLOOKUP(Table264[[#This Row],[XPATHS]],Table33[&lt;&lt;NOLA_Exchange&gt;&gt;
Booking],Table33['#],"")</f>
        <v/>
      </c>
    </row>
    <row r="372" spans="1:4" x14ac:dyDescent="0.3">
      <c r="A372" s="33" t="str">
        <f t="shared" si="5"/>
        <v>371rel_xpath</v>
      </c>
      <c r="B372" s="5" t="s">
        <v>3278</v>
      </c>
      <c r="C372" s="33" t="str">
        <f>_xlfn.XLOOKUP(Table264[[#This Row],[XPATHS]],Table33[&lt;&lt;NOLA_Exchange&gt;&gt;
Booking],Table33[python script],"")</f>
        <v/>
      </c>
      <c r="D372" s="33" t="str">
        <f>_xlfn.XLOOKUP(Table264[[#This Row],[XPATHS]],Table33[&lt;&lt;NOLA_Exchange&gt;&gt;
Booking],Table33['#],"")</f>
        <v/>
      </c>
    </row>
    <row r="373" spans="1:4" x14ac:dyDescent="0.3">
      <c r="A373" s="33" t="str">
        <f t="shared" si="5"/>
        <v>372rel_xpath</v>
      </c>
      <c r="B373" s="5" t="s">
        <v>655</v>
      </c>
      <c r="C373" s="33" t="str">
        <f>_xlfn.XLOOKUP(Table264[[#This Row],[XPATHS]],Table33[&lt;&lt;NOLA_Exchange&gt;&gt;
Booking],Table33[python script],"")</f>
        <v/>
      </c>
      <c r="D373" s="33" t="str">
        <f>_xlfn.XLOOKUP(Table264[[#This Row],[XPATHS]],Table33[&lt;&lt;NOLA_Exchange&gt;&gt;
Booking],Table33['#],"")</f>
        <v/>
      </c>
    </row>
    <row r="374" spans="1:4" x14ac:dyDescent="0.3">
      <c r="A374" s="33" t="str">
        <f t="shared" si="5"/>
        <v>373rel_xpath</v>
      </c>
      <c r="B374" s="5" t="s">
        <v>3279</v>
      </c>
      <c r="C374" s="33" t="str">
        <f>_xlfn.XLOOKUP(Table264[[#This Row],[XPATHS]],Table33[&lt;&lt;NOLA_Exchange&gt;&gt;
Booking],Table33[python script],"")</f>
        <v/>
      </c>
      <c r="D374" s="33" t="str">
        <f>_xlfn.XLOOKUP(Table264[[#This Row],[XPATHS]],Table33[&lt;&lt;NOLA_Exchange&gt;&gt;
Booking],Table33['#],"")</f>
        <v/>
      </c>
    </row>
    <row r="375" spans="1:4" x14ac:dyDescent="0.3">
      <c r="A375" s="33" t="str">
        <f t="shared" si="5"/>
        <v>374rel_xpath</v>
      </c>
      <c r="B375" s="5" t="s">
        <v>3280</v>
      </c>
      <c r="C375" s="33" t="str">
        <f>_xlfn.XLOOKUP(Table264[[#This Row],[XPATHS]],Table33[&lt;&lt;NOLA_Exchange&gt;&gt;
Booking],Table33[python script],"")</f>
        <v/>
      </c>
      <c r="D375" s="33" t="str">
        <f>_xlfn.XLOOKUP(Table264[[#This Row],[XPATHS]],Table33[&lt;&lt;NOLA_Exchange&gt;&gt;
Booking],Table33['#],"")</f>
        <v/>
      </c>
    </row>
    <row r="376" spans="1:4" x14ac:dyDescent="0.3">
      <c r="A376" s="33" t="str">
        <f t="shared" si="5"/>
        <v>375rel_xpath</v>
      </c>
      <c r="B376" s="5" t="s">
        <v>3281</v>
      </c>
      <c r="C376" s="33" t="str">
        <f>_xlfn.XLOOKUP(Table264[[#This Row],[XPATHS]],Table33[&lt;&lt;NOLA_Exchange&gt;&gt;
Booking],Table33[python script],"")</f>
        <v/>
      </c>
      <c r="D376" s="33" t="str">
        <f>_xlfn.XLOOKUP(Table264[[#This Row],[XPATHS]],Table33[&lt;&lt;NOLA_Exchange&gt;&gt;
Booking],Table33['#],"")</f>
        <v/>
      </c>
    </row>
    <row r="377" spans="1:4" x14ac:dyDescent="0.3">
      <c r="A377" s="33" t="str">
        <f t="shared" si="5"/>
        <v>376rel_xpath</v>
      </c>
      <c r="B377" s="5" t="s">
        <v>3282</v>
      </c>
      <c r="C377" s="33" t="str">
        <f>_xlfn.XLOOKUP(Table264[[#This Row],[XPATHS]],Table33[&lt;&lt;NOLA_Exchange&gt;&gt;
Booking],Table33[python script],"")</f>
        <v/>
      </c>
      <c r="D377" s="33" t="str">
        <f>_xlfn.XLOOKUP(Table264[[#This Row],[XPATHS]],Table33[&lt;&lt;NOLA_Exchange&gt;&gt;
Booking],Table33['#],"")</f>
        <v/>
      </c>
    </row>
    <row r="378" spans="1:4" x14ac:dyDescent="0.3">
      <c r="A378" s="33" t="str">
        <f t="shared" si="5"/>
        <v>377rel_xpath</v>
      </c>
      <c r="B378" s="5" t="s">
        <v>2000</v>
      </c>
      <c r="C378" s="33" t="str">
        <f>_xlfn.XLOOKUP(Table264[[#This Row],[XPATHS]],Table33[&lt;&lt;NOLA_Exchange&gt;&gt;
Booking],Table33[python script],"")</f>
        <v/>
      </c>
      <c r="D378" s="33" t="str">
        <f>_xlfn.XLOOKUP(Table264[[#This Row],[XPATHS]],Table33[&lt;&lt;NOLA_Exchange&gt;&gt;
Booking],Table33['#],"")</f>
        <v/>
      </c>
    </row>
    <row r="379" spans="1:4" x14ac:dyDescent="0.3">
      <c r="A379" s="33" t="str">
        <f t="shared" si="5"/>
        <v>378rel_xpath</v>
      </c>
      <c r="B379" s="5" t="s">
        <v>3283</v>
      </c>
      <c r="C379" s="33" t="str">
        <f>_xlfn.XLOOKUP(Table264[[#This Row],[XPATHS]],Table33[&lt;&lt;NOLA_Exchange&gt;&gt;
Booking],Table33[python script],"")</f>
        <v/>
      </c>
      <c r="D379" s="33" t="str">
        <f>_xlfn.XLOOKUP(Table264[[#This Row],[XPATHS]],Table33[&lt;&lt;NOLA_Exchange&gt;&gt;
Booking],Table33['#],"")</f>
        <v/>
      </c>
    </row>
    <row r="380" spans="1:4" x14ac:dyDescent="0.3">
      <c r="A380" s="33" t="str">
        <f t="shared" si="5"/>
        <v>379rel_xpath</v>
      </c>
      <c r="B380" s="5" t="s">
        <v>3284</v>
      </c>
      <c r="C380" s="33" t="str">
        <f>_xlfn.XLOOKUP(Table264[[#This Row],[XPATHS]],Table33[&lt;&lt;NOLA_Exchange&gt;&gt;
Booking],Table33[python script],"")</f>
        <v/>
      </c>
      <c r="D380" s="33" t="str">
        <f>_xlfn.XLOOKUP(Table264[[#This Row],[XPATHS]],Table33[&lt;&lt;NOLA_Exchange&gt;&gt;
Booking],Table33['#],"")</f>
        <v/>
      </c>
    </row>
    <row r="381" spans="1:4" x14ac:dyDescent="0.3">
      <c r="A381" s="33" t="str">
        <f t="shared" si="5"/>
        <v>380rel_xpath</v>
      </c>
      <c r="B381" s="5" t="s">
        <v>2018</v>
      </c>
      <c r="C381" s="33" t="str">
        <f>_xlfn.XLOOKUP(Table264[[#This Row],[XPATHS]],Table33[&lt;&lt;NOLA_Exchange&gt;&gt;
Booking],Table33[python script],"")</f>
        <v/>
      </c>
      <c r="D381" s="33" t="str">
        <f>_xlfn.XLOOKUP(Table264[[#This Row],[XPATHS]],Table33[&lt;&lt;NOLA_Exchange&gt;&gt;
Booking],Table33['#],"")</f>
        <v/>
      </c>
    </row>
    <row r="382" spans="1:4" x14ac:dyDescent="0.3">
      <c r="A382" s="33" t="str">
        <f t="shared" si="5"/>
        <v>381rel_xpath</v>
      </c>
      <c r="B382" s="5" t="s">
        <v>367</v>
      </c>
      <c r="C382" s="33" t="str">
        <f>_xlfn.XLOOKUP(Table264[[#This Row],[XPATHS]],Table33[&lt;&lt;NOLA_Exchange&gt;&gt;
Booking],Table33[python script],"")</f>
        <v/>
      </c>
      <c r="D382" s="33" t="str">
        <f>_xlfn.XLOOKUP(Table264[[#This Row],[XPATHS]],Table33[&lt;&lt;NOLA_Exchange&gt;&gt;
Booking],Table33['#],"")</f>
        <v/>
      </c>
    </row>
    <row r="383" spans="1:4" x14ac:dyDescent="0.3">
      <c r="A383" s="33" t="str">
        <f t="shared" si="5"/>
        <v>382rel_xpath</v>
      </c>
      <c r="B383" s="5" t="s">
        <v>1992</v>
      </c>
      <c r="C383" s="33" t="str">
        <f>_xlfn.XLOOKUP(Table264[[#This Row],[XPATHS]],Table33[&lt;&lt;NOLA_Exchange&gt;&gt;
Booking],Table33[python script],"")</f>
        <v/>
      </c>
      <c r="D383" s="33" t="str">
        <f>_xlfn.XLOOKUP(Table264[[#This Row],[XPATHS]],Table33[&lt;&lt;NOLA_Exchange&gt;&gt;
Booking],Table33['#],"")</f>
        <v/>
      </c>
    </row>
    <row r="384" spans="1:4" x14ac:dyDescent="0.3">
      <c r="A384" s="33" t="str">
        <f t="shared" si="5"/>
        <v>383rel_xpath</v>
      </c>
      <c r="B384" s="5" t="s">
        <v>3285</v>
      </c>
      <c r="C384" s="33" t="str">
        <f>_xlfn.XLOOKUP(Table264[[#This Row],[XPATHS]],Table33[&lt;&lt;NOLA_Exchange&gt;&gt;
Booking],Table33[python script],"")</f>
        <v/>
      </c>
      <c r="D384" s="33" t="str">
        <f>_xlfn.XLOOKUP(Table264[[#This Row],[XPATHS]],Table33[&lt;&lt;NOLA_Exchange&gt;&gt;
Booking],Table33['#],"")</f>
        <v/>
      </c>
    </row>
    <row r="385" spans="1:4" x14ac:dyDescent="0.3">
      <c r="A385" s="33" t="str">
        <f t="shared" si="5"/>
        <v>384rel_xpath</v>
      </c>
      <c r="B385" s="5" t="s">
        <v>1434</v>
      </c>
      <c r="C385" s="33" t="str">
        <f>_xlfn.XLOOKUP(Table264[[#This Row],[XPATHS]],Table33[&lt;&lt;NOLA_Exchange&gt;&gt;
Booking],Table33[python script],"")</f>
        <v/>
      </c>
      <c r="D385" s="33" t="str">
        <f>_xlfn.XLOOKUP(Table264[[#This Row],[XPATHS]],Table33[&lt;&lt;NOLA_Exchange&gt;&gt;
Booking],Table33['#],"")</f>
        <v/>
      </c>
    </row>
    <row r="386" spans="1:4" x14ac:dyDescent="0.3">
      <c r="A386" s="33" t="str">
        <f t="shared" ref="A386:A393" si="6">ROW(A385)&amp;"rel_xpath"</f>
        <v>385rel_xpath</v>
      </c>
      <c r="B386" s="5" t="s">
        <v>2013</v>
      </c>
      <c r="C386" s="33" t="str">
        <f>_xlfn.XLOOKUP(Table264[[#This Row],[XPATHS]],Table33[&lt;&lt;NOLA_Exchange&gt;&gt;
Booking],Table33[python script],"")</f>
        <v/>
      </c>
      <c r="D386" s="33" t="str">
        <f>_xlfn.XLOOKUP(Table264[[#This Row],[XPATHS]],Table33[&lt;&lt;NOLA_Exchange&gt;&gt;
Booking],Table33['#],"")</f>
        <v/>
      </c>
    </row>
    <row r="387" spans="1:4" x14ac:dyDescent="0.3">
      <c r="A387" s="33" t="str">
        <f t="shared" si="6"/>
        <v>386rel_xpath</v>
      </c>
      <c r="B387" s="5" t="s">
        <v>563</v>
      </c>
      <c r="C387" s="33" t="str">
        <f>_xlfn.XLOOKUP(Table264[[#This Row],[XPATHS]],Table33[&lt;&lt;NOLA_Exchange&gt;&gt;
Booking],Table33[python script],"")</f>
        <v/>
      </c>
      <c r="D387" s="33" t="str">
        <f>_xlfn.XLOOKUP(Table264[[#This Row],[XPATHS]],Table33[&lt;&lt;NOLA_Exchange&gt;&gt;
Booking],Table33['#],"")</f>
        <v/>
      </c>
    </row>
    <row r="388" spans="1:4" x14ac:dyDescent="0.3">
      <c r="A388" s="33" t="str">
        <f t="shared" si="6"/>
        <v>387rel_xpath</v>
      </c>
      <c r="B388" s="5" t="s">
        <v>3509</v>
      </c>
      <c r="C388" s="33" t="str">
        <f>_xlfn.XLOOKUP(Table264[[#This Row],[XPATHS]],Table33[&lt;&lt;NOLA_Exchange&gt;&gt;
Booking],Table33[python script],"")</f>
        <v/>
      </c>
      <c r="D388" s="33" t="str">
        <f>_xlfn.XLOOKUP(Table264[[#This Row],[XPATHS]],Table33[&lt;&lt;NOLA_Exchange&gt;&gt;
Booking],Table33['#],"")</f>
        <v/>
      </c>
    </row>
    <row r="389" spans="1:4" x14ac:dyDescent="0.3">
      <c r="A389" s="33" t="str">
        <f t="shared" si="6"/>
        <v>388rel_xpath</v>
      </c>
      <c r="B389" s="5" t="s">
        <v>3510</v>
      </c>
      <c r="C389" s="33" t="str">
        <f>_xlfn.XLOOKUP(Table264[[#This Row],[XPATHS]],Table33[&lt;&lt;NOLA_Exchange&gt;&gt;
Booking],Table33[python script],"")</f>
        <v/>
      </c>
      <c r="D389" s="33" t="str">
        <f>_xlfn.XLOOKUP(Table264[[#This Row],[XPATHS]],Table33[&lt;&lt;NOLA_Exchange&gt;&gt;
Booking],Table33['#],"")</f>
        <v/>
      </c>
    </row>
    <row r="390" spans="1:4" x14ac:dyDescent="0.3">
      <c r="A390" s="33" t="str">
        <f t="shared" si="6"/>
        <v>389rel_xpath</v>
      </c>
      <c r="B390" s="5" t="s">
        <v>3286</v>
      </c>
      <c r="C390" s="33" t="str">
        <f>_xlfn.XLOOKUP(Table264[[#This Row],[XPATHS]],Table33[&lt;&lt;NOLA_Exchange&gt;&gt;
Booking],Table33[python script],"")</f>
        <v/>
      </c>
      <c r="D390" s="33" t="str">
        <f>_xlfn.XLOOKUP(Table264[[#This Row],[XPATHS]],Table33[&lt;&lt;NOLA_Exchange&gt;&gt;
Booking],Table33['#],"")</f>
        <v/>
      </c>
    </row>
    <row r="391" spans="1:4" x14ac:dyDescent="0.3">
      <c r="A391" s="33" t="str">
        <f t="shared" si="6"/>
        <v>390rel_xpath</v>
      </c>
      <c r="B391" s="5" t="s">
        <v>3287</v>
      </c>
      <c r="C391" s="33" t="str">
        <f>_xlfn.XLOOKUP(Table264[[#This Row],[XPATHS]],Table33[&lt;&lt;NOLA_Exchange&gt;&gt;
Booking],Table33[python script],"")</f>
        <v/>
      </c>
      <c r="D391" s="33" t="str">
        <f>_xlfn.XLOOKUP(Table264[[#This Row],[XPATHS]],Table33[&lt;&lt;NOLA_Exchange&gt;&gt;
Booking],Table33['#],"")</f>
        <v/>
      </c>
    </row>
    <row r="392" spans="1:4" x14ac:dyDescent="0.3">
      <c r="A392" s="33" t="str">
        <f t="shared" si="6"/>
        <v>391rel_xpath</v>
      </c>
      <c r="B392" s="5" t="s">
        <v>2312</v>
      </c>
      <c r="C392" s="33" t="str">
        <f>_xlfn.XLOOKUP(Table264[[#This Row],[XPATHS]],Table33[&lt;&lt;NOLA_Exchange&gt;&gt;
Booking],Table33[python script],"")</f>
        <v/>
      </c>
      <c r="D392" s="33" t="str">
        <f>_xlfn.XLOOKUP(Table264[[#This Row],[XPATHS]],Table33[&lt;&lt;NOLA_Exchange&gt;&gt;
Booking],Table33['#],"")</f>
        <v/>
      </c>
    </row>
    <row r="393" spans="1:4" x14ac:dyDescent="0.3">
      <c r="A393" s="33" t="str">
        <f t="shared" si="6"/>
        <v>392rel_xpath</v>
      </c>
      <c r="B393" s="5" t="s">
        <v>3288</v>
      </c>
      <c r="C393" s="33" t="str">
        <f>_xlfn.XLOOKUP(Table264[[#This Row],[XPATHS]],Table33[&lt;&lt;NOLA_Exchange&gt;&gt;
Booking],Table33[python script],"")</f>
        <v/>
      </c>
      <c r="D393" s="33" t="str">
        <f>_xlfn.XLOOKUP(Table264[[#This Row],[XPATHS]],Table33[&lt;&lt;NOLA_Exchange&gt;&gt;
Booking],Table33['#],"")</f>
        <v/>
      </c>
    </row>
    <row r="394" spans="1:4" x14ac:dyDescent="0.3">
      <c r="A394" s="33" t="str">
        <f>ROW(A393)&amp;"rel_xpath"</f>
        <v>393rel_xpath</v>
      </c>
      <c r="B394" s="5" t="s">
        <v>2086</v>
      </c>
      <c r="C394" s="33" t="str">
        <f>_xlfn.XLOOKUP(Table264[[#This Row],[XPATHS]],Table33[&lt;&lt;NOLA_Exchange&gt;&gt;
Booking],Table33[python script],"")</f>
        <v/>
      </c>
      <c r="D394" s="33" t="str">
        <f>_xlfn.XLOOKUP(Table264[[#This Row],[XPATHS]],Table33[&lt;&lt;NOLA_Exchange&gt;&gt;
Booking],Table33['#],"")</f>
        <v/>
      </c>
    </row>
  </sheetData>
  <conditionalFormatting sqref="D2:D394">
    <cfRule type="duplicateValues" dxfId="4" priority="345"/>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05C77-3652-42DC-AD07-8E7A27B9D435}">
  <sheetPr>
    <tabColor theme="9" tint="0.39997558519241921"/>
  </sheetPr>
  <dimension ref="A1:E61"/>
  <sheetViews>
    <sheetView workbookViewId="0">
      <selection activeCell="E2" sqref="E2"/>
    </sheetView>
  </sheetViews>
  <sheetFormatPr defaultColWidth="9.109375" defaultRowHeight="14.4" x14ac:dyDescent="0.3"/>
  <cols>
    <col min="1" max="1" width="13.44140625" style="33" bestFit="1" customWidth="1"/>
    <col min="2" max="2" width="9" style="33" customWidth="1"/>
    <col min="3" max="3" width="156.88671875" style="33" customWidth="1"/>
    <col min="4" max="4" width="72.21875" style="33" customWidth="1"/>
    <col min="5" max="5" width="39.88671875" style="33" bestFit="1" customWidth="1"/>
    <col min="6" max="16384" width="9.109375" style="33"/>
  </cols>
  <sheetData>
    <row r="1" spans="1:5" ht="21" customHeight="1" x14ac:dyDescent="0.3">
      <c r="A1" s="33" t="s">
        <v>3289</v>
      </c>
      <c r="B1" s="33" t="s">
        <v>3290</v>
      </c>
      <c r="C1" s="46" t="s">
        <v>3093</v>
      </c>
      <c r="D1" s="47" t="s">
        <v>3094</v>
      </c>
      <c r="E1" s="33" t="s">
        <v>3291</v>
      </c>
    </row>
    <row r="2" spans="1:5" x14ac:dyDescent="0.3">
      <c r="A2" s="33" t="str">
        <f t="shared" ref="A2:A56" si="0">ROW(A1)&amp;"rel_python"</f>
        <v>1rel_python</v>
      </c>
      <c r="B2" s="33" t="s">
        <v>3292</v>
      </c>
      <c r="C2" s="33" t="s">
        <v>407</v>
      </c>
      <c r="D2" s="48" t="str">
        <f>_xlfn.XLOOKUP(Table85[[#This Row],[XPATHS]],Table264[XPATHS],Table264[Python.map],"0 Xpath does not exist")</f>
        <v>"IFBKPN": "/j:Booking/ActivityDate/DateTime",</v>
      </c>
      <c r="E2" s="33" t="str">
        <f>_xlfn.XLOOKUP(Table85[[#This Row],[Python.map]],Table33[python script],Table33[field description],"1!DNE!1")</f>
        <v>fieldDesc: "BookedAMPM"</v>
      </c>
    </row>
    <row r="3" spans="1:5" x14ac:dyDescent="0.3">
      <c r="A3" s="33" t="str">
        <f t="shared" si="0"/>
        <v>2rel_python</v>
      </c>
      <c r="C3" s="33" t="s">
        <v>407</v>
      </c>
      <c r="D3" s="48" t="s">
        <v>3534</v>
      </c>
      <c r="E3" s="49" t="str">
        <f>_xlfn.XLOOKUP(Table85[[#This Row],[Python.map]],Table33[python script],Table33[field description],"1!DNE!1")</f>
        <v>fieldDesc: "BookedDate"</v>
      </c>
    </row>
    <row r="4" spans="1:5" x14ac:dyDescent="0.3">
      <c r="A4" s="33" t="str">
        <f t="shared" si="0"/>
        <v>3rel_python</v>
      </c>
      <c r="C4" s="33" t="s">
        <v>407</v>
      </c>
      <c r="D4" s="48" t="s">
        <v>3535</v>
      </c>
      <c r="E4" s="33" t="str">
        <f>_xlfn.XLOOKUP(Table85[[#This Row],[Python.map]],Table33[python script],Table33[field description],"1!DNE!1")</f>
        <v>fieldDesc: "BookedTime"</v>
      </c>
    </row>
    <row r="5" spans="1:5" x14ac:dyDescent="0.3">
      <c r="A5" s="33" t="str">
        <f t="shared" si="0"/>
        <v>4rel_python</v>
      </c>
      <c r="B5" s="33" t="s">
        <v>3511</v>
      </c>
      <c r="C5" s="33" t="s">
        <v>362</v>
      </c>
      <c r="D5" s="48" t="str">
        <f>_xlfn.XLOOKUP(Table85[[#This Row],[XPATHS]],Table264[XPATHS],Table264[Python.map],"0 Xpath does not exist")</f>
        <v>"IFAGCY": "/j:Booking/j:BookingAgency/OrganizationName",</v>
      </c>
      <c r="E5" s="33" t="str">
        <f>_xlfn.XLOOKUP(Table85[[#This Row],[Python.map]],Table33[python script],Table33[field description],"1!DNE!1")</f>
        <v>fieldDesc: "Agency"</v>
      </c>
    </row>
    <row r="6" spans="1:5" x14ac:dyDescent="0.3">
      <c r="A6" s="33" t="str">
        <f t="shared" si="0"/>
        <v>5rel_python</v>
      </c>
      <c r="B6" s="33" t="s">
        <v>3296</v>
      </c>
      <c r="C6" s="33" t="s">
        <v>445</v>
      </c>
      <c r="D6" s="48" t="str">
        <f>_xlfn.XLOOKUP(Table85[[#This Row],[XPATHS]],Table264[XPATHS],Table264[Python.map],"0 Xpath does not exist")</f>
        <v>"IFSCNO": "/j:Booking/j:BookingAgencyRecordIdentification/IdentificationID",</v>
      </c>
      <c r="E6" s="33" t="str">
        <f>_xlfn.XLOOKUP(Table85[[#This Row],[Python.map]],Table33[python script],Table33[field description],"1!DNE!1")</f>
        <v>fieldDesc: "SCN"</v>
      </c>
    </row>
    <row r="7" spans="1:5" x14ac:dyDescent="0.3">
      <c r="A7" s="33" t="str">
        <f t="shared" si="0"/>
        <v>6rel_python</v>
      </c>
      <c r="B7" s="33" t="s">
        <v>3298</v>
      </c>
      <c r="C7" s="33" t="s">
        <v>377</v>
      </c>
      <c r="D7" s="48" t="str">
        <f>_xlfn.XLOOKUP(Table85[[#This Row],[XPATHS]],Table264[XPATHS],Table264[Python.map],"0 Xpath does not exist")</f>
        <v>"IFFLDR": "/j:Booking/j:BookingDocumentControlIdentification/IdentificationID",</v>
      </c>
      <c r="E7" s="33" t="str">
        <f>_xlfn.XLOOKUP(Table85[[#This Row],[Python.map]],Table33[python script],Table33[field description],"1!DNE!1")</f>
        <v>fieldDesc: "FolderNumber"</v>
      </c>
    </row>
    <row r="8" spans="1:5" x14ac:dyDescent="0.3">
      <c r="A8" s="33" t="str">
        <f t="shared" si="0"/>
        <v>7rel_python</v>
      </c>
      <c r="B8" s="33" t="s">
        <v>3512</v>
      </c>
      <c r="C8" s="33" t="s">
        <v>1114</v>
      </c>
      <c r="D8" s="48" t="str">
        <f>_xlfn.XLOOKUP(Table85[[#This Row],[XPATHS]],Table264[XPATHS],Table264[Python.map],"0 Xpath does not exist")</f>
        <v>"IFRLRT": "/j:Booking/j:BookingRelease/ActivityComment/CommentText",</v>
      </c>
      <c r="E8" s="33" t="str">
        <f>_xlfn.XLOOKUP(Table85[[#This Row],[Python.map]],Table33[python script],Table33[field description],"1!DNE!1")</f>
        <v>fieldDesc: "ReasonforRelease"</v>
      </c>
    </row>
    <row r="9" spans="1:5" x14ac:dyDescent="0.3">
      <c r="A9" s="33" t="str">
        <f t="shared" si="0"/>
        <v>8rel_python</v>
      </c>
      <c r="B9" s="33" t="s">
        <v>3513</v>
      </c>
      <c r="C9" s="33" t="s">
        <v>1123</v>
      </c>
      <c r="D9" s="48" t="s">
        <v>3536</v>
      </c>
      <c r="E9" s="49" t="str">
        <f>_xlfn.XLOOKUP(Table85[[#This Row],[Python.map]],Table33[python script],Table33[field description],"1!DNE!1")</f>
        <v>fieldDesc: "ReleaseDate"</v>
      </c>
    </row>
    <row r="10" spans="1:5" x14ac:dyDescent="0.3">
      <c r="A10" s="33" t="str">
        <f t="shared" si="0"/>
        <v>9rel_python</v>
      </c>
      <c r="C10" s="33" t="s">
        <v>1123</v>
      </c>
      <c r="D10" s="48" t="s">
        <v>3537</v>
      </c>
      <c r="E10" s="33" t="str">
        <f>_xlfn.XLOOKUP(Table85[[#This Row],[Python.map]],Table33[python script],Table33[field description],"1!DNE!1")</f>
        <v>fieldDesc: "ReleaseAMPM"</v>
      </c>
    </row>
    <row r="11" spans="1:5" x14ac:dyDescent="0.3">
      <c r="A11" s="33" t="str">
        <f t="shared" si="0"/>
        <v>10rel_python</v>
      </c>
      <c r="C11" s="33" t="s">
        <v>1123</v>
      </c>
      <c r="D11" s="48" t="s">
        <v>3538</v>
      </c>
      <c r="E11" s="33" t="str">
        <f>_xlfn.XLOOKUP(Table85[[#This Row],[Python.map]],Table33[python script],Table33[field description],"1!DNE!1")</f>
        <v>fieldDesc: "ReleaseTime"</v>
      </c>
    </row>
    <row r="12" spans="1:5" x14ac:dyDescent="0.3">
      <c r="A12" s="33" t="str">
        <f t="shared" si="0"/>
        <v>11rel_python</v>
      </c>
      <c r="B12" s="33" t="s">
        <v>3514</v>
      </c>
      <c r="C12" s="33" t="s">
        <v>1139</v>
      </c>
      <c r="D12" s="48" t="str">
        <f>_xlfn.XLOOKUP(Table85[[#This Row],[XPATHS]],Table264[XPATHS],Table264[Python.map],"0 Xpath does not exist")</f>
        <v>"IFSCRD": "/j:Booking/j:BookingRelease/ActivityScheduledDate/DateTime",</v>
      </c>
      <c r="E12" s="49" t="str">
        <f>_xlfn.XLOOKUP(Table85[[#This Row],[Python.map]],Table33[python script],Table33[field description],"1!DNE!1")</f>
        <v>fieldDesc: "ScheduledReleaseDate"</v>
      </c>
    </row>
    <row r="13" spans="1:5" x14ac:dyDescent="0.3">
      <c r="A13" s="33" t="str">
        <f t="shared" si="0"/>
        <v>12rel_python</v>
      </c>
      <c r="B13" s="33" t="s">
        <v>3300</v>
      </c>
      <c r="C13" s="33" t="s">
        <v>880</v>
      </c>
      <c r="D13" s="48" t="str">
        <f>_xlfn.XLOOKUP(Table85[[#This Row],[XPATHS]],Table264[XPATHS],Table264[Python.map],"0 Xpath does not exist")</f>
        <v>"IFDOBD": "/j:Booking/j:BookingSubject/RoleOfPerson/PersonBirthDate/Date",</v>
      </c>
      <c r="E13" s="49" t="str">
        <f>_xlfn.XLOOKUP(Table85[[#This Row],[Python.map]],Table33[python script],Table33[field description],"1!DNE!1")</f>
        <v>fieldDesc: "DateofBirth"</v>
      </c>
    </row>
    <row r="14" spans="1:5" x14ac:dyDescent="0.3">
      <c r="A14" s="33" t="str">
        <f t="shared" si="0"/>
        <v>13rel_python</v>
      </c>
      <c r="B14" s="33" t="s">
        <v>3302</v>
      </c>
      <c r="C14" s="33" t="s">
        <v>108</v>
      </c>
      <c r="D14" s="48" t="str">
        <f>_xlfn.XLOOKUP(Table85[[#This Row],[XPATHS]],Table264[XPATHS],Table264[Python.map],"0 Xpath does not exist")</f>
        <v>"IFSTCDB": "/j:Booking/j:BookingSubject/RoleOfPerson/PersonBirthLocation/Address/AddressState/StateName",</v>
      </c>
      <c r="E14" s="33" t="str">
        <f>_xlfn.XLOOKUP(Table85[[#This Row],[Python.map]],Table33[python script],Table33[field description],"1!DNE!1")</f>
        <v>fieldDesc: "BirthStateCode"</v>
      </c>
    </row>
    <row r="15" spans="1:5" x14ac:dyDescent="0.3">
      <c r="A15" s="33" t="str">
        <f t="shared" si="0"/>
        <v>14rel_python</v>
      </c>
      <c r="B15" s="33" t="s">
        <v>3304</v>
      </c>
      <c r="C15" s="33" t="s">
        <v>3508</v>
      </c>
      <c r="D15" s="48" t="str">
        <f>_xlfn.XLOOKUP(Table85[[#This Row],[XPATHS]],Table264[XPATHS],Table264[Python.map],"0 Xpath does not exist")</f>
        <v>"IFEYES": "/j:Booking/j:BookingSubject/RoleOfPerson/PersonEyeColorText",</v>
      </c>
      <c r="E15" s="33" t="str">
        <f>_xlfn.XLOOKUP(Table85[[#This Row],[Python.map]],Table33[python script],Table33[field description],"1!DNE!1")</f>
        <v>fieldDesc: "EyeColor"</v>
      </c>
    </row>
    <row r="16" spans="1:5" x14ac:dyDescent="0.3">
      <c r="A16" s="33" t="str">
        <f t="shared" si="0"/>
        <v>15rel_python</v>
      </c>
      <c r="B16" s="33" t="s">
        <v>3305</v>
      </c>
      <c r="C16" s="33" t="s">
        <v>753</v>
      </c>
      <c r="D16" s="48" t="str">
        <f>_xlfn.XLOOKUP(Table85[[#This Row],[XPATHS]],Table264[XPATHS],Table264[Python.map],"0 Xpath does not exist")</f>
        <v>"IFHAIR": "/j:Booking/j:BookingSubject/RoleOfPerson/PersonHairColorText",</v>
      </c>
      <c r="E16" s="33" t="str">
        <f>_xlfn.XLOOKUP(Table85[[#This Row],[Python.map]],Table33[python script],Table33[field description],"1!DNE!1")</f>
        <v>fieldDesc: "HairColor"</v>
      </c>
    </row>
    <row r="17" spans="1:5" x14ac:dyDescent="0.3">
      <c r="A17" s="33" t="str">
        <f t="shared" si="0"/>
        <v>16rel_python</v>
      </c>
      <c r="B17" s="33" t="s">
        <v>3307</v>
      </c>
      <c r="C17" s="33" t="s">
        <v>769</v>
      </c>
      <c r="D17" s="48" t="str">
        <f>_xlfn.XLOOKUP(Table85[[#This Row],[XPATHS]],Table264[XPATHS],Table264[Python.map],"0 Xpath does not exist")</f>
        <v>"IFHGHT": "/j:Booking/j:BookingSubject/RoleOfPerson/PersonHeightMeasure[1]/MeasureValueText",</v>
      </c>
      <c r="E17" s="33" t="str">
        <f>_xlfn.XLOOKUP(Table85[[#This Row],[Python.map]],Table33[python script],Table33[field description],"1!DNE!1")</f>
        <v>fieldDesc: "Height"</v>
      </c>
    </row>
    <row r="18" spans="1:5" x14ac:dyDescent="0.3">
      <c r="A18" s="33" t="str">
        <f t="shared" si="0"/>
        <v>17rel_python</v>
      </c>
      <c r="B18" s="33" t="s">
        <v>3309</v>
      </c>
      <c r="C18" s="33" t="s">
        <v>964</v>
      </c>
      <c r="D18" s="48" t="str">
        <f>_xlfn.XLOOKUP(Table85[[#This Row],[XPATHS]],Table264[XPATHS],Table264[Python.map],"0 Xpath does not exist")</f>
        <v>"IFFNAM": "/j:Booking/j:BookingSubject/RoleOfPerson/PersonName/PersonGivenName",</v>
      </c>
      <c r="E18" s="33" t="str">
        <f>_xlfn.XLOOKUP(Table85[[#This Row],[Python.map]],Table33[python script],Table33[field description],"1!DNE!1")</f>
        <v>fieldDesc: "FirstName"</v>
      </c>
    </row>
    <row r="19" spans="1:5" x14ac:dyDescent="0.3">
      <c r="A19" s="33" t="str">
        <f t="shared" si="0"/>
        <v>18rel_python</v>
      </c>
      <c r="B19" s="33" t="s">
        <v>3311</v>
      </c>
      <c r="C19" s="33" t="s">
        <v>1083</v>
      </c>
      <c r="D19" s="48" t="str">
        <f>_xlfn.XLOOKUP(Table85[[#This Row],[XPATHS]],Table264[XPATHS],Table264[Python.map],"0 Xpath does not exist")</f>
        <v>"IFMINI": "/j:Booking/j:BookingSubject/RoleOfPerson/PersonName/PersonMiddleName",</v>
      </c>
      <c r="E19" s="33" t="str">
        <f>_xlfn.XLOOKUP(Table85[[#This Row],[Python.map]],Table33[python script],Table33[field description],"1!DNE!1")</f>
        <v>fieldDesc: "MiddleInitial"</v>
      </c>
    </row>
    <row r="20" spans="1:5" x14ac:dyDescent="0.3">
      <c r="A20" s="33" t="str">
        <f t="shared" si="0"/>
        <v>19rel_python</v>
      </c>
      <c r="B20" s="33" t="s">
        <v>3313</v>
      </c>
      <c r="C20" s="33" t="s">
        <v>1038</v>
      </c>
      <c r="D20" s="48" t="str">
        <f>_xlfn.XLOOKUP(Table85[[#This Row],[XPATHS]],Table264[XPATHS],Table264[Python.map],"0 Xpath does not exist")</f>
        <v>"IFLNAM": "/j:Booking/j:BookingSubject/RoleOfPerson/PersonName/PersonSurName",</v>
      </c>
      <c r="E20" s="33" t="str">
        <f>_xlfn.XLOOKUP(Table85[[#This Row],[Python.map]],Table33[python script],Table33[field description],"1!DNE!1")</f>
        <v>fieldDesc: "Lastname"</v>
      </c>
    </row>
    <row r="21" spans="1:5" x14ac:dyDescent="0.3">
      <c r="A21" s="33" t="str">
        <f t="shared" si="0"/>
        <v>20rel_python</v>
      </c>
      <c r="B21" s="33" t="s">
        <v>3315</v>
      </c>
      <c r="C21" s="33" t="s">
        <v>1098</v>
      </c>
      <c r="D21" s="48" t="str">
        <f>_xlfn.XLOOKUP(Table85[[#This Row],[XPATHS]],Table264[XPATHS],Table264[Python.map],"0 Xpath does not exist")</f>
        <v>"IFNAMS": "/j:Booking/j:BookingSubject/RoleOfPerson/PersonName/PersonNameSuffixText",</v>
      </c>
      <c r="E21" s="33" t="str">
        <f>_xlfn.XLOOKUP(Table85[[#This Row],[Python.map]],Table33[python script],Table33[field description],"1!DNE!1")</f>
        <v>fieldDesc: "NameSuffix"</v>
      </c>
    </row>
    <row r="22" spans="1:5" x14ac:dyDescent="0.3">
      <c r="A22" s="33" t="str">
        <f t="shared" si="0"/>
        <v>21rel_python</v>
      </c>
      <c r="B22" s="33" t="s">
        <v>3321</v>
      </c>
      <c r="C22" s="33" t="s">
        <v>806</v>
      </c>
      <c r="D22" s="48" t="str">
        <f>_xlfn.XLOOKUP(Table85[[#This Row],[XPATHS]],Table264[XPATHS],Table264[Python.map],"0 Xpath does not exist")</f>
        <v>"IFRACE": "/j:Booking/j:BookingSubject/RoleOfPerson/PersonRaceText",</v>
      </c>
      <c r="E22" s="33" t="str">
        <f>_xlfn.XLOOKUP(Table85[[#This Row],[Python.map]],Table33[python script],Table33[field description],"1!DNE!1")</f>
        <v>fieldDesc: "Race"</v>
      </c>
    </row>
    <row r="23" spans="1:5" x14ac:dyDescent="0.3">
      <c r="A23" s="33" t="str">
        <f t="shared" si="0"/>
        <v>22rel_python</v>
      </c>
      <c r="B23" s="33" t="s">
        <v>3515</v>
      </c>
      <c r="C23" s="33" t="s">
        <v>828</v>
      </c>
      <c r="D23" s="48" t="str">
        <f>_xlfn.XLOOKUP(Table85[[#This Row],[XPATHS]],Table264[XPATHS],Table264[Python.map],"0 Xpath does not exist")</f>
        <v>"IFSEXC": "/j:Booking/j:BookingSubject/RoleOfPerson/PersonSexText",</v>
      </c>
      <c r="E23" s="33" t="str">
        <f>_xlfn.XLOOKUP(Table85[[#This Row],[Python.map]],Table33[python script],Table33[field description],"1!DNE!1")</f>
        <v>fieldDesc: "Sex"</v>
      </c>
    </row>
    <row r="24" spans="1:5" x14ac:dyDescent="0.3">
      <c r="A24" s="33" t="str">
        <f t="shared" si="0"/>
        <v>23rel_python</v>
      </c>
      <c r="B24" s="33" t="s">
        <v>3516</v>
      </c>
      <c r="C24" s="33" t="s">
        <v>783</v>
      </c>
      <c r="D24" s="48" t="str">
        <f>_xlfn.XLOOKUP(Table85[[#This Row],[XPATHS]],Table264[XPATHS],Table264[Python.map],"0 Xpath does not exist")</f>
        <v>"IFHOMO": "/j:Booking/j:BookingSubject/RoleOfPerson/PersonSexualOrientationText",</v>
      </c>
      <c r="E24" s="33" t="str">
        <f>_xlfn.XLOOKUP(Table85[[#This Row],[Python.map]],Table33[python script],Table33[field description],"1!DNE!1")</f>
        <v>fieldDesc: "Homosexual"</v>
      </c>
    </row>
    <row r="25" spans="1:5" x14ac:dyDescent="0.3">
      <c r="A25" s="33" t="str">
        <f t="shared" si="0"/>
        <v>24rel_python</v>
      </c>
      <c r="B25" s="33" t="s">
        <v>3323</v>
      </c>
      <c r="C25" s="33" t="s">
        <v>937</v>
      </c>
      <c r="D25" s="48" t="str">
        <f>_xlfn.XLOOKUP(Table85[[#This Row],[XPATHS]],Table264[XPATHS],Table264[Python.map],"0 Xpath does not exist")</f>
        <v>"IFSSNO": "/j:Booking/j:BookingSubject/RoleOfPerson/PersonSSNIdentification/IdentificationID",</v>
      </c>
      <c r="E25" s="33" t="str">
        <f>_xlfn.XLOOKUP(Table85[[#This Row],[Python.map]],Table33[python script],Table33[field description],"1!DNE!1")</f>
        <v>fieldDesc: "SocialSecurityNumber"</v>
      </c>
    </row>
    <row r="26" spans="1:5" x14ac:dyDescent="0.3">
      <c r="A26" s="33" t="str">
        <f t="shared" si="0"/>
        <v>25rel_python</v>
      </c>
      <c r="B26" s="33" t="s">
        <v>3325</v>
      </c>
      <c r="C26" s="33" t="s">
        <v>925</v>
      </c>
      <c r="D26" s="48" t="str">
        <f>_xlfn.XLOOKUP(Table85[[#This Row],[XPATHS]],Table264[XPATHS],Table264[Python.map],"0 Xpath does not exist")</f>
        <v>"IFSIDN": "/j:Booking/j:BookingSubject/RoleOfPerson/PersonStateIdentification/IdentificationID",</v>
      </c>
      <c r="E26" s="33" t="str">
        <f>_xlfn.XLOOKUP(Table85[[#This Row],[Python.map]],Table33[python script],Table33[field description],"1!DNE!1")</f>
        <v>fieldDesc: "SIDNumber"</v>
      </c>
    </row>
    <row r="27" spans="1:5" x14ac:dyDescent="0.3">
      <c r="A27" s="33" t="str">
        <f t="shared" si="0"/>
        <v>26rel_python</v>
      </c>
      <c r="B27" s="33" t="s">
        <v>3517</v>
      </c>
      <c r="C27" s="33" t="s">
        <v>848</v>
      </c>
      <c r="D27" s="48" t="str">
        <f>_xlfn.XLOOKUP(Table85[[#This Row],[XPATHS]],Table264[XPATHS],Table264[Python.map],"0 Xpath does not exist")</f>
        <v>"IFUSAC": "/j:Booking/j:BookingSubject/RoleOfPerson/PersonUSCitizenIndicator",</v>
      </c>
      <c r="E27" s="33" t="str">
        <f>_xlfn.XLOOKUP(Table85[[#This Row],[Python.map]],Table33[python script],Table33[field description],"1!DNE!1")</f>
        <v>fieldDesc: "USCitizenship"</v>
      </c>
    </row>
    <row r="28" spans="1:5" x14ac:dyDescent="0.3">
      <c r="A28" s="33" t="str">
        <f t="shared" si="0"/>
        <v>27rel_python</v>
      </c>
      <c r="B28" s="33" t="s">
        <v>3327</v>
      </c>
      <c r="C28" s="33" t="s">
        <v>858</v>
      </c>
      <c r="D28" s="48" t="str">
        <f>_xlfn.XLOOKUP(Table85[[#This Row],[XPATHS]],Table264[XPATHS],Table264[Python.map],"0 Xpath does not exist")</f>
        <v>"IFWGHT": "/j:Booking/j:BookingSubject/RoleOfPerson/PersonWeightDescriptionText",</v>
      </c>
      <c r="E28" s="33" t="str">
        <f>_xlfn.XLOOKUP(Table85[[#This Row],[Python.map]],Table33[python script],Table33[field description],"1!DNE!1")</f>
        <v>fieldDesc: "Weight"</v>
      </c>
    </row>
    <row r="29" spans="1:5" x14ac:dyDescent="0.3">
      <c r="A29" s="33" t="str">
        <f t="shared" si="0"/>
        <v>28rel_python</v>
      </c>
      <c r="B29" s="33" t="s">
        <v>3329</v>
      </c>
      <c r="C29" s="33" t="s">
        <v>100</v>
      </c>
      <c r="D29" s="48" t="str">
        <f>_xlfn.XLOOKUP(Table85[[#This Row],[XPATHS]],Table264[XPATHS],Table264[Python.map],"0 Xpath does not exist")</f>
        <v>"IFCNTY": "/j:Booking/j:BookingSubject/RoleOfPerson/PersonNationality/PersonNationalityCountry/CountryName",</v>
      </c>
      <c r="E29" s="33" t="str">
        <f>_xlfn.XLOOKUP(Table85[[#This Row],[Python.map]],Table33[python script],Table33[field description],"1!DNE!1")</f>
        <v>fieldDesc: "CountryCode"</v>
      </c>
    </row>
    <row r="30" spans="1:5" x14ac:dyDescent="0.3">
      <c r="A30" s="33" t="str">
        <f t="shared" si="0"/>
        <v>29rel_python</v>
      </c>
      <c r="B30" s="33" t="s">
        <v>3333</v>
      </c>
      <c r="C30" s="33" t="s">
        <v>136</v>
      </c>
      <c r="D30" s="48" t="str">
        <f>_xlfn.XLOOKUP(Table85[[#This Row],[XPATHS]],Table264[XPATHS],Table264[Python.map],"0 Xpath does not exist")</f>
        <v>"IFABRN": "/j:Booking/j:BookingSubject/RoleOfPerson/PersonContactInformation/ContactMailingAddress/AddressSecondaryUnitText",</v>
      </c>
      <c r="E30" s="33" t="str">
        <f>_xlfn.XLOOKUP(Table85[[#This Row],[Python.map]],Table33[python script],Table33[field description],"1!DNE!1")</f>
        <v>fieldDesc: "ApartmentNumber"</v>
      </c>
    </row>
    <row r="31" spans="1:5" x14ac:dyDescent="0.3">
      <c r="A31" s="33" t="str">
        <f t="shared" si="0"/>
        <v>30rel_python</v>
      </c>
      <c r="B31" s="33" t="s">
        <v>3337</v>
      </c>
      <c r="C31" s="33" t="s">
        <v>261</v>
      </c>
      <c r="D31" s="48" t="str">
        <f>_xlfn.XLOOKUP(Table85[[#This Row],[XPATHS]],Table264[XPATHS],Table264[Python.map],"0 Xpath does not exist")</f>
        <v>"IFSTNO": "/j:Booking/j:BookingSubject/RoleOfPerson/PersonContactInformation/ContactMailingAddress/AddressStreet/StreetNumberText",</v>
      </c>
      <c r="E31" s="33" t="str">
        <f>_xlfn.XLOOKUP(Table85[[#This Row],[Python.map]],Table33[python script],Table33[field description],"1!DNE!1")</f>
        <v>fieldDesc: "StreetNumber"</v>
      </c>
    </row>
    <row r="32" spans="1:5" x14ac:dyDescent="0.3">
      <c r="A32" s="33" t="str">
        <f t="shared" si="0"/>
        <v>31rel_python</v>
      </c>
      <c r="B32" s="33" t="s">
        <v>3518</v>
      </c>
      <c r="C32" s="33" t="s">
        <v>293</v>
      </c>
      <c r="D32" s="48" t="str">
        <f>_xlfn.XLOOKUP(Table85[[#This Row],[XPATHS]],Table264[XPATHS],Table264[Python.map],"0 Xpath does not exist")</f>
        <v>"IFSTPF": "/j:Booking/j:BookingSubject/RoleOfPerson/PersonContactInformation/ContactMailingAddress/AddressStreet/StreetPredirectional/StreetDirectionalText",</v>
      </c>
      <c r="E32" s="33" t="str">
        <f>_xlfn.XLOOKUP(Table85[[#This Row],[Python.map]],Table33[python script],Table33[field description],"1!DNE!1")</f>
        <v>fieldDesc: "StreetPrefix"</v>
      </c>
    </row>
    <row r="33" spans="1:5" x14ac:dyDescent="0.3">
      <c r="A33" s="33" t="str">
        <f t="shared" si="0"/>
        <v>32rel_python</v>
      </c>
      <c r="B33" s="33" t="s">
        <v>3339</v>
      </c>
      <c r="C33" s="33" t="s">
        <v>230</v>
      </c>
      <c r="D33" s="48" t="str">
        <f>_xlfn.XLOOKUP(Table85[[#This Row],[XPATHS]],Table264[XPATHS],Table264[Python.map],"0 Xpath does not exist")</f>
        <v>"IFSTNM": "/j:Booking/j:BookingSubject/RoleOfPerson/PersonContactInformation/ContactMailingAddress/AddressStreet/StreetName",</v>
      </c>
      <c r="E33" s="33" t="str">
        <f>_xlfn.XLOOKUP(Table85[[#This Row],[Python.map]],Table33[python script],Table33[field description],"1!DNE!1")</f>
        <v>fieldDesc: "StreetName"</v>
      </c>
    </row>
    <row r="34" spans="1:5" x14ac:dyDescent="0.3">
      <c r="A34" s="33" t="str">
        <f t="shared" si="0"/>
        <v>33rel_python</v>
      </c>
      <c r="B34" s="33" t="s">
        <v>3341</v>
      </c>
      <c r="C34" s="33" t="s">
        <v>312</v>
      </c>
      <c r="D34" s="48" t="str">
        <f>_xlfn.XLOOKUP(Table85[[#This Row],[XPATHS]],Table264[XPATHS],Table264[Python.map],"0 Xpath does not exist")</f>
        <v>"IFSTSF": "/j:Booking/j:BookingSubject/RoleOfPerson/PersonContactInformation/ContactMailingAddress/AddressStreet/StreetPostdirectional/StreetDirectionalText",</v>
      </c>
      <c r="E34" s="33" t="str">
        <f>_xlfn.XLOOKUP(Table85[[#This Row],[Python.map]],Table33[python script],Table33[field description],"1!DNE!1")</f>
        <v>fieldDesc: "StreetSuffix"</v>
      </c>
    </row>
    <row r="35" spans="1:5" x14ac:dyDescent="0.3">
      <c r="A35" s="33" t="str">
        <f t="shared" si="0"/>
        <v>34rel_python</v>
      </c>
      <c r="B35" s="33" t="s">
        <v>3343</v>
      </c>
      <c r="C35" s="33" t="s">
        <v>161</v>
      </c>
      <c r="D35" s="48" t="str">
        <f>_xlfn.XLOOKUP(Table85[[#This Row],[XPATHS]],Table264[XPATHS],Table264[Python.map],"0 Xpath does not exist")</f>
        <v>"IFABRC": "/j:Booking/j:BookingSubject/RoleOfPerson/PersonContactInformation/ContactMailingAddress/AddressDeliveryPointID",</v>
      </c>
      <c r="E35" s="33" t="str">
        <f>_xlfn.XLOOKUP(Table85[[#This Row],[Python.map]],Table33[python script],Table33[field description],"1!DNE!1")</f>
        <v>fieldDesc: "BoxRouteCode"</v>
      </c>
    </row>
    <row r="36" spans="1:5" x14ac:dyDescent="0.3">
      <c r="A36" s="33" t="str">
        <f t="shared" si="0"/>
        <v>35rel_python</v>
      </c>
      <c r="B36" s="33" t="s">
        <v>3345</v>
      </c>
      <c r="C36" s="33" t="s">
        <v>74</v>
      </c>
      <c r="D36" s="48" t="str">
        <f>_xlfn.XLOOKUP(Table85[[#This Row],[XPATHS]],Table264[XPATHS],Table264[Python.map],"0 Xpath does not exist")</f>
        <v>"IFCITY": "/j:Booking/j:BookingSubject/RoleOfPerson/PersonContactInformation/ContactMailingAddress/AddressCityName",</v>
      </c>
      <c r="E36" s="33" t="str">
        <f>_xlfn.XLOOKUP(Table85[[#This Row],[Python.map]],Table33[python script],Table33[field description],"1!DNE!1")</f>
        <v>fieldDesc: "City"</v>
      </c>
    </row>
    <row r="37" spans="1:5" x14ac:dyDescent="0.3">
      <c r="A37" s="33" t="str">
        <f t="shared" si="0"/>
        <v>36rel_python</v>
      </c>
      <c r="B37" s="33" t="s">
        <v>3347</v>
      </c>
      <c r="C37" s="33" t="s">
        <v>110</v>
      </c>
      <c r="D37" s="48" t="str">
        <f>_xlfn.XLOOKUP(Table85[[#This Row],[XPATHS]],Table264[XPATHS],Table264[Python.map],"0 Xpath does not exist")</f>
        <v>"IFSTCD": "/j:Booking/j:BookingSubject/RoleOfPerson/PersonContactInformation/ContactMailingAddress/AddressState/StateName",</v>
      </c>
      <c r="E37" s="33" t="str">
        <f>_xlfn.XLOOKUP(Table85[[#This Row],[Python.map]],Table33[python script],Table33[field description],"1!DNE!1")</f>
        <v>fieldDesc: "StateCode"</v>
      </c>
    </row>
    <row r="38" spans="1:5" x14ac:dyDescent="0.3">
      <c r="A38" s="33" t="str">
        <f t="shared" si="0"/>
        <v>37rel_python</v>
      </c>
      <c r="B38" s="33" t="s">
        <v>3519</v>
      </c>
      <c r="C38" s="33" t="s">
        <v>343</v>
      </c>
      <c r="D38" s="48" t="str">
        <f>_xlfn.XLOOKUP(Table85[[#This Row],[XPATHS]],Table264[XPATHS],Table264[Python.map],"0 Xpath does not exist")</f>
        <v>"IFZIPC": "/j:Booking/j:BookingSubject/RoleOfPerson/PersonContactInformation/ContactMailingAddress/AddressPostalCode",</v>
      </c>
      <c r="E38" s="33" t="str">
        <f>_xlfn.XLOOKUP(Table85[[#This Row],[Python.map]],Table33[python script],Table33[field description],"1!DNE!1")</f>
        <v>fieldDesc: "ZIPCode"</v>
      </c>
    </row>
    <row r="39" spans="1:5" x14ac:dyDescent="0.3">
      <c r="A39" s="33" t="str">
        <f t="shared" si="0"/>
        <v>38rel_python</v>
      </c>
      <c r="B39" s="33" t="s">
        <v>3520</v>
      </c>
      <c r="C39" s="33" t="s">
        <v>540</v>
      </c>
      <c r="D39" s="48" t="str">
        <f>_xlfn.XLOOKUP(Table85[[#This Row],[XPATHS]],Table264[XPATHS],Table264[Python.map],"0 Xpath does not exist")</f>
        <v>"IFPHNO": "/j:Booking/j:BookingSubject/RoleOfPerson/PersonContactInformation/ContactTelephoneNumber",</v>
      </c>
      <c r="E39" s="33" t="str">
        <f>_xlfn.XLOOKUP(Table85[[#This Row],[Python.map]],Table33[python script],Table33[field description],"1!DNE!1")</f>
        <v>fieldDesc: "PhoneNumber"</v>
      </c>
    </row>
    <row r="40" spans="1:5" x14ac:dyDescent="0.3">
      <c r="A40" s="33" t="str">
        <f t="shared" si="0"/>
        <v>39rel_python</v>
      </c>
      <c r="B40" s="33" t="s">
        <v>3521</v>
      </c>
      <c r="C40" s="33" t="s">
        <v>628</v>
      </c>
      <c r="D40" s="54" t="str">
        <f>_xlfn.XLOOKUP(Table85[[#This Row],[XPATHS]],Table264[XPATHS],Table264[Python.map],"0 Xpath does not exist")</f>
        <v>"IFEMPR": "/j:Booking/j:BookingSubject/RoleOfPerson/nola-ext:PersonAugmentation/PersonEmploymentAssociation/Employer/hs:EmployerAugmentation/hs:EmployerName",</v>
      </c>
      <c r="E40" s="33" t="str">
        <f>_xlfn.XLOOKUP(Table85[[#This Row],[Python.map]],Table33[python script],Table33[field description],"1!DNE!1")</f>
        <v>fieldDesc: "Employer"</v>
      </c>
    </row>
    <row r="41" spans="1:5" x14ac:dyDescent="0.3">
      <c r="A41" s="33" t="str">
        <f t="shared" si="0"/>
        <v>40rel_python</v>
      </c>
      <c r="B41" s="33" t="s">
        <v>3522</v>
      </c>
      <c r="C41" s="33" t="s">
        <v>641</v>
      </c>
      <c r="D41" s="54" t="str">
        <f>_xlfn.XLOOKUP(Table85[[#This Row],[XPATHS]],Table264[XPATHS],Table264[Python.map],"0 Xpath does not exist")</f>
        <v>"IFOCUP": "/j:Booking/j:BookingSubject/RoleOfPerson/nola-ext:PersonAugmentation/PersonEmploymentAssociation/EmployeeOccupationText",</v>
      </c>
      <c r="E41" s="33" t="str">
        <f>_xlfn.XLOOKUP(Table85[[#This Row],[Python.map]],Table33[python script],Table33[field description],"1!DNE!1")</f>
        <v>fieldDesc: "Ocupation"</v>
      </c>
    </row>
    <row r="42" spans="1:5" x14ac:dyDescent="0.3">
      <c r="A42" s="33" t="str">
        <f t="shared" si="0"/>
        <v>41rel_python</v>
      </c>
      <c r="B42" s="33" t="s">
        <v>3349</v>
      </c>
      <c r="C42" s="33" t="s">
        <v>912</v>
      </c>
      <c r="D42" s="54" t="str">
        <f>_xlfn.XLOOKUP(Table85[[#This Row],[XPATHS]],Table264[XPATHS],Table264[Python.map],"0 Xpath does not exist")</f>
        <v>"IFCCNO": "/j:Booking/j:BookingSubject/RoleOfPerson/nola-ext:PersonAugmentation/nola-ext:PersonComputerControlIdentifier",</v>
      </c>
      <c r="E42" s="33" t="str">
        <f>_xlfn.XLOOKUP(Table85[[#This Row],[Python.map]],Table33[python script],Table33[field description],"1!DNE!1")</f>
        <v>fieldDesc: "CCN"</v>
      </c>
    </row>
    <row r="43" spans="1:5" x14ac:dyDescent="0.3">
      <c r="A43" s="33" t="str">
        <f t="shared" si="0"/>
        <v>42rel_python</v>
      </c>
      <c r="B43" s="33" t="s">
        <v>3523</v>
      </c>
      <c r="C43" s="33" t="s">
        <v>584</v>
      </c>
      <c r="D43" s="54" t="str">
        <f>_xlfn.XLOOKUP(Table85[[#This Row],[XPATHS]],Table264[XPATHS],Table264[Python.map],"0 Xpath does not exist")</f>
        <v>"IFLICN": "/j:Booking/j:BookingSubject/RoleOfPerson/j:PersonAugmentation/j:DriverLicense/j:DriverLicenseCardIdentification/IdentificationID",</v>
      </c>
      <c r="E43" s="33" t="str">
        <f>_xlfn.XLOOKUP(Table85[[#This Row],[Python.map]],Table33[python script],Table33[field description],"1!DNE!1")</f>
        <v>fieldDesc: "LicenseNumber"</v>
      </c>
    </row>
    <row r="44" spans="1:5" x14ac:dyDescent="0.3">
      <c r="A44" s="33" t="str">
        <f t="shared" si="0"/>
        <v>43rel_python</v>
      </c>
      <c r="B44" s="33" t="s">
        <v>3524</v>
      </c>
      <c r="C44" s="33" t="s">
        <v>3507</v>
      </c>
      <c r="D44" s="54" t="str">
        <f>_xlfn.XLOOKUP(Table85[[#This Row],[XPATHS]],Table264[XPATHS],Table264[Python.map],"0 Xpath does not exist")</f>
        <v>"IFSTCDL": "/j:Booking/j:BookingSubject/RoleOfPerson/j:PersonAugmentation/j:DriverLicense/j:DriverLicenseCardIdentification/IdentificationJurisdiction/JurisdictionLocation/Address/AddressState/StateName",</v>
      </c>
      <c r="E44" s="33" t="str">
        <f>_xlfn.XLOOKUP(Table85[[#This Row],[Python.map]],Table33[python script],Table33[field description],"1!DNE!1")</f>
        <v>fieldDesc: "LicenseStateCode"</v>
      </c>
    </row>
    <row r="45" spans="1:5" x14ac:dyDescent="0.3">
      <c r="A45" s="33" t="str">
        <f t="shared" si="0"/>
        <v>44rel_python</v>
      </c>
      <c r="B45" s="33" t="s">
        <v>3357</v>
      </c>
      <c r="C45" s="33" t="s">
        <v>2235</v>
      </c>
      <c r="D45" s="54" t="str">
        <f>_xlfn.XLOOKUP(Table85[[#This Row],[XPATHS]],Table264[XPATHS],Table264[Python.map],"0 Xpath does not exist")</f>
        <v>"IFLICY": "/j:Booking/j:BookingSubject/RoleOfPerson/j:PersonAugmentation/j:DriverLicense/j:DriverLicenseCardIdentification/IdentificationExpirationDate/YearDate",</v>
      </c>
      <c r="E45" s="33" t="str">
        <f>_xlfn.XLOOKUP(Table85[[#This Row],[Python.map]],Table33[python script],Table33[field description],"1!DNE!1")</f>
        <v>fieldDesc: "LicenseYear"</v>
      </c>
    </row>
    <row r="46" spans="1:5" x14ac:dyDescent="0.3">
      <c r="A46" s="33" t="str">
        <f t="shared" si="0"/>
        <v>45rel_python</v>
      </c>
      <c r="B46" s="33" t="s">
        <v>3358</v>
      </c>
      <c r="C46" s="33" t="s">
        <v>900</v>
      </c>
      <c r="D46" s="54" t="str">
        <f>_xlfn.XLOOKUP(Table85[[#This Row],[XPATHS]],Table264[XPATHS],Table264[Python.map],"0 Xpath does not exist")</f>
        <v>"IFFBIN": "/j:Booking/j:BookingSubject/RoleOfPerson/j:PersonAugmentation/j:PersonFBIIdentification/IdentificationID",</v>
      </c>
      <c r="E46" s="33" t="str">
        <f>_xlfn.XLOOKUP(Table85[[#This Row],[Python.map]],Table33[python script],Table33[field description],"1!DNE!1")</f>
        <v>fieldDesc: "FBINumber"</v>
      </c>
    </row>
    <row r="47" spans="1:5" x14ac:dyDescent="0.3">
      <c r="A47" s="33" t="str">
        <f t="shared" si="0"/>
        <v>46rel_python</v>
      </c>
      <c r="B47" s="33" t="s">
        <v>3525</v>
      </c>
      <c r="C47" s="33" t="s">
        <v>871</v>
      </c>
      <c r="D47" s="54" t="str">
        <f>_xlfn.XLOOKUP(Table85[[#This Row],[XPATHS]],Table264[XPATHS],Table264[Python.map],"0 Xpath does not exist")</f>
        <v>"IFALIN": "/j:Booking/j:BookingSubject/RoleOfPerson/hs:PersonAugmentation/hs:AlienIdentification/IdentificationID",</v>
      </c>
      <c r="E47" s="33" t="str">
        <f>_xlfn.XLOOKUP(Table85[[#This Row],[Python.map]],Table33[python script],Table33[field description],"1!DNE!1")</f>
        <v>fieldDesc: "AlienIdentificationNumber"</v>
      </c>
    </row>
    <row r="48" spans="1:5" x14ac:dyDescent="0.3">
      <c r="A48" s="33" t="str">
        <f t="shared" si="0"/>
        <v>47rel_python</v>
      </c>
      <c r="B48" s="33" t="s">
        <v>3362</v>
      </c>
      <c r="C48" s="33" t="s">
        <v>435</v>
      </c>
      <c r="D48" s="54" t="str">
        <f>_xlfn.XLOOKUP(Table85[[#This Row],[XPATHS]],Table264[XPATHS],Table264[Python.map],"0 Xpath does not exist")</f>
        <v>"IFBPTY": "/j:Booking/j:BookingSubject/j:SubjectAppointment/j:AppointmentPriorityText",</v>
      </c>
      <c r="E48" s="33" t="str">
        <f>_xlfn.XLOOKUP(Table85[[#This Row],[Python.map]],Table33[python script],Table33[field description],"1!DNE!1")</f>
        <v>fieldDesc: "BookingPriority"</v>
      </c>
    </row>
    <row r="49" spans="1:5" x14ac:dyDescent="0.3">
      <c r="A49" s="33" t="str">
        <f t="shared" si="0"/>
        <v>48rel_python</v>
      </c>
      <c r="B49" s="33" t="s">
        <v>3526</v>
      </c>
      <c r="C49" s="33" t="s">
        <v>971</v>
      </c>
      <c r="D49" s="54" t="str">
        <f>_xlfn.XLOOKUP(Table85[[#This Row],[XPATHS]],Table264[XPATHS],Table264[Python.map],"0 Xpath does not exist")</f>
        <v>"IFAO1F": "/j:Booking/j:Arrest/j:ArrestOfficial[1]/RoleOfPerson/PersonName/PersonGivenName",</v>
      </c>
      <c r="E49" s="33" t="str">
        <f>_xlfn.XLOOKUP(Table85[[#This Row],[Python.map]],Table33[python script],Table33[field description],"1!DNE!1")</f>
        <v>fieldDesc: "ArrestingOfficer1FirstName"</v>
      </c>
    </row>
    <row r="50" spans="1:5" x14ac:dyDescent="0.3">
      <c r="A50" s="33" t="str">
        <f t="shared" si="0"/>
        <v>49rel_python</v>
      </c>
      <c r="B50" s="33" t="s">
        <v>3527</v>
      </c>
      <c r="C50" s="33" t="s">
        <v>1049</v>
      </c>
      <c r="D50" s="54" t="str">
        <f>_xlfn.XLOOKUP(Table85[[#This Row],[XPATHS]],Table264[XPATHS],Table264[Python.map],"0 Xpath does not exist")</f>
        <v>"IFAO1L": "/j:Booking/j:Arrest/j:ArrestOfficial[1]/RoleOfPerson/PersonName/PersonSurName",</v>
      </c>
      <c r="E50" s="33" t="str">
        <f>_xlfn.XLOOKUP(Table85[[#This Row],[Python.map]],Table33[python script],Table33[field description],"1!DNE!1")</f>
        <v>fieldDesc: "ArrestingOfficer1LastName"</v>
      </c>
    </row>
    <row r="51" spans="1:5" x14ac:dyDescent="0.3">
      <c r="A51" s="33" t="str">
        <f t="shared" si="0"/>
        <v>50rel_python</v>
      </c>
      <c r="B51" s="33" t="s">
        <v>3528</v>
      </c>
      <c r="C51" s="33" t="s">
        <v>665</v>
      </c>
      <c r="D51" s="54" t="str">
        <f>_xlfn.XLOOKUP(Table85[[#This Row],[XPATHS]],Table264[XPATHS],Table264[Python.map],"0 Xpath does not exist")</f>
        <v>"IFAO1B": "/j:Booking/j:Arrest/j:ArrestOfficial[1]/j:EnforcementOfficialBadgeIdentification/IdentificationID",</v>
      </c>
      <c r="E51" s="33" t="str">
        <f>_xlfn.XLOOKUP(Table85[[#This Row],[Python.map]],Table33[python script],Table33[field description],"1!DNE!1")</f>
        <v>fieldDesc: "ArrestingOfficer1BadgeNumber"</v>
      </c>
    </row>
    <row r="52" spans="1:5" x14ac:dyDescent="0.3">
      <c r="A52" s="33" t="str">
        <f t="shared" si="0"/>
        <v>51rel_python</v>
      </c>
      <c r="B52" s="33" t="s">
        <v>3529</v>
      </c>
      <c r="C52" s="33" t="s">
        <v>702</v>
      </c>
      <c r="D52" s="54" t="str">
        <f>_xlfn.XLOOKUP(Table85[[#This Row],[XPATHS]],Table264[XPATHS],Table264[Python.map],"0 Xpath does not exist")</f>
        <v>"IFAO1U": "/j:Booking/j:Arrest/j:ArrestOfficial[1]/j:EnforcementOfficialUnit/j:EnforcementUnitName",</v>
      </c>
      <c r="E52" s="33" t="str">
        <f>_xlfn.XLOOKUP(Table85[[#This Row],[Python.map]],Table33[python script],Table33[field description],"1!DNE!1")</f>
        <v>fieldDesc: "ArrestingOfficer1Unit"</v>
      </c>
    </row>
    <row r="53" spans="1:5" x14ac:dyDescent="0.3">
      <c r="A53" s="33" t="str">
        <f t="shared" si="0"/>
        <v>52rel_python</v>
      </c>
      <c r="B53" s="33" t="s">
        <v>3530</v>
      </c>
      <c r="C53" s="33" t="s">
        <v>976</v>
      </c>
      <c r="D53" s="54" t="str">
        <f>_xlfn.XLOOKUP(Table85[[#This Row],[XPATHS]],Table264[XPATHS],Table264[Python.map],"0 Xpath does not exist")</f>
        <v>"IFAO2F": "/j:Booking/j:Arrest/j:ArrestOfficial[2]/RoleOfPerson/PersonName/PersonGivenName",</v>
      </c>
      <c r="E53" s="33" t="str">
        <f>_xlfn.XLOOKUP(Table85[[#This Row],[Python.map]],Table33[python script],Table33[field description],"1!DNE!1")</f>
        <v>fieldDesc: "ArrestingOfficer2FirstName"</v>
      </c>
    </row>
    <row r="54" spans="1:5" x14ac:dyDescent="0.3">
      <c r="A54" s="33" t="str">
        <f t="shared" si="0"/>
        <v>53rel_python</v>
      </c>
      <c r="B54" s="33" t="s">
        <v>3531</v>
      </c>
      <c r="C54" s="33" t="s">
        <v>1054</v>
      </c>
      <c r="D54" s="54" t="str">
        <f>_xlfn.XLOOKUP(Table85[[#This Row],[XPATHS]],Table264[XPATHS],Table264[Python.map],"0 Xpath does not exist")</f>
        <v>"IFAO2L": "/j:Booking/j:Arrest/j:ArrestOfficial[2]/RoleOfPerson/PersonName/PersonSurName",</v>
      </c>
      <c r="E54" s="33" t="str">
        <f>_xlfn.XLOOKUP(Table85[[#This Row],[Python.map]],Table33[python script],Table33[field description],"1!DNE!1")</f>
        <v>fieldDesc: "ArrestingOfficer2LastName"</v>
      </c>
    </row>
    <row r="55" spans="1:5" x14ac:dyDescent="0.3">
      <c r="A55" s="33" t="str">
        <f t="shared" si="0"/>
        <v>54rel_python</v>
      </c>
      <c r="B55" s="33" t="s">
        <v>3532</v>
      </c>
      <c r="C55" s="33" t="s">
        <v>670</v>
      </c>
      <c r="D55" s="54" t="str">
        <f>_xlfn.XLOOKUP(Table85[[#This Row],[XPATHS]],Table264[XPATHS],Table264[Python.map],"0 Xpath does not exist")</f>
        <v>"IFAO2B": "/j:Booking/j:Arrest/j:ArrestOfficial[2]/j:EnforcementOfficialBadgeIdentification/IdentificationID",</v>
      </c>
      <c r="E55" s="33" t="str">
        <f>_xlfn.XLOOKUP(Table85[[#This Row],[Python.map]],Table33[python script],Table33[field description],"1!DNE!1")</f>
        <v>fieldDesc: "ArrestingOfficer2BadgeNumber"</v>
      </c>
    </row>
    <row r="56" spans="1:5" x14ac:dyDescent="0.3">
      <c r="A56" s="33" t="str">
        <f t="shared" si="0"/>
        <v>55rel_python</v>
      </c>
      <c r="B56" s="33" t="s">
        <v>3533</v>
      </c>
      <c r="C56" s="33" t="s">
        <v>707</v>
      </c>
      <c r="D56" s="54" t="str">
        <f>_xlfn.XLOOKUP(Table85[[#This Row],[XPATHS]],Table264[XPATHS],Table264[Python.map],"0 Xpath does not exist")</f>
        <v>"IFAO2U": "/j:Booking/j:Arrest/j:ArrestOfficial[2]/j:EnforcementOfficialUnit/j:EnforcementUnitName",</v>
      </c>
      <c r="E56" s="33" t="str">
        <f>_xlfn.XLOOKUP(Table85[[#This Row],[Python.map]],Table33[python script],Table33[field description],"1!DNE!1")</f>
        <v>fieldDesc: "ArrestingOfficer2Unit"</v>
      </c>
    </row>
    <row r="57" spans="1:5" x14ac:dyDescent="0.3">
      <c r="C57" s="33" t="s">
        <v>3503</v>
      </c>
    </row>
    <row r="58" spans="1:5" x14ac:dyDescent="0.3">
      <c r="C58" s="33" t="s">
        <v>3503</v>
      </c>
    </row>
    <row r="59" spans="1:5" x14ac:dyDescent="0.3">
      <c r="C59" s="33" t="s">
        <v>3503</v>
      </c>
    </row>
    <row r="60" spans="1:5" x14ac:dyDescent="0.3">
      <c r="C60" s="33" t="s">
        <v>3503</v>
      </c>
    </row>
    <row r="61" spans="1:5" x14ac:dyDescent="0.3">
      <c r="C61" s="33" t="s">
        <v>3503</v>
      </c>
    </row>
  </sheetData>
  <conditionalFormatting sqref="B2:B56">
    <cfRule type="containsBlanks" dxfId="3" priority="1">
      <formula>LEN(TRIM(B2))=0</formula>
    </cfRule>
  </conditionalFormatting>
  <conditionalFormatting sqref="E1:E1048576">
    <cfRule type="duplicateValues" dxfId="2" priority="2"/>
  </conditionalFormatting>
  <pageMargins left="0.7" right="0.7" top="0.75" bottom="0.75" header="0.3" footer="0.3"/>
  <pageSetup orientation="portrait"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DE48F-EF50-488B-B1F9-D18CDE4471C1}">
  <sheetPr>
    <tabColor theme="9" tint="-0.249977111117893"/>
  </sheetPr>
  <dimension ref="A1:F124"/>
  <sheetViews>
    <sheetView workbookViewId="0">
      <selection activeCell="H47" sqref="H47"/>
    </sheetView>
  </sheetViews>
  <sheetFormatPr defaultRowHeight="14.4" x14ac:dyDescent="0.3"/>
  <cols>
    <col min="1" max="1" width="8.88671875" style="55"/>
    <col min="2" max="2" width="13.6640625" style="55" customWidth="1"/>
    <col min="3" max="3" width="26.77734375" style="55" bestFit="1" customWidth="1"/>
    <col min="4" max="4" width="20.33203125" style="55" customWidth="1"/>
    <col min="5" max="5" width="22.21875" style="55" customWidth="1"/>
    <col min="6" max="6" width="36" style="55" customWidth="1"/>
    <col min="7" max="16384" width="8.88671875" style="55"/>
  </cols>
  <sheetData>
    <row r="1" spans="1:6" x14ac:dyDescent="0.3">
      <c r="A1" s="57" t="s">
        <v>0</v>
      </c>
      <c r="B1" s="57" t="s">
        <v>3763</v>
      </c>
      <c r="C1" s="57" t="s">
        <v>3762</v>
      </c>
      <c r="D1" s="57" t="s">
        <v>3761</v>
      </c>
      <c r="E1" s="57" t="s">
        <v>3760</v>
      </c>
      <c r="F1" s="57" t="s">
        <v>3764</v>
      </c>
    </row>
    <row r="2" spans="1:6" x14ac:dyDescent="0.3">
      <c r="A2" s="55">
        <v>1</v>
      </c>
      <c r="B2" s="56" t="s">
        <v>3543</v>
      </c>
      <c r="C2" s="56" t="s">
        <v>3759</v>
      </c>
      <c r="D2" s="56" t="s">
        <v>3758</v>
      </c>
      <c r="E2" s="55" t="s">
        <v>3765</v>
      </c>
    </row>
    <row r="3" spans="1:6" x14ac:dyDescent="0.3">
      <c r="A3" s="55">
        <v>2</v>
      </c>
      <c r="B3" s="55" t="s">
        <v>3543</v>
      </c>
      <c r="C3" s="55" t="s">
        <v>3757</v>
      </c>
      <c r="D3" s="55" t="s">
        <v>3756</v>
      </c>
      <c r="E3" s="55" t="s">
        <v>3765</v>
      </c>
    </row>
    <row r="4" spans="1:6" hidden="1" x14ac:dyDescent="0.3">
      <c r="A4" s="55">
        <v>3</v>
      </c>
      <c r="B4" s="56" t="s">
        <v>3543</v>
      </c>
      <c r="C4" s="56" t="s">
        <v>354</v>
      </c>
      <c r="D4" s="56" t="s">
        <v>3755</v>
      </c>
      <c r="E4" s="55" t="s">
        <v>3766</v>
      </c>
    </row>
    <row r="5" spans="1:6" x14ac:dyDescent="0.3">
      <c r="A5" s="55">
        <v>4</v>
      </c>
      <c r="B5" s="55" t="s">
        <v>3543</v>
      </c>
      <c r="C5" s="55" t="s">
        <v>3754</v>
      </c>
      <c r="D5" s="55" t="s">
        <v>3753</v>
      </c>
      <c r="E5" s="55" t="s">
        <v>3765</v>
      </c>
    </row>
    <row r="6" spans="1:6" hidden="1" x14ac:dyDescent="0.3">
      <c r="A6" s="55">
        <v>5</v>
      </c>
      <c r="B6" s="56" t="s">
        <v>3543</v>
      </c>
      <c r="C6" s="56" t="s">
        <v>865</v>
      </c>
      <c r="D6" s="56" t="s">
        <v>3752</v>
      </c>
      <c r="E6" s="55" t="s">
        <v>3767</v>
      </c>
    </row>
    <row r="7" spans="1:6" hidden="1" x14ac:dyDescent="0.3">
      <c r="A7" s="55">
        <v>6</v>
      </c>
      <c r="B7" s="55" t="s">
        <v>3543</v>
      </c>
      <c r="C7" s="55" t="s">
        <v>129</v>
      </c>
      <c r="D7" s="55" t="s">
        <v>3751</v>
      </c>
      <c r="E7" s="55" t="s">
        <v>3768</v>
      </c>
    </row>
    <row r="8" spans="1:6" x14ac:dyDescent="0.3">
      <c r="A8" s="55">
        <v>7</v>
      </c>
      <c r="B8" s="56" t="s">
        <v>3543</v>
      </c>
      <c r="C8" s="56" t="s">
        <v>3750</v>
      </c>
      <c r="D8" s="56" t="s">
        <v>3749</v>
      </c>
      <c r="E8" s="55" t="s">
        <v>3765</v>
      </c>
    </row>
    <row r="9" spans="1:6" hidden="1" x14ac:dyDescent="0.3">
      <c r="A9" s="55">
        <v>8</v>
      </c>
      <c r="B9" s="55" t="s">
        <v>3543</v>
      </c>
      <c r="C9" s="55" t="s">
        <v>3748</v>
      </c>
      <c r="D9" s="55" t="s">
        <v>3747</v>
      </c>
      <c r="E9" s="55" t="s">
        <v>3769</v>
      </c>
    </row>
    <row r="10" spans="1:6" hidden="1" x14ac:dyDescent="0.3">
      <c r="A10" s="55">
        <v>9</v>
      </c>
      <c r="B10" s="56" t="s">
        <v>3543</v>
      </c>
      <c r="C10" s="56" t="s">
        <v>3746</v>
      </c>
      <c r="D10" s="56" t="s">
        <v>3745</v>
      </c>
      <c r="E10" s="55" t="s">
        <v>3770</v>
      </c>
    </row>
    <row r="11" spans="1:6" hidden="1" x14ac:dyDescent="0.3">
      <c r="A11" s="55">
        <v>10</v>
      </c>
      <c r="B11" s="55" t="s">
        <v>3543</v>
      </c>
      <c r="C11" s="55" t="s">
        <v>3744</v>
      </c>
      <c r="D11" s="55" t="s">
        <v>3743</v>
      </c>
      <c r="E11" s="55" t="s">
        <v>3771</v>
      </c>
    </row>
    <row r="12" spans="1:6" hidden="1" x14ac:dyDescent="0.3">
      <c r="A12" s="55">
        <v>11</v>
      </c>
      <c r="B12" s="56" t="s">
        <v>3543</v>
      </c>
      <c r="C12" s="56" t="s">
        <v>3742</v>
      </c>
      <c r="D12" s="56" t="s">
        <v>3741</v>
      </c>
      <c r="E12" s="55" t="s">
        <v>3772</v>
      </c>
    </row>
    <row r="13" spans="1:6" hidden="1" x14ac:dyDescent="0.3">
      <c r="A13" s="55">
        <v>12</v>
      </c>
      <c r="B13" s="55" t="s">
        <v>3543</v>
      </c>
      <c r="C13" s="55" t="s">
        <v>3740</v>
      </c>
      <c r="D13" s="55" t="s">
        <v>3739</v>
      </c>
      <c r="E13" s="55" t="s">
        <v>3773</v>
      </c>
    </row>
    <row r="14" spans="1:6" hidden="1" x14ac:dyDescent="0.3">
      <c r="A14" s="55">
        <v>13</v>
      </c>
      <c r="B14" s="56" t="s">
        <v>3543</v>
      </c>
      <c r="C14" s="56" t="s">
        <v>3738</v>
      </c>
      <c r="D14" s="56" t="s">
        <v>3737</v>
      </c>
      <c r="E14" s="55" t="s">
        <v>3774</v>
      </c>
    </row>
    <row r="15" spans="1:6" hidden="1" x14ac:dyDescent="0.3">
      <c r="A15" s="55">
        <v>14</v>
      </c>
      <c r="B15" s="55" t="s">
        <v>3543</v>
      </c>
      <c r="C15" s="55" t="s">
        <v>3736</v>
      </c>
      <c r="D15" s="55" t="s">
        <v>3735</v>
      </c>
      <c r="E15" s="55" t="s">
        <v>3775</v>
      </c>
    </row>
    <row r="16" spans="1:6" hidden="1" x14ac:dyDescent="0.3">
      <c r="A16" s="55">
        <v>15</v>
      </c>
      <c r="B16" s="56" t="s">
        <v>3543</v>
      </c>
      <c r="C16" s="56" t="s">
        <v>3734</v>
      </c>
      <c r="D16" s="56" t="s">
        <v>3733</v>
      </c>
      <c r="E16" s="55" t="s">
        <v>3776</v>
      </c>
    </row>
    <row r="17" spans="1:5" x14ac:dyDescent="0.3">
      <c r="A17" s="55">
        <v>16</v>
      </c>
      <c r="B17" s="55" t="s">
        <v>3543</v>
      </c>
      <c r="C17" s="55" t="s">
        <v>3732</v>
      </c>
      <c r="D17" s="55" t="s">
        <v>3731</v>
      </c>
      <c r="E17" s="55" t="s">
        <v>3765</v>
      </c>
    </row>
    <row r="18" spans="1:5" x14ac:dyDescent="0.3">
      <c r="A18" s="55">
        <v>17</v>
      </c>
      <c r="B18" s="56" t="s">
        <v>3543</v>
      </c>
      <c r="C18" s="56" t="s">
        <v>3730</v>
      </c>
      <c r="D18" s="56" t="s">
        <v>3729</v>
      </c>
      <c r="E18" s="55" t="s">
        <v>3765</v>
      </c>
    </row>
    <row r="19" spans="1:5" x14ac:dyDescent="0.3">
      <c r="A19" s="55">
        <v>18</v>
      </c>
      <c r="B19" s="55" t="s">
        <v>3543</v>
      </c>
      <c r="C19" s="55" t="s">
        <v>3728</v>
      </c>
      <c r="D19" s="55" t="s">
        <v>3727</v>
      </c>
      <c r="E19" s="55" t="s">
        <v>3765</v>
      </c>
    </row>
    <row r="20" spans="1:5" x14ac:dyDescent="0.3">
      <c r="A20" s="55">
        <v>19</v>
      </c>
      <c r="B20" s="56" t="s">
        <v>3543</v>
      </c>
      <c r="C20" s="56" t="s">
        <v>3726</v>
      </c>
      <c r="D20" s="56" t="s">
        <v>3725</v>
      </c>
      <c r="E20" s="55" t="s">
        <v>3765</v>
      </c>
    </row>
    <row r="21" spans="1:5" hidden="1" x14ac:dyDescent="0.3">
      <c r="A21" s="55">
        <v>20</v>
      </c>
      <c r="B21" s="55" t="s">
        <v>3543</v>
      </c>
      <c r="C21" s="55" t="s">
        <v>3724</v>
      </c>
      <c r="D21" s="55" t="s">
        <v>3723</v>
      </c>
      <c r="E21" s="55" t="s">
        <v>3777</v>
      </c>
    </row>
    <row r="22" spans="1:5" hidden="1" x14ac:dyDescent="0.3">
      <c r="A22" s="55">
        <v>21</v>
      </c>
      <c r="B22" s="56" t="s">
        <v>3543</v>
      </c>
      <c r="C22" s="56" t="s">
        <v>3722</v>
      </c>
      <c r="D22" s="56" t="s">
        <v>3721</v>
      </c>
      <c r="E22" s="55" t="s">
        <v>3778</v>
      </c>
    </row>
    <row r="23" spans="1:5" x14ac:dyDescent="0.3">
      <c r="A23" s="55">
        <v>22</v>
      </c>
      <c r="B23" s="55" t="s">
        <v>3543</v>
      </c>
      <c r="C23" s="55" t="s">
        <v>3720</v>
      </c>
      <c r="D23" s="55" t="s">
        <v>3719</v>
      </c>
      <c r="E23" s="55" t="s">
        <v>3765</v>
      </c>
    </row>
    <row r="24" spans="1:5" hidden="1" x14ac:dyDescent="0.3">
      <c r="A24" s="55">
        <v>23</v>
      </c>
      <c r="B24" s="56" t="s">
        <v>3543</v>
      </c>
      <c r="C24" s="56" t="s">
        <v>3718</v>
      </c>
      <c r="D24" s="56" t="s">
        <v>3717</v>
      </c>
      <c r="E24" s="55" t="s">
        <v>3779</v>
      </c>
    </row>
    <row r="25" spans="1:5" x14ac:dyDescent="0.3">
      <c r="A25" s="55">
        <v>24</v>
      </c>
      <c r="B25" s="55" t="s">
        <v>3543</v>
      </c>
      <c r="C25" s="55" t="s">
        <v>3716</v>
      </c>
      <c r="D25" s="55" t="s">
        <v>3715</v>
      </c>
      <c r="E25" s="55" t="s">
        <v>3765</v>
      </c>
    </row>
    <row r="26" spans="1:5" hidden="1" x14ac:dyDescent="0.3">
      <c r="A26" s="55">
        <v>25</v>
      </c>
      <c r="B26" s="56" t="s">
        <v>3543</v>
      </c>
      <c r="C26" s="56" t="s">
        <v>429</v>
      </c>
      <c r="D26" s="56" t="s">
        <v>3714</v>
      </c>
      <c r="E26" s="55" t="s">
        <v>3780</v>
      </c>
    </row>
    <row r="27" spans="1:5" hidden="1" x14ac:dyDescent="0.3">
      <c r="A27" s="55">
        <v>26</v>
      </c>
      <c r="B27" s="55" t="s">
        <v>3543</v>
      </c>
      <c r="C27" s="55" t="s">
        <v>152</v>
      </c>
      <c r="D27" s="55" t="s">
        <v>3713</v>
      </c>
      <c r="E27" s="55" t="s">
        <v>3781</v>
      </c>
    </row>
    <row r="28" spans="1:5" x14ac:dyDescent="0.3">
      <c r="A28" s="55">
        <v>27</v>
      </c>
      <c r="B28" s="56" t="s">
        <v>3543</v>
      </c>
      <c r="C28" s="56" t="s">
        <v>3712</v>
      </c>
      <c r="D28" s="56" t="s">
        <v>3711</v>
      </c>
      <c r="E28" s="55" t="s">
        <v>3765</v>
      </c>
    </row>
    <row r="29" spans="1:5" x14ac:dyDescent="0.3">
      <c r="A29" s="55">
        <v>28</v>
      </c>
      <c r="B29" s="55" t="s">
        <v>3543</v>
      </c>
      <c r="C29" s="55" t="s">
        <v>3710</v>
      </c>
      <c r="D29" s="55" t="s">
        <v>3709</v>
      </c>
      <c r="E29" s="55" t="s">
        <v>3765</v>
      </c>
    </row>
    <row r="30" spans="1:5" x14ac:dyDescent="0.3">
      <c r="A30" s="55">
        <v>29</v>
      </c>
      <c r="B30" s="56" t="s">
        <v>3543</v>
      </c>
      <c r="C30" s="56" t="s">
        <v>3708</v>
      </c>
      <c r="D30" s="56" t="s">
        <v>3707</v>
      </c>
      <c r="E30" s="55" t="s">
        <v>3765</v>
      </c>
    </row>
    <row r="31" spans="1:5" x14ac:dyDescent="0.3">
      <c r="A31" s="55">
        <v>30</v>
      </c>
      <c r="B31" s="55" t="s">
        <v>3543</v>
      </c>
      <c r="C31" s="55" t="s">
        <v>3706</v>
      </c>
      <c r="D31" s="55" t="s">
        <v>3705</v>
      </c>
      <c r="E31" s="55" t="s">
        <v>3765</v>
      </c>
    </row>
    <row r="32" spans="1:5" hidden="1" x14ac:dyDescent="0.3">
      <c r="A32" s="55">
        <v>31</v>
      </c>
      <c r="B32" s="56" t="s">
        <v>3543</v>
      </c>
      <c r="C32" s="56" t="s">
        <v>3704</v>
      </c>
      <c r="D32" s="56" t="s">
        <v>3703</v>
      </c>
      <c r="E32" s="55" t="s">
        <v>3782</v>
      </c>
    </row>
    <row r="33" spans="1:5" x14ac:dyDescent="0.3">
      <c r="A33" s="55">
        <v>32</v>
      </c>
      <c r="B33" s="55" t="s">
        <v>3543</v>
      </c>
      <c r="C33" s="55" t="s">
        <v>3702</v>
      </c>
      <c r="D33" s="55" t="s">
        <v>3701</v>
      </c>
      <c r="E33" s="55" t="s">
        <v>3765</v>
      </c>
    </row>
    <row r="34" spans="1:5" x14ac:dyDescent="0.3">
      <c r="A34" s="55">
        <v>33</v>
      </c>
      <c r="B34" s="56" t="s">
        <v>3543</v>
      </c>
      <c r="C34" s="56" t="s">
        <v>3700</v>
      </c>
      <c r="D34" s="56" t="s">
        <v>3699</v>
      </c>
      <c r="E34" s="55" t="s">
        <v>3765</v>
      </c>
    </row>
    <row r="35" spans="1:5" x14ac:dyDescent="0.3">
      <c r="A35" s="55">
        <v>34</v>
      </c>
      <c r="B35" s="55" t="s">
        <v>3543</v>
      </c>
      <c r="C35" s="55" t="s">
        <v>3698</v>
      </c>
      <c r="D35" s="55" t="s">
        <v>3697</v>
      </c>
      <c r="E35" s="55" t="s">
        <v>3765</v>
      </c>
    </row>
    <row r="36" spans="1:5" x14ac:dyDescent="0.3">
      <c r="A36" s="55">
        <v>35</v>
      </c>
      <c r="B36" s="56" t="s">
        <v>3543</v>
      </c>
      <c r="C36" s="56" t="s">
        <v>3696</v>
      </c>
      <c r="D36" s="56" t="s">
        <v>3695</v>
      </c>
      <c r="E36" s="55" t="s">
        <v>3765</v>
      </c>
    </row>
    <row r="37" spans="1:5" x14ac:dyDescent="0.3">
      <c r="A37" s="55">
        <v>36</v>
      </c>
      <c r="B37" s="55" t="s">
        <v>3543</v>
      </c>
      <c r="C37" s="55" t="s">
        <v>3694</v>
      </c>
      <c r="D37" s="55" t="s">
        <v>3693</v>
      </c>
      <c r="E37" s="55" t="s">
        <v>3765</v>
      </c>
    </row>
    <row r="38" spans="1:5" hidden="1" x14ac:dyDescent="0.3">
      <c r="A38" s="55">
        <v>37</v>
      </c>
      <c r="B38" s="56" t="s">
        <v>3543</v>
      </c>
      <c r="C38" s="56" t="s">
        <v>3692</v>
      </c>
      <c r="D38" s="56" t="s">
        <v>3691</v>
      </c>
      <c r="E38" s="55" t="s">
        <v>3783</v>
      </c>
    </row>
    <row r="39" spans="1:5" x14ac:dyDescent="0.3">
      <c r="A39" s="55">
        <v>38</v>
      </c>
      <c r="B39" s="55" t="s">
        <v>3543</v>
      </c>
      <c r="C39" s="55" t="s">
        <v>3690</v>
      </c>
      <c r="D39" s="55" t="s">
        <v>3689</v>
      </c>
      <c r="E39" s="55" t="s">
        <v>3765</v>
      </c>
    </row>
    <row r="40" spans="1:5" x14ac:dyDescent="0.3">
      <c r="A40" s="55">
        <v>39</v>
      </c>
      <c r="B40" s="56" t="s">
        <v>3543</v>
      </c>
      <c r="C40" s="56" t="s">
        <v>3688</v>
      </c>
      <c r="D40" s="56" t="s">
        <v>3687</v>
      </c>
      <c r="E40" s="55" t="s">
        <v>3765</v>
      </c>
    </row>
    <row r="41" spans="1:5" x14ac:dyDescent="0.3">
      <c r="A41" s="55">
        <v>40</v>
      </c>
      <c r="B41" s="55" t="s">
        <v>3543</v>
      </c>
      <c r="C41" s="55" t="s">
        <v>3686</v>
      </c>
      <c r="D41" s="55" t="s">
        <v>3685</v>
      </c>
      <c r="E41" s="55" t="s">
        <v>3765</v>
      </c>
    </row>
    <row r="42" spans="1:5" x14ac:dyDescent="0.3">
      <c r="A42" s="55">
        <v>41</v>
      </c>
      <c r="B42" s="56" t="s">
        <v>3543</v>
      </c>
      <c r="C42" s="56" t="s">
        <v>3684</v>
      </c>
      <c r="D42" s="56" t="s">
        <v>3683</v>
      </c>
      <c r="E42" s="55" t="s">
        <v>3765</v>
      </c>
    </row>
    <row r="43" spans="1:5" x14ac:dyDescent="0.3">
      <c r="A43" s="55">
        <v>42</v>
      </c>
      <c r="B43" s="55" t="s">
        <v>3543</v>
      </c>
      <c r="C43" s="55" t="s">
        <v>3682</v>
      </c>
      <c r="D43" s="55" t="s">
        <v>3681</v>
      </c>
      <c r="E43" s="55" t="s">
        <v>3765</v>
      </c>
    </row>
    <row r="44" spans="1:5" hidden="1" x14ac:dyDescent="0.3">
      <c r="A44" s="55">
        <v>43</v>
      </c>
      <c r="B44" s="56" t="s">
        <v>3543</v>
      </c>
      <c r="C44" s="56" t="s">
        <v>3680</v>
      </c>
      <c r="D44" s="56" t="s">
        <v>3679</v>
      </c>
      <c r="E44" s="55" t="s">
        <v>3784</v>
      </c>
    </row>
    <row r="45" spans="1:5" hidden="1" x14ac:dyDescent="0.3">
      <c r="A45" s="55">
        <v>44</v>
      </c>
      <c r="B45" s="55" t="s">
        <v>3543</v>
      </c>
      <c r="C45" s="55" t="s">
        <v>3678</v>
      </c>
      <c r="D45" s="55" t="s">
        <v>3677</v>
      </c>
      <c r="E45" s="55" t="s">
        <v>3785</v>
      </c>
    </row>
    <row r="46" spans="1:5" x14ac:dyDescent="0.3">
      <c r="A46" s="55">
        <v>45</v>
      </c>
      <c r="B46" s="56" t="s">
        <v>3543</v>
      </c>
      <c r="C46" s="56" t="s">
        <v>3676</v>
      </c>
      <c r="D46" s="56" t="s">
        <v>3675</v>
      </c>
      <c r="E46" s="55" t="s">
        <v>3765</v>
      </c>
    </row>
    <row r="47" spans="1:5" x14ac:dyDescent="0.3">
      <c r="A47" s="55">
        <v>46</v>
      </c>
      <c r="B47" s="55" t="s">
        <v>3543</v>
      </c>
      <c r="C47" s="55" t="s">
        <v>3674</v>
      </c>
      <c r="D47" s="55" t="s">
        <v>3673</v>
      </c>
      <c r="E47" s="55" t="s">
        <v>3765</v>
      </c>
    </row>
    <row r="48" spans="1:5" x14ac:dyDescent="0.3">
      <c r="A48" s="55">
        <v>47</v>
      </c>
      <c r="B48" s="56" t="s">
        <v>3543</v>
      </c>
      <c r="C48" s="56" t="s">
        <v>3672</v>
      </c>
      <c r="D48" s="56" t="s">
        <v>3671</v>
      </c>
      <c r="E48" s="55" t="s">
        <v>3765</v>
      </c>
    </row>
    <row r="49" spans="1:5" x14ac:dyDescent="0.3">
      <c r="A49" s="55">
        <v>48</v>
      </c>
      <c r="B49" s="55" t="s">
        <v>3543</v>
      </c>
      <c r="C49" s="55" t="s">
        <v>3670</v>
      </c>
      <c r="D49" s="55" t="s">
        <v>3669</v>
      </c>
      <c r="E49" s="55" t="s">
        <v>3765</v>
      </c>
    </row>
    <row r="50" spans="1:5" x14ac:dyDescent="0.3">
      <c r="A50" s="55">
        <v>49</v>
      </c>
      <c r="B50" s="56" t="s">
        <v>3543</v>
      </c>
      <c r="C50" s="56" t="s">
        <v>3668</v>
      </c>
      <c r="D50" s="56" t="s">
        <v>3667</v>
      </c>
      <c r="E50" s="55" t="s">
        <v>3765</v>
      </c>
    </row>
    <row r="51" spans="1:5" x14ac:dyDescent="0.3">
      <c r="A51" s="55">
        <v>50</v>
      </c>
      <c r="B51" s="55" t="s">
        <v>3543</v>
      </c>
      <c r="C51" s="55" t="s">
        <v>3666</v>
      </c>
      <c r="D51" s="55" t="s">
        <v>3665</v>
      </c>
      <c r="E51" s="55" t="s">
        <v>3765</v>
      </c>
    </row>
    <row r="52" spans="1:5" x14ac:dyDescent="0.3">
      <c r="A52" s="55">
        <v>51</v>
      </c>
      <c r="B52" s="56" t="s">
        <v>3543</v>
      </c>
      <c r="C52" s="56" t="s">
        <v>3664</v>
      </c>
      <c r="D52" s="56" t="s">
        <v>3663</v>
      </c>
      <c r="E52" s="55" t="s">
        <v>3765</v>
      </c>
    </row>
    <row r="53" spans="1:5" hidden="1" x14ac:dyDescent="0.3">
      <c r="A53" s="55">
        <v>52</v>
      </c>
      <c r="B53" s="55" t="s">
        <v>3543</v>
      </c>
      <c r="C53" s="55" t="s">
        <v>620</v>
      </c>
      <c r="D53" s="55" t="s">
        <v>3662</v>
      </c>
      <c r="E53" s="55" t="s">
        <v>3786</v>
      </c>
    </row>
    <row r="54" spans="1:5" x14ac:dyDescent="0.3">
      <c r="A54" s="55">
        <v>53</v>
      </c>
      <c r="B54" s="56" t="s">
        <v>3543</v>
      </c>
      <c r="C54" s="56" t="s">
        <v>3661</v>
      </c>
      <c r="D54" s="56" t="s">
        <v>3660</v>
      </c>
      <c r="E54" s="55" t="s">
        <v>3765</v>
      </c>
    </row>
    <row r="55" spans="1:5" x14ac:dyDescent="0.3">
      <c r="A55" s="55">
        <v>54</v>
      </c>
      <c r="B55" s="55" t="s">
        <v>3543</v>
      </c>
      <c r="C55" s="55" t="s">
        <v>3659</v>
      </c>
      <c r="D55" s="55" t="s">
        <v>3658</v>
      </c>
      <c r="E55" s="55" t="s">
        <v>3765</v>
      </c>
    </row>
    <row r="56" spans="1:5" x14ac:dyDescent="0.3">
      <c r="A56" s="55">
        <v>55</v>
      </c>
      <c r="B56" s="56" t="s">
        <v>3543</v>
      </c>
      <c r="C56" s="56" t="s">
        <v>3657</v>
      </c>
      <c r="D56" s="56" t="s">
        <v>3656</v>
      </c>
      <c r="E56" s="55" t="s">
        <v>3765</v>
      </c>
    </row>
    <row r="57" spans="1:5" x14ac:dyDescent="0.3">
      <c r="A57" s="55">
        <v>56</v>
      </c>
      <c r="B57" s="55" t="s">
        <v>3543</v>
      </c>
      <c r="C57" s="55" t="s">
        <v>3655</v>
      </c>
      <c r="D57" s="55" t="s">
        <v>3654</v>
      </c>
      <c r="E57" s="55" t="s">
        <v>3765</v>
      </c>
    </row>
    <row r="58" spans="1:5" x14ac:dyDescent="0.3">
      <c r="A58" s="55">
        <v>57</v>
      </c>
      <c r="B58" s="56" t="s">
        <v>3543</v>
      </c>
      <c r="C58" s="56" t="s">
        <v>3653</v>
      </c>
      <c r="D58" s="56" t="s">
        <v>3652</v>
      </c>
      <c r="E58" s="55" t="s">
        <v>3765</v>
      </c>
    </row>
    <row r="59" spans="1:5" x14ac:dyDescent="0.3">
      <c r="A59" s="55">
        <v>58</v>
      </c>
      <c r="B59" s="55" t="s">
        <v>3543</v>
      </c>
      <c r="C59" s="55" t="s">
        <v>3651</v>
      </c>
      <c r="D59" s="55" t="s">
        <v>3650</v>
      </c>
      <c r="E59" s="55" t="s">
        <v>3765</v>
      </c>
    </row>
    <row r="60" spans="1:5" hidden="1" x14ac:dyDescent="0.3">
      <c r="A60" s="55">
        <v>59</v>
      </c>
      <c r="B60" s="56" t="s">
        <v>3543</v>
      </c>
      <c r="C60" s="56" t="s">
        <v>3649</v>
      </c>
      <c r="D60" s="56" t="s">
        <v>3648</v>
      </c>
      <c r="E60" s="55" t="s">
        <v>3787</v>
      </c>
    </row>
    <row r="61" spans="1:5" hidden="1" x14ac:dyDescent="0.3">
      <c r="A61" s="55">
        <v>60</v>
      </c>
      <c r="B61" s="55" t="s">
        <v>3543</v>
      </c>
      <c r="C61" s="55" t="s">
        <v>894</v>
      </c>
      <c r="D61" s="55" t="s">
        <v>3647</v>
      </c>
      <c r="E61" s="55" t="s">
        <v>3788</v>
      </c>
    </row>
    <row r="62" spans="1:5" hidden="1" x14ac:dyDescent="0.3">
      <c r="A62" s="55">
        <v>61</v>
      </c>
      <c r="B62" s="56" t="s">
        <v>3543</v>
      </c>
      <c r="C62" s="56" t="s">
        <v>955</v>
      </c>
      <c r="D62" s="56" t="s">
        <v>3646</v>
      </c>
      <c r="E62" s="55" t="s">
        <v>3789</v>
      </c>
    </row>
    <row r="63" spans="1:5" hidden="1" x14ac:dyDescent="0.3">
      <c r="A63" s="55">
        <v>62</v>
      </c>
      <c r="B63" s="55" t="s">
        <v>3543</v>
      </c>
      <c r="C63" s="55" t="s">
        <v>369</v>
      </c>
      <c r="D63" s="55" t="s">
        <v>3645</v>
      </c>
      <c r="E63" s="55" t="s">
        <v>3790</v>
      </c>
    </row>
    <row r="64" spans="1:5" x14ac:dyDescent="0.3">
      <c r="A64" s="55">
        <v>63</v>
      </c>
      <c r="B64" s="56" t="s">
        <v>3543</v>
      </c>
      <c r="C64" s="56" t="s">
        <v>3644</v>
      </c>
      <c r="D64" s="56" t="s">
        <v>3643</v>
      </c>
      <c r="E64" s="55" t="s">
        <v>3765</v>
      </c>
    </row>
    <row r="65" spans="1:5" x14ac:dyDescent="0.3">
      <c r="A65" s="55">
        <v>64</v>
      </c>
      <c r="B65" s="55" t="s">
        <v>3543</v>
      </c>
      <c r="C65" s="55" t="s">
        <v>3642</v>
      </c>
      <c r="D65" s="55" t="s">
        <v>3641</v>
      </c>
      <c r="E65" s="55" t="s">
        <v>3765</v>
      </c>
    </row>
    <row r="66" spans="1:5" hidden="1" x14ac:dyDescent="0.3">
      <c r="A66" s="55">
        <v>65</v>
      </c>
      <c r="B66" s="56" t="s">
        <v>3543</v>
      </c>
      <c r="C66" s="56" t="s">
        <v>3640</v>
      </c>
      <c r="D66" s="56" t="s">
        <v>3639</v>
      </c>
      <c r="E66" s="55" t="s">
        <v>3791</v>
      </c>
    </row>
    <row r="67" spans="1:5" x14ac:dyDescent="0.3">
      <c r="A67" s="55">
        <v>66</v>
      </c>
      <c r="B67" s="55" t="s">
        <v>3543</v>
      </c>
      <c r="C67" s="55" t="s">
        <v>3638</v>
      </c>
      <c r="D67" s="55" t="s">
        <v>3637</v>
      </c>
      <c r="E67" s="55" t="s">
        <v>3765</v>
      </c>
    </row>
    <row r="68" spans="1:5" x14ac:dyDescent="0.3">
      <c r="A68" s="55">
        <v>67</v>
      </c>
      <c r="B68" s="56" t="s">
        <v>3543</v>
      </c>
      <c r="C68" s="56" t="s">
        <v>3636</v>
      </c>
      <c r="D68" s="56" t="s">
        <v>3635</v>
      </c>
      <c r="E68" s="55" t="s">
        <v>3765</v>
      </c>
    </row>
    <row r="69" spans="1:5" hidden="1" x14ac:dyDescent="0.3">
      <c r="A69" s="55">
        <v>68</v>
      </c>
      <c r="B69" s="55" t="s">
        <v>3543</v>
      </c>
      <c r="C69" s="55" t="s">
        <v>760</v>
      </c>
      <c r="D69" s="55" t="s">
        <v>3634</v>
      </c>
      <c r="E69" s="55" t="s">
        <v>3792</v>
      </c>
    </row>
    <row r="70" spans="1:5" hidden="1" x14ac:dyDescent="0.3">
      <c r="A70" s="55">
        <v>69</v>
      </c>
      <c r="B70" s="56" t="s">
        <v>3543</v>
      </c>
      <c r="C70" s="56" t="s">
        <v>776</v>
      </c>
      <c r="D70" s="56" t="s">
        <v>3633</v>
      </c>
      <c r="E70" s="55" t="s">
        <v>3793</v>
      </c>
    </row>
    <row r="71" spans="1:5" x14ac:dyDescent="0.3">
      <c r="A71" s="55">
        <v>70</v>
      </c>
      <c r="B71" s="55" t="s">
        <v>3543</v>
      </c>
      <c r="C71" s="55" t="s">
        <v>3632</v>
      </c>
      <c r="D71" s="55" t="s">
        <v>3631</v>
      </c>
      <c r="E71" s="55" t="s">
        <v>3765</v>
      </c>
    </row>
    <row r="72" spans="1:5" x14ac:dyDescent="0.3">
      <c r="A72" s="55">
        <v>71</v>
      </c>
      <c r="B72" s="56" t="s">
        <v>3543</v>
      </c>
      <c r="C72" s="56" t="s">
        <v>3630</v>
      </c>
      <c r="D72" s="56" t="s">
        <v>3629</v>
      </c>
      <c r="E72" s="55" t="s">
        <v>3765</v>
      </c>
    </row>
    <row r="73" spans="1:5" x14ac:dyDescent="0.3">
      <c r="A73" s="55">
        <v>72</v>
      </c>
      <c r="B73" s="55" t="s">
        <v>3543</v>
      </c>
      <c r="C73" s="55" t="s">
        <v>3628</v>
      </c>
      <c r="D73" s="55" t="s">
        <v>3627</v>
      </c>
      <c r="E73" s="55" t="s">
        <v>3765</v>
      </c>
    </row>
    <row r="74" spans="1:5" x14ac:dyDescent="0.3">
      <c r="A74" s="55">
        <v>73</v>
      </c>
      <c r="B74" s="56" t="s">
        <v>3543</v>
      </c>
      <c r="C74" s="56" t="s">
        <v>3626</v>
      </c>
      <c r="D74" s="56" t="s">
        <v>3625</v>
      </c>
      <c r="E74" s="55" t="s">
        <v>3765</v>
      </c>
    </row>
    <row r="75" spans="1:5" x14ac:dyDescent="0.3">
      <c r="A75" s="55">
        <v>74</v>
      </c>
      <c r="B75" s="55" t="s">
        <v>3543</v>
      </c>
      <c r="C75" s="55" t="s">
        <v>3624</v>
      </c>
      <c r="D75" s="55" t="s">
        <v>3623</v>
      </c>
      <c r="E75" s="55" t="s">
        <v>3765</v>
      </c>
    </row>
    <row r="76" spans="1:5" x14ac:dyDescent="0.3">
      <c r="A76" s="55">
        <v>75</v>
      </c>
      <c r="B76" s="56" t="s">
        <v>3543</v>
      </c>
      <c r="C76" s="56" t="s">
        <v>3622</v>
      </c>
      <c r="D76" s="56" t="s">
        <v>3621</v>
      </c>
      <c r="E76" s="55" t="s">
        <v>3765</v>
      </c>
    </row>
    <row r="77" spans="1:5" x14ac:dyDescent="0.3">
      <c r="A77" s="55">
        <v>76</v>
      </c>
      <c r="B77" s="55" t="s">
        <v>3543</v>
      </c>
      <c r="C77" s="55" t="s">
        <v>3620</v>
      </c>
      <c r="D77" s="55" t="s">
        <v>3619</v>
      </c>
      <c r="E77" s="55" t="s">
        <v>3765</v>
      </c>
    </row>
    <row r="78" spans="1:5" x14ac:dyDescent="0.3">
      <c r="A78" s="55">
        <v>77</v>
      </c>
      <c r="B78" s="56" t="s">
        <v>3543</v>
      </c>
      <c r="C78" s="56" t="s">
        <v>3618</v>
      </c>
      <c r="D78" s="56" t="s">
        <v>3617</v>
      </c>
      <c r="E78" s="55" t="s">
        <v>3765</v>
      </c>
    </row>
    <row r="79" spans="1:5" hidden="1" x14ac:dyDescent="0.3">
      <c r="A79" s="55">
        <v>78</v>
      </c>
      <c r="B79" s="55" t="s">
        <v>3543</v>
      </c>
      <c r="C79" s="55" t="s">
        <v>1031</v>
      </c>
      <c r="D79" s="55" t="s">
        <v>3616</v>
      </c>
      <c r="E79" s="55" t="s">
        <v>3794</v>
      </c>
    </row>
    <row r="80" spans="1:5" x14ac:dyDescent="0.3">
      <c r="A80" s="55">
        <v>79</v>
      </c>
      <c r="B80" s="56" t="s">
        <v>3543</v>
      </c>
      <c r="C80" s="56" t="s">
        <v>3615</v>
      </c>
      <c r="D80" s="56" t="s">
        <v>3614</v>
      </c>
      <c r="E80" s="55" t="s">
        <v>3765</v>
      </c>
    </row>
    <row r="81" spans="1:5" x14ac:dyDescent="0.3">
      <c r="A81" s="55">
        <v>80</v>
      </c>
      <c r="B81" s="55" t="s">
        <v>3543</v>
      </c>
      <c r="C81" s="55" t="s">
        <v>3613</v>
      </c>
      <c r="D81" s="55" t="s">
        <v>3612</v>
      </c>
      <c r="E81" s="55" t="s">
        <v>3765</v>
      </c>
    </row>
    <row r="82" spans="1:5" x14ac:dyDescent="0.3">
      <c r="A82" s="55">
        <v>81</v>
      </c>
      <c r="B82" s="56" t="s">
        <v>3543</v>
      </c>
      <c r="C82" s="56" t="s">
        <v>3611</v>
      </c>
      <c r="D82" s="56" t="s">
        <v>3610</v>
      </c>
      <c r="E82" s="55" t="s">
        <v>3765</v>
      </c>
    </row>
    <row r="83" spans="1:5" x14ac:dyDescent="0.3">
      <c r="A83" s="55">
        <v>82</v>
      </c>
      <c r="B83" s="55" t="s">
        <v>3543</v>
      </c>
      <c r="C83" s="55" t="s">
        <v>3609</v>
      </c>
      <c r="D83" s="55" t="s">
        <v>3608</v>
      </c>
      <c r="E83" s="55" t="s">
        <v>3765</v>
      </c>
    </row>
    <row r="84" spans="1:5" hidden="1" x14ac:dyDescent="0.3">
      <c r="A84" s="55">
        <v>83</v>
      </c>
      <c r="B84" s="56" t="s">
        <v>3543</v>
      </c>
      <c r="C84" s="56" t="s">
        <v>3607</v>
      </c>
      <c r="D84" s="56" t="s">
        <v>3606</v>
      </c>
      <c r="E84" s="55" t="s">
        <v>3795</v>
      </c>
    </row>
    <row r="85" spans="1:5" hidden="1" x14ac:dyDescent="0.3">
      <c r="A85" s="55">
        <v>84</v>
      </c>
      <c r="B85" s="55" t="s">
        <v>3543</v>
      </c>
      <c r="C85" s="55" t="s">
        <v>3605</v>
      </c>
      <c r="D85" s="55" t="s">
        <v>3604</v>
      </c>
      <c r="E85" s="55" t="s">
        <v>3796</v>
      </c>
    </row>
    <row r="86" spans="1:5" hidden="1" x14ac:dyDescent="0.3">
      <c r="A86" s="55">
        <v>85</v>
      </c>
      <c r="B86" s="56" t="s">
        <v>3543</v>
      </c>
      <c r="C86" s="56" t="s">
        <v>3603</v>
      </c>
      <c r="D86" s="56" t="s">
        <v>3602</v>
      </c>
      <c r="E86" s="55" t="s">
        <v>3797</v>
      </c>
    </row>
    <row r="87" spans="1:5" x14ac:dyDescent="0.3">
      <c r="A87" s="55">
        <v>86</v>
      </c>
      <c r="B87" s="55" t="s">
        <v>3543</v>
      </c>
      <c r="C87" s="55" t="s">
        <v>3601</v>
      </c>
      <c r="D87" s="55" t="s">
        <v>3600</v>
      </c>
      <c r="E87" s="55" t="s">
        <v>3765</v>
      </c>
    </row>
    <row r="88" spans="1:5" x14ac:dyDescent="0.3">
      <c r="A88" s="55">
        <v>87</v>
      </c>
      <c r="B88" s="56" t="s">
        <v>3543</v>
      </c>
      <c r="C88" s="56" t="s">
        <v>3599</v>
      </c>
      <c r="D88" s="56" t="s">
        <v>3598</v>
      </c>
      <c r="E88" s="55" t="s">
        <v>3765</v>
      </c>
    </row>
    <row r="89" spans="1:5" x14ac:dyDescent="0.3">
      <c r="A89" s="55">
        <v>88</v>
      </c>
      <c r="B89" s="55" t="s">
        <v>3543</v>
      </c>
      <c r="C89" s="55" t="s">
        <v>3597</v>
      </c>
      <c r="D89" s="55" t="s">
        <v>3596</v>
      </c>
      <c r="E89" s="55" t="s">
        <v>3765</v>
      </c>
    </row>
    <row r="90" spans="1:5" hidden="1" x14ac:dyDescent="0.3">
      <c r="A90" s="55">
        <v>89</v>
      </c>
      <c r="B90" s="56" t="s">
        <v>3543</v>
      </c>
      <c r="C90" s="56" t="s">
        <v>3595</v>
      </c>
      <c r="D90" s="56" t="s">
        <v>3594</v>
      </c>
      <c r="E90" s="55" t="s">
        <v>3798</v>
      </c>
    </row>
    <row r="91" spans="1:5" x14ac:dyDescent="0.3">
      <c r="A91" s="55">
        <v>90</v>
      </c>
      <c r="B91" s="55" t="s">
        <v>3543</v>
      </c>
      <c r="C91" s="55" t="s">
        <v>3593</v>
      </c>
      <c r="D91" s="55" t="s">
        <v>3592</v>
      </c>
      <c r="E91" s="55" t="s">
        <v>3765</v>
      </c>
    </row>
    <row r="92" spans="1:5" hidden="1" x14ac:dyDescent="0.3">
      <c r="A92" s="55">
        <v>91</v>
      </c>
      <c r="B92" s="56" t="s">
        <v>3543</v>
      </c>
      <c r="C92" s="56" t="s">
        <v>1091</v>
      </c>
      <c r="D92" s="56" t="s">
        <v>3591</v>
      </c>
      <c r="E92" s="55" t="s">
        <v>3799</v>
      </c>
    </row>
    <row r="93" spans="1:5" x14ac:dyDescent="0.3">
      <c r="A93" s="55">
        <v>92</v>
      </c>
      <c r="B93" s="55" t="s">
        <v>3543</v>
      </c>
      <c r="C93" s="55" t="s">
        <v>3590</v>
      </c>
      <c r="D93" s="55" t="s">
        <v>3589</v>
      </c>
      <c r="E93" s="55" t="s">
        <v>3765</v>
      </c>
    </row>
    <row r="94" spans="1:5" hidden="1" x14ac:dyDescent="0.3">
      <c r="A94" s="55">
        <v>93</v>
      </c>
      <c r="B94" s="56" t="s">
        <v>3543</v>
      </c>
      <c r="C94" s="56" t="s">
        <v>3588</v>
      </c>
      <c r="D94" s="56" t="s">
        <v>3587</v>
      </c>
      <c r="E94" s="55" t="s">
        <v>3800</v>
      </c>
    </row>
    <row r="95" spans="1:5" x14ac:dyDescent="0.3">
      <c r="A95" s="55">
        <v>94</v>
      </c>
      <c r="B95" s="55" t="s">
        <v>3543</v>
      </c>
      <c r="C95" s="55" t="s">
        <v>3586</v>
      </c>
      <c r="D95" s="55" t="s">
        <v>3585</v>
      </c>
      <c r="E95" s="55" t="s">
        <v>3765</v>
      </c>
    </row>
    <row r="96" spans="1:5" hidden="1" x14ac:dyDescent="0.3">
      <c r="A96" s="55">
        <v>95</v>
      </c>
      <c r="B96" s="56" t="s">
        <v>3543</v>
      </c>
      <c r="C96" s="56" t="s">
        <v>531</v>
      </c>
      <c r="D96" s="56" t="s">
        <v>3584</v>
      </c>
      <c r="E96" s="55" t="s">
        <v>3801</v>
      </c>
    </row>
    <row r="97" spans="1:5" x14ac:dyDescent="0.3">
      <c r="A97" s="55">
        <v>96</v>
      </c>
      <c r="B97" s="55" t="s">
        <v>3543</v>
      </c>
      <c r="C97" s="55" t="s">
        <v>3583</v>
      </c>
      <c r="D97" s="55" t="s">
        <v>3582</v>
      </c>
      <c r="E97" s="55" t="s">
        <v>3765</v>
      </c>
    </row>
    <row r="98" spans="1:5" hidden="1" x14ac:dyDescent="0.3">
      <c r="A98" s="55">
        <v>97</v>
      </c>
      <c r="B98" s="56" t="s">
        <v>3543</v>
      </c>
      <c r="C98" s="56" t="s">
        <v>3581</v>
      </c>
      <c r="D98" s="56" t="s">
        <v>3580</v>
      </c>
      <c r="E98" s="55" t="s">
        <v>3802</v>
      </c>
    </row>
    <row r="99" spans="1:5" hidden="1" x14ac:dyDescent="0.3">
      <c r="A99" s="55">
        <v>98</v>
      </c>
      <c r="B99" s="55" t="s">
        <v>3543</v>
      </c>
      <c r="C99" s="55" t="s">
        <v>1107</v>
      </c>
      <c r="D99" s="55" t="s">
        <v>3579</v>
      </c>
      <c r="E99" s="55" t="s">
        <v>3803</v>
      </c>
    </row>
    <row r="100" spans="1:5" hidden="1" x14ac:dyDescent="0.3">
      <c r="A100" s="55">
        <v>99</v>
      </c>
      <c r="B100" s="56" t="s">
        <v>3543</v>
      </c>
      <c r="C100" s="56" t="s">
        <v>3578</v>
      </c>
      <c r="D100" s="56" t="s">
        <v>3577</v>
      </c>
      <c r="E100" s="55" t="s">
        <v>3804</v>
      </c>
    </row>
    <row r="101" spans="1:5" hidden="1" x14ac:dyDescent="0.3">
      <c r="A101" s="55">
        <v>100</v>
      </c>
      <c r="B101" s="55" t="s">
        <v>3543</v>
      </c>
      <c r="C101" s="55" t="s">
        <v>1117</v>
      </c>
      <c r="D101" s="55" t="s">
        <v>3576</v>
      </c>
      <c r="E101" s="55" t="s">
        <v>3805</v>
      </c>
    </row>
    <row r="102" spans="1:5" x14ac:dyDescent="0.3">
      <c r="A102" s="55">
        <v>101</v>
      </c>
      <c r="B102" s="56" t="s">
        <v>3543</v>
      </c>
      <c r="C102" s="56" t="s">
        <v>3575</v>
      </c>
      <c r="D102" s="56" t="s">
        <v>3574</v>
      </c>
      <c r="E102" s="55" t="s">
        <v>3765</v>
      </c>
    </row>
    <row r="103" spans="1:5" hidden="1" x14ac:dyDescent="0.3">
      <c r="A103" s="55">
        <v>102</v>
      </c>
      <c r="B103" s="55" t="s">
        <v>3543</v>
      </c>
      <c r="C103" s="55" t="s">
        <v>3573</v>
      </c>
      <c r="D103" s="55" t="s">
        <v>3572</v>
      </c>
      <c r="E103" s="55" t="s">
        <v>3806</v>
      </c>
    </row>
    <row r="104" spans="1:5" x14ac:dyDescent="0.3">
      <c r="A104" s="55">
        <v>103</v>
      </c>
      <c r="B104" s="56" t="s">
        <v>3543</v>
      </c>
      <c r="C104" s="56" t="s">
        <v>3571</v>
      </c>
      <c r="D104" s="56" t="s">
        <v>3570</v>
      </c>
      <c r="E104" s="55" t="s">
        <v>3765</v>
      </c>
    </row>
    <row r="105" spans="1:5" hidden="1" x14ac:dyDescent="0.3">
      <c r="A105" s="55">
        <v>104</v>
      </c>
      <c r="B105" s="55" t="s">
        <v>3543</v>
      </c>
      <c r="C105" s="55" t="s">
        <v>1134</v>
      </c>
      <c r="D105" s="55" t="s">
        <v>3569</v>
      </c>
      <c r="E105" s="55" t="s">
        <v>3807</v>
      </c>
    </row>
    <row r="106" spans="1:5" hidden="1" x14ac:dyDescent="0.3">
      <c r="A106" s="55">
        <v>105</v>
      </c>
      <c r="B106" s="56" t="s">
        <v>3543</v>
      </c>
      <c r="C106" s="56" t="s">
        <v>3568</v>
      </c>
      <c r="D106" s="56" t="s">
        <v>3567</v>
      </c>
      <c r="E106" s="55" t="s">
        <v>3808</v>
      </c>
    </row>
    <row r="107" spans="1:5" x14ac:dyDescent="0.3">
      <c r="A107" s="55">
        <v>106</v>
      </c>
      <c r="B107" s="55" t="s">
        <v>3543</v>
      </c>
      <c r="C107" s="55" t="s">
        <v>3566</v>
      </c>
      <c r="D107" s="55" t="s">
        <v>3565</v>
      </c>
      <c r="E107" s="55" t="s">
        <v>3765</v>
      </c>
    </row>
    <row r="108" spans="1:5" hidden="1" x14ac:dyDescent="0.3">
      <c r="A108" s="55">
        <v>107</v>
      </c>
      <c r="B108" s="56" t="s">
        <v>3543</v>
      </c>
      <c r="C108" s="56" t="s">
        <v>3564</v>
      </c>
      <c r="D108" s="56" t="s">
        <v>3563</v>
      </c>
      <c r="E108" s="55" t="s">
        <v>3809</v>
      </c>
    </row>
    <row r="109" spans="1:5" x14ac:dyDescent="0.3">
      <c r="A109" s="55">
        <v>108</v>
      </c>
      <c r="B109" s="55" t="s">
        <v>3543</v>
      </c>
      <c r="C109" s="55" t="s">
        <v>3562</v>
      </c>
      <c r="D109" s="55" t="s">
        <v>3561</v>
      </c>
      <c r="E109" s="55" t="s">
        <v>3765</v>
      </c>
    </row>
    <row r="110" spans="1:5" x14ac:dyDescent="0.3">
      <c r="A110" s="55">
        <v>109</v>
      </c>
      <c r="B110" s="56" t="s">
        <v>3543</v>
      </c>
      <c r="C110" s="56" t="s">
        <v>3560</v>
      </c>
      <c r="D110" s="56" t="s">
        <v>3559</v>
      </c>
      <c r="E110" s="55" t="s">
        <v>3765</v>
      </c>
    </row>
    <row r="111" spans="1:5" hidden="1" x14ac:dyDescent="0.3">
      <c r="A111" s="55">
        <v>110</v>
      </c>
      <c r="B111" s="55" t="s">
        <v>3543</v>
      </c>
      <c r="C111" s="55" t="s">
        <v>919</v>
      </c>
      <c r="D111" s="55" t="s">
        <v>3558</v>
      </c>
      <c r="E111" s="55" t="s">
        <v>3810</v>
      </c>
    </row>
    <row r="112" spans="1:5" hidden="1" x14ac:dyDescent="0.3">
      <c r="A112" s="55">
        <v>111</v>
      </c>
      <c r="B112" s="56" t="s">
        <v>3543</v>
      </c>
      <c r="C112" s="56" t="s">
        <v>931</v>
      </c>
      <c r="D112" s="56" t="s">
        <v>3557</v>
      </c>
      <c r="E112" s="55" t="s">
        <v>3811</v>
      </c>
    </row>
    <row r="113" spans="1:5" hidden="1" x14ac:dyDescent="0.3">
      <c r="A113" s="55">
        <v>112</v>
      </c>
      <c r="B113" s="55" t="s">
        <v>3543</v>
      </c>
      <c r="C113" s="55" t="s">
        <v>186</v>
      </c>
      <c r="D113" s="55" t="s">
        <v>3556</v>
      </c>
      <c r="E113" s="55" t="s">
        <v>3812</v>
      </c>
    </row>
    <row r="114" spans="1:5" hidden="1" x14ac:dyDescent="0.3">
      <c r="A114" s="55">
        <v>113</v>
      </c>
      <c r="B114" s="56" t="s">
        <v>3543</v>
      </c>
      <c r="C114" s="56" t="s">
        <v>186</v>
      </c>
      <c r="D114" s="56" t="s">
        <v>3555</v>
      </c>
      <c r="E114" s="55" t="s">
        <v>3813</v>
      </c>
    </row>
    <row r="115" spans="1:5" hidden="1" x14ac:dyDescent="0.3">
      <c r="A115" s="55">
        <v>114</v>
      </c>
      <c r="B115" s="55" t="s">
        <v>3543</v>
      </c>
      <c r="C115" s="55" t="s">
        <v>223</v>
      </c>
      <c r="D115" s="55" t="s">
        <v>3554</v>
      </c>
      <c r="E115" s="55" t="s">
        <v>3814</v>
      </c>
    </row>
    <row r="116" spans="1:5" hidden="1" x14ac:dyDescent="0.3">
      <c r="A116" s="55">
        <v>115</v>
      </c>
      <c r="B116" s="56" t="s">
        <v>3543</v>
      </c>
      <c r="C116" s="56" t="s">
        <v>254</v>
      </c>
      <c r="D116" s="56" t="s">
        <v>3553</v>
      </c>
      <c r="E116" s="55" t="s">
        <v>3815</v>
      </c>
    </row>
    <row r="117" spans="1:5" hidden="1" x14ac:dyDescent="0.3">
      <c r="A117" s="55">
        <v>116</v>
      </c>
      <c r="B117" s="55" t="s">
        <v>3543</v>
      </c>
      <c r="C117" s="55" t="s">
        <v>286</v>
      </c>
      <c r="D117" s="55" t="s">
        <v>3552</v>
      </c>
      <c r="E117" s="55" t="s">
        <v>3816</v>
      </c>
    </row>
    <row r="118" spans="1:5" hidden="1" x14ac:dyDescent="0.3">
      <c r="A118" s="55">
        <v>117</v>
      </c>
      <c r="B118" s="56" t="s">
        <v>3543</v>
      </c>
      <c r="C118" s="56" t="s">
        <v>306</v>
      </c>
      <c r="D118" s="56" t="s">
        <v>3551</v>
      </c>
      <c r="E118" s="55" t="s">
        <v>3817</v>
      </c>
    </row>
    <row r="119" spans="1:5" x14ac:dyDescent="0.3">
      <c r="A119" s="55">
        <v>118</v>
      </c>
      <c r="B119" s="55" t="s">
        <v>3543</v>
      </c>
      <c r="C119" s="55" t="s">
        <v>3550</v>
      </c>
      <c r="D119" s="55" t="s">
        <v>3549</v>
      </c>
      <c r="E119" s="55" t="s">
        <v>3765</v>
      </c>
    </row>
    <row r="120" spans="1:5" hidden="1" x14ac:dyDescent="0.3">
      <c r="A120" s="55">
        <v>119</v>
      </c>
      <c r="B120" s="56" t="s">
        <v>3543</v>
      </c>
      <c r="C120" s="56" t="s">
        <v>839</v>
      </c>
      <c r="D120" s="56" t="s">
        <v>3548</v>
      </c>
      <c r="E120" s="55" t="s">
        <v>3818</v>
      </c>
    </row>
    <row r="121" spans="1:5" hidden="1" x14ac:dyDescent="0.3">
      <c r="A121" s="55">
        <v>120</v>
      </c>
      <c r="B121" s="55" t="s">
        <v>3543</v>
      </c>
      <c r="C121" s="55" t="s">
        <v>851</v>
      </c>
      <c r="D121" s="55" t="s">
        <v>3547</v>
      </c>
      <c r="E121" s="55" t="s">
        <v>3819</v>
      </c>
    </row>
    <row r="122" spans="1:5" hidden="1" x14ac:dyDescent="0.3">
      <c r="A122" s="55">
        <v>121</v>
      </c>
      <c r="B122" s="56" t="s">
        <v>3543</v>
      </c>
      <c r="C122" s="56" t="s">
        <v>336</v>
      </c>
      <c r="D122" s="56" t="s">
        <v>3546</v>
      </c>
      <c r="E122" s="55" t="s">
        <v>3820</v>
      </c>
    </row>
    <row r="123" spans="1:5" x14ac:dyDescent="0.3">
      <c r="A123" s="55">
        <v>122</v>
      </c>
      <c r="B123" s="55" t="s">
        <v>3543</v>
      </c>
      <c r="C123" s="55" t="s">
        <v>3545</v>
      </c>
      <c r="D123" s="55" t="s">
        <v>3544</v>
      </c>
      <c r="E123" s="55" t="s">
        <v>3765</v>
      </c>
    </row>
    <row r="124" spans="1:5" x14ac:dyDescent="0.3">
      <c r="A124" s="55">
        <v>123</v>
      </c>
      <c r="B124" s="56" t="s">
        <v>3543</v>
      </c>
      <c r="C124" s="56" t="s">
        <v>3542</v>
      </c>
      <c r="D124" s="56" t="s">
        <v>3541</v>
      </c>
      <c r="E124" s="55" t="s">
        <v>3765</v>
      </c>
    </row>
  </sheetData>
  <conditionalFormatting sqref="E2:E124">
    <cfRule type="duplicateValues" dxfId="1" priority="1"/>
  </conditionalFormatting>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Table of Contents</vt:lpstr>
      <vt:lpstr>Expanded_ROWS</vt:lpstr>
      <vt:lpstr>Expanded_ROWS_raw</vt:lpstr>
      <vt:lpstr>Expanded_ROWS_IMARRD</vt:lpstr>
      <vt:lpstr>BookingXPATH</vt:lpstr>
      <vt:lpstr>BookingPYTHON</vt:lpstr>
      <vt:lpstr>IMARRD_Col</vt:lpstr>
      <vt:lpstr>Expanded_ROWS_IMFLDR</vt:lpstr>
      <vt:lpstr>ReleaseXPATH</vt:lpstr>
      <vt:lpstr>ReleasePYTHON</vt:lpstr>
      <vt:lpstr>IMFLDR_Col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Aidan Delgado</dc:creator>
  <cp:lastModifiedBy>Aidan Delgado</cp:lastModifiedBy>
  <dcterms:created xsi:type="dcterms:W3CDTF">2024-06-28T18:52:28Z</dcterms:created>
  <dcterms:modified xsi:type="dcterms:W3CDTF">2024-08-30T01:01:41Z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2024-06-28T19:08:56Z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598da55f-a778-4602-93c1-2a392cf3800d</vt:lpwstr>
  </property>
  <property fmtid="{D5CDD505-2E9C-101B-9397-08002B2CF9AE}" pid="7" name="MSIP_Label_defa4170-0d19-0005-0004-bc88714345d2_ActionId">
    <vt:lpwstr>f8ac3984-fd03-4830-90a2-f6d9f8f52a8d</vt:lpwstr>
  </property>
  <property fmtid="{D5CDD505-2E9C-101B-9397-08002B2CF9AE}" pid="8" name="MSIP_Label_defa4170-0d19-0005-0004-bc88714345d2_ContentBits">
    <vt:lpwstr>0</vt:lpwstr>
  </property>
</Properties>
</file>